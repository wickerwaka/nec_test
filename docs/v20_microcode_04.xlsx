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e9e6bfc606ff8a2/"/>
    </mc:Choice>
  </mc:AlternateContent>
  <xr:revisionPtr revIDLastSave="0" documentId="8_{F370D580-6822-4E68-B879-F8BC1B30EC47}" xr6:coauthVersionLast="47" xr6:coauthVersionMax="47" xr10:uidLastSave="{00000000-0000-0000-0000-000000000000}"/>
  <bookViews>
    <workbookView xWindow="1200" yWindow="2880" windowWidth="32595" windowHeight="17370" xr2:uid="{B34071A2-C48D-4188-92BA-5B279B170360}"/>
  </bookViews>
  <sheets>
    <sheet name="Microcode" sheetId="1" r:id="rId1"/>
    <sheet name="TMP" sheetId="9" r:id="rId2"/>
    <sheet name="SR" sheetId="8" r:id="rId3"/>
    <sheet name="EC" sheetId="7" r:id="rId4"/>
    <sheet name="IC" sheetId="6" r:id="rId5"/>
    <sheet name="ALUOps" sheetId="5" r:id="rId6"/>
    <sheet name="D2" sheetId="4" r:id="rId7"/>
    <sheet name="Sources" sheetId="2" r:id="rId8"/>
    <sheet name="Source2" sheetId="11" r:id="rId9"/>
    <sheet name="Dest1" sheetId="10" r:id="rId10"/>
    <sheet name="Types" sheetId="3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029" i="1" l="1" a="1"/>
  <c r="N1029" i="1" s="1"/>
  <c r="N1028" i="1" a="1"/>
  <c r="N1028" i="1" s="1"/>
  <c r="N1027" i="1" a="1"/>
  <c r="N1027" i="1" s="1"/>
  <c r="N1026" i="1" a="1"/>
  <c r="N1026" i="1" s="1"/>
  <c r="N1025" i="1" a="1"/>
  <c r="N1025" i="1" s="1"/>
  <c r="N1024" i="1" a="1"/>
  <c r="N1024" i="1" s="1"/>
  <c r="N1023" i="1" a="1"/>
  <c r="N1023" i="1" s="1"/>
  <c r="N1022" i="1" a="1"/>
  <c r="N1022" i="1" s="1"/>
  <c r="N1021" i="1" a="1"/>
  <c r="N1021" i="1" s="1"/>
  <c r="N1020" i="1" a="1"/>
  <c r="N1020" i="1" s="1"/>
  <c r="N1019" i="1" a="1"/>
  <c r="N1019" i="1" s="1"/>
  <c r="N1018" i="1" a="1"/>
  <c r="N1018" i="1" s="1"/>
  <c r="N1017" i="1" a="1"/>
  <c r="N1017" i="1" s="1"/>
  <c r="N1016" i="1" a="1"/>
  <c r="N1016" i="1" s="1"/>
  <c r="N1015" i="1" a="1"/>
  <c r="N1015" i="1" s="1"/>
  <c r="N1014" i="1" a="1"/>
  <c r="N1014" i="1" s="1"/>
  <c r="N1013" i="1" a="1"/>
  <c r="N1013" i="1" s="1"/>
  <c r="N1012" i="1" a="1"/>
  <c r="N1012" i="1" s="1"/>
  <c r="N1011" i="1" a="1"/>
  <c r="N1011" i="1" s="1"/>
  <c r="N1010" i="1" a="1"/>
  <c r="N1010" i="1" s="1"/>
  <c r="N1009" i="1" a="1"/>
  <c r="N1009" i="1" s="1"/>
  <c r="N1008" i="1" a="1"/>
  <c r="N1008" i="1" s="1"/>
  <c r="N1007" i="1" a="1"/>
  <c r="N1007" i="1" s="1"/>
  <c r="N1006" i="1" a="1"/>
  <c r="N1006" i="1" s="1"/>
  <c r="N1005" i="1" a="1"/>
  <c r="N1005" i="1" s="1"/>
  <c r="N1004" i="1" a="1"/>
  <c r="N1004" i="1" s="1"/>
  <c r="N1003" i="1" a="1"/>
  <c r="N1003" i="1" s="1"/>
  <c r="N1002" i="1" a="1"/>
  <c r="N1002" i="1" s="1"/>
  <c r="N1001" i="1" a="1"/>
  <c r="N1001" i="1" s="1"/>
  <c r="N1000" i="1" a="1"/>
  <c r="N1000" i="1" s="1"/>
  <c r="N999" i="1" a="1"/>
  <c r="N999" i="1" s="1"/>
  <c r="N998" i="1" a="1"/>
  <c r="N998" i="1" s="1"/>
  <c r="N997" i="1" a="1"/>
  <c r="N997" i="1" s="1"/>
  <c r="N996" i="1" a="1"/>
  <c r="N996" i="1" s="1"/>
  <c r="N995" i="1" a="1"/>
  <c r="N995" i="1" s="1"/>
  <c r="N994" i="1" a="1"/>
  <c r="N994" i="1" s="1"/>
  <c r="N993" i="1" a="1"/>
  <c r="N993" i="1" s="1"/>
  <c r="N992" i="1" a="1"/>
  <c r="N992" i="1" s="1"/>
  <c r="N991" i="1" a="1"/>
  <c r="N991" i="1" s="1"/>
  <c r="N990" i="1" a="1"/>
  <c r="N990" i="1" s="1"/>
  <c r="N989" i="1" a="1"/>
  <c r="N989" i="1" s="1"/>
  <c r="N988" i="1" a="1"/>
  <c r="N988" i="1" s="1"/>
  <c r="N987" i="1" a="1"/>
  <c r="N987" i="1" s="1"/>
  <c r="N986" i="1" a="1"/>
  <c r="N986" i="1" s="1"/>
  <c r="N985" i="1" a="1"/>
  <c r="N985" i="1" s="1"/>
  <c r="N984" i="1" a="1"/>
  <c r="N984" i="1" s="1"/>
  <c r="N983" i="1" a="1"/>
  <c r="N983" i="1" s="1"/>
  <c r="N982" i="1" a="1"/>
  <c r="N982" i="1" s="1"/>
  <c r="N981" i="1" a="1"/>
  <c r="N981" i="1" s="1"/>
  <c r="N980" i="1" a="1"/>
  <c r="N980" i="1" s="1"/>
  <c r="N979" i="1" a="1"/>
  <c r="N979" i="1" s="1"/>
  <c r="N978" i="1" a="1"/>
  <c r="N978" i="1" s="1"/>
  <c r="N977" i="1" a="1"/>
  <c r="N977" i="1" s="1"/>
  <c r="N976" i="1" a="1"/>
  <c r="N976" i="1" s="1"/>
  <c r="N975" i="1" a="1"/>
  <c r="N975" i="1" s="1"/>
  <c r="N974" i="1" a="1"/>
  <c r="N974" i="1" s="1"/>
  <c r="N973" i="1" a="1"/>
  <c r="N973" i="1" s="1"/>
  <c r="N972" i="1" a="1"/>
  <c r="N972" i="1" s="1"/>
  <c r="N971" i="1" a="1"/>
  <c r="N971" i="1" s="1"/>
  <c r="N970" i="1" a="1"/>
  <c r="N970" i="1" s="1"/>
  <c r="N969" i="1" a="1"/>
  <c r="N969" i="1" s="1"/>
  <c r="N968" i="1" a="1"/>
  <c r="N968" i="1" s="1"/>
  <c r="N967" i="1" a="1"/>
  <c r="N967" i="1" s="1"/>
  <c r="N966" i="1" a="1"/>
  <c r="N966" i="1" s="1"/>
  <c r="N965" i="1" a="1"/>
  <c r="N965" i="1" s="1"/>
  <c r="N964" i="1" a="1"/>
  <c r="N964" i="1" s="1"/>
  <c r="N963" i="1" a="1"/>
  <c r="N963" i="1" s="1"/>
  <c r="N962" i="1" a="1"/>
  <c r="N962" i="1" s="1"/>
  <c r="N961" i="1" a="1"/>
  <c r="N961" i="1" s="1"/>
  <c r="N960" i="1" a="1"/>
  <c r="N960" i="1" s="1"/>
  <c r="N959" i="1" a="1"/>
  <c r="N959" i="1" s="1"/>
  <c r="N958" i="1" a="1"/>
  <c r="N958" i="1" s="1"/>
  <c r="N957" i="1" a="1"/>
  <c r="N957" i="1" s="1"/>
  <c r="N956" i="1" a="1"/>
  <c r="N956" i="1" s="1"/>
  <c r="N955" i="1" a="1"/>
  <c r="N955" i="1" s="1"/>
  <c r="N954" i="1" a="1"/>
  <c r="N954" i="1" s="1"/>
  <c r="N953" i="1" a="1"/>
  <c r="N953" i="1" s="1"/>
  <c r="N952" i="1" a="1"/>
  <c r="N952" i="1" s="1"/>
  <c r="N951" i="1" a="1"/>
  <c r="N951" i="1" s="1"/>
  <c r="N950" i="1" a="1"/>
  <c r="N950" i="1" s="1"/>
  <c r="N949" i="1" a="1"/>
  <c r="N949" i="1" s="1"/>
  <c r="N948" i="1" a="1"/>
  <c r="N948" i="1" s="1"/>
  <c r="N947" i="1" a="1"/>
  <c r="N947" i="1" s="1"/>
  <c r="N946" i="1" a="1"/>
  <c r="N946" i="1" s="1"/>
  <c r="N945" i="1" a="1"/>
  <c r="N945" i="1" s="1"/>
  <c r="N944" i="1" a="1"/>
  <c r="N944" i="1" s="1"/>
  <c r="N943" i="1" a="1"/>
  <c r="N943" i="1" s="1"/>
  <c r="N942" i="1" a="1"/>
  <c r="N942" i="1" s="1"/>
  <c r="N941" i="1" a="1"/>
  <c r="N941" i="1" s="1"/>
  <c r="N940" i="1" a="1"/>
  <c r="N940" i="1" s="1"/>
  <c r="N939" i="1" a="1"/>
  <c r="N939" i="1" s="1"/>
  <c r="N938" i="1" a="1"/>
  <c r="N938" i="1" s="1"/>
  <c r="N937" i="1" a="1"/>
  <c r="N937" i="1" s="1"/>
  <c r="N936" i="1" a="1"/>
  <c r="N936" i="1" s="1"/>
  <c r="N935" i="1" a="1"/>
  <c r="N935" i="1" s="1"/>
  <c r="N934" i="1" a="1"/>
  <c r="N934" i="1" s="1"/>
  <c r="N933" i="1" a="1"/>
  <c r="N933" i="1" s="1"/>
  <c r="N932" i="1" a="1"/>
  <c r="N932" i="1" s="1"/>
  <c r="N931" i="1" a="1"/>
  <c r="N931" i="1" s="1"/>
  <c r="N930" i="1" a="1"/>
  <c r="N930" i="1" s="1"/>
  <c r="N929" i="1" a="1"/>
  <c r="N929" i="1" s="1"/>
  <c r="N928" i="1" a="1"/>
  <c r="N928" i="1" s="1"/>
  <c r="N927" i="1" a="1"/>
  <c r="N927" i="1" s="1"/>
  <c r="N926" i="1" a="1"/>
  <c r="N926" i="1" s="1"/>
  <c r="N925" i="1" a="1"/>
  <c r="N925" i="1" s="1"/>
  <c r="N924" i="1" a="1"/>
  <c r="N924" i="1" s="1"/>
  <c r="N923" i="1" a="1"/>
  <c r="N923" i="1" s="1"/>
  <c r="N922" i="1" a="1"/>
  <c r="N922" i="1" s="1"/>
  <c r="N921" i="1" a="1"/>
  <c r="N921" i="1" s="1"/>
  <c r="N920" i="1" a="1"/>
  <c r="N920" i="1" s="1"/>
  <c r="N919" i="1" a="1"/>
  <c r="N919" i="1" s="1"/>
  <c r="N918" i="1" a="1"/>
  <c r="N918" i="1" s="1"/>
  <c r="N917" i="1" a="1"/>
  <c r="N917" i="1" s="1"/>
  <c r="N916" i="1" a="1"/>
  <c r="N916" i="1" s="1"/>
  <c r="N915" i="1" a="1"/>
  <c r="N915" i="1" s="1"/>
  <c r="N914" i="1" a="1"/>
  <c r="N914" i="1" s="1"/>
  <c r="N913" i="1" a="1"/>
  <c r="N913" i="1" s="1"/>
  <c r="N912" i="1" a="1"/>
  <c r="N912" i="1" s="1"/>
  <c r="N911" i="1" a="1"/>
  <c r="N911" i="1" s="1"/>
  <c r="N910" i="1" a="1"/>
  <c r="N910" i="1" s="1"/>
  <c r="N909" i="1" a="1"/>
  <c r="N909" i="1" s="1"/>
  <c r="N908" i="1" a="1"/>
  <c r="N908" i="1" s="1"/>
  <c r="N907" i="1" a="1"/>
  <c r="N907" i="1" s="1"/>
  <c r="N906" i="1" a="1"/>
  <c r="N906" i="1" s="1"/>
  <c r="N905" i="1" a="1"/>
  <c r="N905" i="1" s="1"/>
  <c r="N904" i="1" a="1"/>
  <c r="N904" i="1" s="1"/>
  <c r="N903" i="1" a="1"/>
  <c r="N903" i="1" s="1"/>
  <c r="N902" i="1" a="1"/>
  <c r="N902" i="1" s="1"/>
  <c r="N901" i="1" a="1"/>
  <c r="N901" i="1" s="1"/>
  <c r="N900" i="1" a="1"/>
  <c r="N900" i="1" s="1"/>
  <c r="N899" i="1" a="1"/>
  <c r="N899" i="1" s="1"/>
  <c r="N898" i="1" a="1"/>
  <c r="N898" i="1" s="1"/>
  <c r="N897" i="1" a="1"/>
  <c r="N897" i="1" s="1"/>
  <c r="N896" i="1" a="1"/>
  <c r="N896" i="1" s="1"/>
  <c r="N895" i="1" a="1"/>
  <c r="N895" i="1" s="1"/>
  <c r="N894" i="1" a="1"/>
  <c r="N894" i="1" s="1"/>
  <c r="N893" i="1" a="1"/>
  <c r="N893" i="1" s="1"/>
  <c r="N892" i="1" a="1"/>
  <c r="N892" i="1" s="1"/>
  <c r="N891" i="1" a="1"/>
  <c r="N891" i="1" s="1"/>
  <c r="N890" i="1" a="1"/>
  <c r="N890" i="1" s="1"/>
  <c r="N889" i="1" a="1"/>
  <c r="N889" i="1" s="1"/>
  <c r="N888" i="1" a="1"/>
  <c r="N888" i="1" s="1"/>
  <c r="N887" i="1" a="1"/>
  <c r="N887" i="1" s="1"/>
  <c r="N886" i="1" a="1"/>
  <c r="N886" i="1" s="1"/>
  <c r="N885" i="1" a="1"/>
  <c r="N885" i="1" s="1"/>
  <c r="N884" i="1" a="1"/>
  <c r="N884" i="1" s="1"/>
  <c r="N883" i="1" a="1"/>
  <c r="N883" i="1" s="1"/>
  <c r="N882" i="1" a="1"/>
  <c r="N882" i="1" s="1"/>
  <c r="N881" i="1" a="1"/>
  <c r="N881" i="1" s="1"/>
  <c r="N880" i="1" a="1"/>
  <c r="N880" i="1" s="1"/>
  <c r="N879" i="1" a="1"/>
  <c r="N879" i="1" s="1"/>
  <c r="N878" i="1" a="1"/>
  <c r="N878" i="1" s="1"/>
  <c r="N877" i="1" a="1"/>
  <c r="N877" i="1" s="1"/>
  <c r="N876" i="1" a="1"/>
  <c r="N876" i="1" s="1"/>
  <c r="N875" i="1" a="1"/>
  <c r="N875" i="1" s="1"/>
  <c r="N874" i="1" a="1"/>
  <c r="N874" i="1" s="1"/>
  <c r="N873" i="1" a="1"/>
  <c r="N873" i="1" s="1"/>
  <c r="N872" i="1" a="1"/>
  <c r="N872" i="1" s="1"/>
  <c r="N871" i="1" a="1"/>
  <c r="N871" i="1" s="1"/>
  <c r="N870" i="1" a="1"/>
  <c r="N870" i="1" s="1"/>
  <c r="N869" i="1" a="1"/>
  <c r="N869" i="1" s="1"/>
  <c r="N868" i="1" a="1"/>
  <c r="N868" i="1" s="1"/>
  <c r="N867" i="1" a="1"/>
  <c r="N867" i="1" s="1"/>
  <c r="N866" i="1" a="1"/>
  <c r="N866" i="1" s="1"/>
  <c r="N865" i="1" a="1"/>
  <c r="N865" i="1" s="1"/>
  <c r="N864" i="1" a="1"/>
  <c r="N864" i="1" s="1"/>
  <c r="N863" i="1" a="1"/>
  <c r="N863" i="1" s="1"/>
  <c r="N862" i="1" a="1"/>
  <c r="N862" i="1" s="1"/>
  <c r="N861" i="1" a="1"/>
  <c r="N861" i="1" s="1"/>
  <c r="N860" i="1" a="1"/>
  <c r="N860" i="1" s="1"/>
  <c r="N859" i="1" a="1"/>
  <c r="N859" i="1" s="1"/>
  <c r="N858" i="1" a="1"/>
  <c r="N858" i="1" s="1"/>
  <c r="N857" i="1" a="1"/>
  <c r="N857" i="1" s="1"/>
  <c r="N856" i="1" a="1"/>
  <c r="N856" i="1" s="1"/>
  <c r="N855" i="1" a="1"/>
  <c r="N855" i="1" s="1"/>
  <c r="N854" i="1" a="1"/>
  <c r="N854" i="1" s="1"/>
  <c r="N853" i="1" a="1"/>
  <c r="N853" i="1" s="1"/>
  <c r="N852" i="1" a="1"/>
  <c r="N852" i="1" s="1"/>
  <c r="N851" i="1" a="1"/>
  <c r="N851" i="1" s="1"/>
  <c r="N850" i="1" a="1"/>
  <c r="N850" i="1" s="1"/>
  <c r="N849" i="1" a="1"/>
  <c r="N849" i="1" s="1"/>
  <c r="N848" i="1" a="1"/>
  <c r="N848" i="1" s="1"/>
  <c r="N847" i="1" a="1"/>
  <c r="N847" i="1" s="1"/>
  <c r="N846" i="1" a="1"/>
  <c r="N846" i="1" s="1"/>
  <c r="N845" i="1" a="1"/>
  <c r="N845" i="1" s="1"/>
  <c r="N844" i="1" a="1"/>
  <c r="N844" i="1" s="1"/>
  <c r="N843" i="1" a="1"/>
  <c r="N843" i="1" s="1"/>
  <c r="N842" i="1" a="1"/>
  <c r="N842" i="1" s="1"/>
  <c r="N841" i="1" a="1"/>
  <c r="N841" i="1" s="1"/>
  <c r="N840" i="1" a="1"/>
  <c r="N840" i="1" s="1"/>
  <c r="N839" i="1" a="1"/>
  <c r="N839" i="1" s="1"/>
  <c r="N838" i="1" a="1"/>
  <c r="N838" i="1" s="1"/>
  <c r="N837" i="1" a="1"/>
  <c r="N837" i="1" s="1"/>
  <c r="N836" i="1" a="1"/>
  <c r="N836" i="1" s="1"/>
  <c r="N835" i="1" a="1"/>
  <c r="N835" i="1" s="1"/>
  <c r="N834" i="1" a="1"/>
  <c r="N834" i="1" s="1"/>
  <c r="N833" i="1" a="1"/>
  <c r="N833" i="1" s="1"/>
  <c r="N832" i="1" a="1"/>
  <c r="N832" i="1" s="1"/>
  <c r="N831" i="1" a="1"/>
  <c r="N831" i="1" s="1"/>
  <c r="N830" i="1" a="1"/>
  <c r="N830" i="1" s="1"/>
  <c r="N829" i="1" a="1"/>
  <c r="N829" i="1" s="1"/>
  <c r="N828" i="1" a="1"/>
  <c r="N828" i="1" s="1"/>
  <c r="N827" i="1" a="1"/>
  <c r="N827" i="1" s="1"/>
  <c r="N826" i="1" a="1"/>
  <c r="N826" i="1" s="1"/>
  <c r="N825" i="1" a="1"/>
  <c r="N825" i="1" s="1"/>
  <c r="N824" i="1" a="1"/>
  <c r="N824" i="1" s="1"/>
  <c r="N823" i="1" a="1"/>
  <c r="N823" i="1" s="1"/>
  <c r="N822" i="1" a="1"/>
  <c r="N822" i="1" s="1"/>
  <c r="N821" i="1" a="1"/>
  <c r="N821" i="1" s="1"/>
  <c r="N820" i="1" a="1"/>
  <c r="N820" i="1" s="1"/>
  <c r="N819" i="1" a="1"/>
  <c r="N819" i="1" s="1"/>
  <c r="N818" i="1" a="1"/>
  <c r="N818" i="1" s="1"/>
  <c r="N817" i="1" a="1"/>
  <c r="N817" i="1" s="1"/>
  <c r="N816" i="1" a="1"/>
  <c r="N816" i="1" s="1"/>
  <c r="N815" i="1" a="1"/>
  <c r="N815" i="1" s="1"/>
  <c r="N814" i="1" a="1"/>
  <c r="N814" i="1" s="1"/>
  <c r="N813" i="1" a="1"/>
  <c r="N813" i="1" s="1"/>
  <c r="N812" i="1" a="1"/>
  <c r="N812" i="1" s="1"/>
  <c r="N811" i="1" a="1"/>
  <c r="N811" i="1" s="1"/>
  <c r="N810" i="1" a="1"/>
  <c r="N810" i="1" s="1"/>
  <c r="N809" i="1" a="1"/>
  <c r="N809" i="1" s="1"/>
  <c r="N808" i="1" a="1"/>
  <c r="N808" i="1" s="1"/>
  <c r="N807" i="1" a="1"/>
  <c r="N807" i="1" s="1"/>
  <c r="N806" i="1" a="1"/>
  <c r="N806" i="1" s="1"/>
  <c r="N805" i="1" a="1"/>
  <c r="N805" i="1" s="1"/>
  <c r="N804" i="1" a="1"/>
  <c r="N804" i="1" s="1"/>
  <c r="N803" i="1" a="1"/>
  <c r="N803" i="1" s="1"/>
  <c r="N802" i="1" a="1"/>
  <c r="N802" i="1" s="1"/>
  <c r="N801" i="1" a="1"/>
  <c r="N801" i="1" s="1"/>
  <c r="N800" i="1" a="1"/>
  <c r="N800" i="1" s="1"/>
  <c r="N799" i="1" a="1"/>
  <c r="N799" i="1" s="1"/>
  <c r="N798" i="1" a="1"/>
  <c r="N798" i="1" s="1"/>
  <c r="N797" i="1" a="1"/>
  <c r="N797" i="1" s="1"/>
  <c r="N796" i="1" a="1"/>
  <c r="N796" i="1" s="1"/>
  <c r="N795" i="1" a="1"/>
  <c r="N795" i="1" s="1"/>
  <c r="N794" i="1" a="1"/>
  <c r="N794" i="1" s="1"/>
  <c r="N793" i="1" a="1"/>
  <c r="N793" i="1" s="1"/>
  <c r="N792" i="1" a="1"/>
  <c r="N792" i="1" s="1"/>
  <c r="N791" i="1" a="1"/>
  <c r="N791" i="1" s="1"/>
  <c r="N790" i="1" a="1"/>
  <c r="N790" i="1" s="1"/>
  <c r="N789" i="1" a="1"/>
  <c r="N789" i="1" s="1"/>
  <c r="N788" i="1" a="1"/>
  <c r="N788" i="1" s="1"/>
  <c r="N787" i="1" a="1"/>
  <c r="N787" i="1" s="1"/>
  <c r="N786" i="1" a="1"/>
  <c r="N786" i="1" s="1"/>
  <c r="N785" i="1" a="1"/>
  <c r="N785" i="1" s="1"/>
  <c r="N784" i="1" a="1"/>
  <c r="N784" i="1" s="1"/>
  <c r="N783" i="1" a="1"/>
  <c r="N783" i="1" s="1"/>
  <c r="N782" i="1" a="1"/>
  <c r="N782" i="1" s="1"/>
  <c r="N781" i="1" a="1"/>
  <c r="N781" i="1" s="1"/>
  <c r="N780" i="1" a="1"/>
  <c r="N780" i="1" s="1"/>
  <c r="N779" i="1" a="1"/>
  <c r="N779" i="1" s="1"/>
  <c r="N778" i="1" a="1"/>
  <c r="N778" i="1" s="1"/>
  <c r="N777" i="1" a="1"/>
  <c r="N777" i="1" s="1"/>
  <c r="N776" i="1" a="1"/>
  <c r="N776" i="1" s="1"/>
  <c r="N775" i="1" a="1"/>
  <c r="N775" i="1" s="1"/>
  <c r="N774" i="1" a="1"/>
  <c r="N774" i="1" s="1"/>
  <c r="N773" i="1" a="1"/>
  <c r="N773" i="1" s="1"/>
  <c r="N772" i="1" a="1"/>
  <c r="N772" i="1" s="1"/>
  <c r="N771" i="1" a="1"/>
  <c r="N771" i="1" s="1"/>
  <c r="N770" i="1" a="1"/>
  <c r="N770" i="1" s="1"/>
  <c r="N769" i="1" a="1"/>
  <c r="N769" i="1" s="1"/>
  <c r="N768" i="1" a="1"/>
  <c r="N768" i="1" s="1"/>
  <c r="N767" i="1" a="1"/>
  <c r="N767" i="1" s="1"/>
  <c r="N766" i="1" a="1"/>
  <c r="N766" i="1" s="1"/>
  <c r="N765" i="1" a="1"/>
  <c r="N765" i="1" s="1"/>
  <c r="N764" i="1" a="1"/>
  <c r="N764" i="1" s="1"/>
  <c r="N763" i="1" a="1"/>
  <c r="N763" i="1" s="1"/>
  <c r="N762" i="1" a="1"/>
  <c r="N762" i="1" s="1"/>
  <c r="N761" i="1" a="1"/>
  <c r="N761" i="1" s="1"/>
  <c r="N760" i="1" a="1"/>
  <c r="N760" i="1" s="1"/>
  <c r="N759" i="1" a="1"/>
  <c r="N759" i="1" s="1"/>
  <c r="N758" i="1" a="1"/>
  <c r="N758" i="1" s="1"/>
  <c r="N757" i="1" a="1"/>
  <c r="N757" i="1" s="1"/>
  <c r="N756" i="1" a="1"/>
  <c r="N756" i="1" s="1"/>
  <c r="N755" i="1" a="1"/>
  <c r="N755" i="1" s="1"/>
  <c r="N754" i="1" a="1"/>
  <c r="N754" i="1" s="1"/>
  <c r="N753" i="1" a="1"/>
  <c r="N753" i="1" s="1"/>
  <c r="N752" i="1" a="1"/>
  <c r="N752" i="1" s="1"/>
  <c r="N751" i="1" a="1"/>
  <c r="N751" i="1" s="1"/>
  <c r="N750" i="1" a="1"/>
  <c r="N750" i="1" s="1"/>
  <c r="N749" i="1" a="1"/>
  <c r="N749" i="1" s="1"/>
  <c r="N748" i="1" a="1"/>
  <c r="N748" i="1" s="1"/>
  <c r="N747" i="1" a="1"/>
  <c r="N747" i="1" s="1"/>
  <c r="N746" i="1" a="1"/>
  <c r="N746" i="1" s="1"/>
  <c r="N745" i="1" a="1"/>
  <c r="N745" i="1" s="1"/>
  <c r="N744" i="1" a="1"/>
  <c r="N744" i="1" s="1"/>
  <c r="N743" i="1" a="1"/>
  <c r="N743" i="1" s="1"/>
  <c r="N742" i="1" a="1"/>
  <c r="N742" i="1" s="1"/>
  <c r="N741" i="1" a="1"/>
  <c r="N741" i="1" s="1"/>
  <c r="N740" i="1" a="1"/>
  <c r="N740" i="1" s="1"/>
  <c r="N739" i="1" a="1"/>
  <c r="N739" i="1" s="1"/>
  <c r="N738" i="1" a="1"/>
  <c r="N738" i="1" s="1"/>
  <c r="N737" i="1" a="1"/>
  <c r="N737" i="1" s="1"/>
  <c r="N736" i="1" a="1"/>
  <c r="N736" i="1" s="1"/>
  <c r="N735" i="1" a="1"/>
  <c r="N735" i="1" s="1"/>
  <c r="N734" i="1" a="1"/>
  <c r="N734" i="1" s="1"/>
  <c r="N733" i="1" a="1"/>
  <c r="N733" i="1" s="1"/>
  <c r="N732" i="1" a="1"/>
  <c r="N732" i="1" s="1"/>
  <c r="N731" i="1" a="1"/>
  <c r="N731" i="1" s="1"/>
  <c r="N730" i="1" a="1"/>
  <c r="N730" i="1" s="1"/>
  <c r="N729" i="1" a="1"/>
  <c r="N729" i="1" s="1"/>
  <c r="N728" i="1" a="1"/>
  <c r="N728" i="1" s="1"/>
  <c r="N727" i="1" a="1"/>
  <c r="N727" i="1" s="1"/>
  <c r="N726" i="1" a="1"/>
  <c r="N726" i="1" s="1"/>
  <c r="N725" i="1" a="1"/>
  <c r="N725" i="1" s="1"/>
  <c r="N724" i="1" a="1"/>
  <c r="N724" i="1" s="1"/>
  <c r="N723" i="1" a="1"/>
  <c r="N723" i="1" s="1"/>
  <c r="N722" i="1" a="1"/>
  <c r="N722" i="1" s="1"/>
  <c r="N721" i="1" a="1"/>
  <c r="N721" i="1" s="1"/>
  <c r="N720" i="1" a="1"/>
  <c r="N720" i="1" s="1"/>
  <c r="N719" i="1" a="1"/>
  <c r="N719" i="1" s="1"/>
  <c r="N718" i="1" a="1"/>
  <c r="N718" i="1" s="1"/>
  <c r="N717" i="1" a="1"/>
  <c r="N717" i="1" s="1"/>
  <c r="N716" i="1" a="1"/>
  <c r="N716" i="1" s="1"/>
  <c r="N715" i="1" a="1"/>
  <c r="N715" i="1" s="1"/>
  <c r="N714" i="1" a="1"/>
  <c r="N714" i="1" s="1"/>
  <c r="N713" i="1" a="1"/>
  <c r="N713" i="1" s="1"/>
  <c r="N712" i="1" a="1"/>
  <c r="N712" i="1" s="1"/>
  <c r="N711" i="1" a="1"/>
  <c r="N711" i="1" s="1"/>
  <c r="N710" i="1" a="1"/>
  <c r="N710" i="1" s="1"/>
  <c r="N709" i="1" a="1"/>
  <c r="N709" i="1" s="1"/>
  <c r="N708" i="1" a="1"/>
  <c r="N708" i="1" s="1"/>
  <c r="N707" i="1" a="1"/>
  <c r="N707" i="1" s="1"/>
  <c r="N706" i="1" a="1"/>
  <c r="N706" i="1" s="1"/>
  <c r="N705" i="1" a="1"/>
  <c r="N705" i="1" s="1"/>
  <c r="N704" i="1" a="1"/>
  <c r="N704" i="1" s="1"/>
  <c r="N703" i="1" a="1"/>
  <c r="N703" i="1" s="1"/>
  <c r="N702" i="1" a="1"/>
  <c r="N702" i="1" s="1"/>
  <c r="N701" i="1" a="1"/>
  <c r="N701" i="1" s="1"/>
  <c r="N700" i="1" a="1"/>
  <c r="N700" i="1" s="1"/>
  <c r="N699" i="1" a="1"/>
  <c r="N699" i="1" s="1"/>
  <c r="N698" i="1" a="1"/>
  <c r="N698" i="1" s="1"/>
  <c r="N697" i="1" a="1"/>
  <c r="N697" i="1" s="1"/>
  <c r="N696" i="1" a="1"/>
  <c r="N696" i="1" s="1"/>
  <c r="N695" i="1" a="1"/>
  <c r="N695" i="1" s="1"/>
  <c r="N694" i="1" a="1"/>
  <c r="N694" i="1" s="1"/>
  <c r="N693" i="1" a="1"/>
  <c r="N693" i="1" s="1"/>
  <c r="N692" i="1" a="1"/>
  <c r="N692" i="1" s="1"/>
  <c r="N691" i="1" a="1"/>
  <c r="N691" i="1" s="1"/>
  <c r="N690" i="1" a="1"/>
  <c r="N690" i="1" s="1"/>
  <c r="N689" i="1" a="1"/>
  <c r="N689" i="1" s="1"/>
  <c r="N688" i="1" a="1"/>
  <c r="N688" i="1" s="1"/>
  <c r="N687" i="1" a="1"/>
  <c r="N687" i="1" s="1"/>
  <c r="N686" i="1" a="1"/>
  <c r="N686" i="1" s="1"/>
  <c r="N685" i="1" a="1"/>
  <c r="N685" i="1" s="1"/>
  <c r="N684" i="1" a="1"/>
  <c r="N684" i="1" s="1"/>
  <c r="N683" i="1" a="1"/>
  <c r="N683" i="1" s="1"/>
  <c r="N682" i="1" a="1"/>
  <c r="N682" i="1" s="1"/>
  <c r="N681" i="1" a="1"/>
  <c r="N681" i="1" s="1"/>
  <c r="N680" i="1" a="1"/>
  <c r="N680" i="1" s="1"/>
  <c r="N679" i="1" a="1"/>
  <c r="N679" i="1" s="1"/>
  <c r="N678" i="1" a="1"/>
  <c r="N678" i="1" s="1"/>
  <c r="N677" i="1" a="1"/>
  <c r="N677" i="1" s="1"/>
  <c r="N676" i="1" a="1"/>
  <c r="N676" i="1" s="1"/>
  <c r="N675" i="1" a="1"/>
  <c r="N675" i="1" s="1"/>
  <c r="N674" i="1" a="1"/>
  <c r="N674" i="1" s="1"/>
  <c r="N673" i="1" a="1"/>
  <c r="N673" i="1" s="1"/>
  <c r="N672" i="1" a="1"/>
  <c r="N672" i="1" s="1"/>
  <c r="N671" i="1" a="1"/>
  <c r="N671" i="1" s="1"/>
  <c r="N670" i="1" a="1"/>
  <c r="N670" i="1" s="1"/>
  <c r="N669" i="1" a="1"/>
  <c r="N669" i="1" s="1"/>
  <c r="N668" i="1" a="1"/>
  <c r="N668" i="1" s="1"/>
  <c r="N667" i="1" a="1"/>
  <c r="N667" i="1" s="1"/>
  <c r="N666" i="1" a="1"/>
  <c r="N666" i="1" s="1"/>
  <c r="N665" i="1" a="1"/>
  <c r="N665" i="1" s="1"/>
  <c r="N664" i="1" a="1"/>
  <c r="N664" i="1" s="1"/>
  <c r="N663" i="1" a="1"/>
  <c r="N663" i="1" s="1"/>
  <c r="N662" i="1" a="1"/>
  <c r="N662" i="1" s="1"/>
  <c r="N661" i="1" a="1"/>
  <c r="N661" i="1" s="1"/>
  <c r="N660" i="1" a="1"/>
  <c r="N660" i="1" s="1"/>
  <c r="N659" i="1" a="1"/>
  <c r="N659" i="1" s="1"/>
  <c r="N658" i="1" a="1"/>
  <c r="N658" i="1" s="1"/>
  <c r="N657" i="1" a="1"/>
  <c r="N657" i="1" s="1"/>
  <c r="N656" i="1" a="1"/>
  <c r="N656" i="1" s="1"/>
  <c r="N655" i="1" a="1"/>
  <c r="N655" i="1" s="1"/>
  <c r="N654" i="1" a="1"/>
  <c r="N654" i="1" s="1"/>
  <c r="N653" i="1" a="1"/>
  <c r="N653" i="1" s="1"/>
  <c r="N652" i="1" a="1"/>
  <c r="N652" i="1" s="1"/>
  <c r="N651" i="1" a="1"/>
  <c r="N651" i="1" s="1"/>
  <c r="N650" i="1" a="1"/>
  <c r="N650" i="1" s="1"/>
  <c r="N649" i="1" a="1"/>
  <c r="N649" i="1" s="1"/>
  <c r="N648" i="1" a="1"/>
  <c r="N648" i="1" s="1"/>
  <c r="N647" i="1" a="1"/>
  <c r="N647" i="1" s="1"/>
  <c r="N646" i="1" a="1"/>
  <c r="N646" i="1" s="1"/>
  <c r="N645" i="1" a="1"/>
  <c r="N645" i="1" s="1"/>
  <c r="N644" i="1" a="1"/>
  <c r="N644" i="1" s="1"/>
  <c r="N643" i="1" a="1"/>
  <c r="N643" i="1" s="1"/>
  <c r="N642" i="1" a="1"/>
  <c r="N642" i="1" s="1"/>
  <c r="N641" i="1" a="1"/>
  <c r="N641" i="1" s="1"/>
  <c r="N640" i="1" a="1"/>
  <c r="N640" i="1" s="1"/>
  <c r="N639" i="1" a="1"/>
  <c r="N639" i="1" s="1"/>
  <c r="N638" i="1" a="1"/>
  <c r="N638" i="1" s="1"/>
  <c r="N637" i="1" a="1"/>
  <c r="N637" i="1" s="1"/>
  <c r="N636" i="1" a="1"/>
  <c r="N636" i="1" s="1"/>
  <c r="N635" i="1" a="1"/>
  <c r="N635" i="1" s="1"/>
  <c r="N634" i="1" a="1"/>
  <c r="N634" i="1" s="1"/>
  <c r="N633" i="1" a="1"/>
  <c r="N633" i="1" s="1"/>
  <c r="N632" i="1" a="1"/>
  <c r="N632" i="1" s="1"/>
  <c r="N631" i="1" a="1"/>
  <c r="N631" i="1" s="1"/>
  <c r="N630" i="1" a="1"/>
  <c r="N630" i="1" s="1"/>
  <c r="N629" i="1" a="1"/>
  <c r="N629" i="1" s="1"/>
  <c r="N628" i="1" a="1"/>
  <c r="N628" i="1" s="1"/>
  <c r="N627" i="1" a="1"/>
  <c r="N627" i="1" s="1"/>
  <c r="N626" i="1" a="1"/>
  <c r="N626" i="1" s="1"/>
  <c r="N625" i="1" a="1"/>
  <c r="N625" i="1" s="1"/>
  <c r="N624" i="1" a="1"/>
  <c r="N624" i="1" s="1"/>
  <c r="N623" i="1" a="1"/>
  <c r="N623" i="1" s="1"/>
  <c r="N622" i="1" a="1"/>
  <c r="N622" i="1" s="1"/>
  <c r="N621" i="1" a="1"/>
  <c r="N621" i="1" s="1"/>
  <c r="N620" i="1" a="1"/>
  <c r="N620" i="1" s="1"/>
  <c r="N619" i="1" a="1"/>
  <c r="N619" i="1" s="1"/>
  <c r="N618" i="1" a="1"/>
  <c r="N618" i="1" s="1"/>
  <c r="N617" i="1" a="1"/>
  <c r="N617" i="1" s="1"/>
  <c r="N616" i="1" a="1"/>
  <c r="N616" i="1" s="1"/>
  <c r="N615" i="1" a="1"/>
  <c r="N615" i="1" s="1"/>
  <c r="N614" i="1" a="1"/>
  <c r="N614" i="1" s="1"/>
  <c r="N613" i="1" a="1"/>
  <c r="N613" i="1" s="1"/>
  <c r="N612" i="1" a="1"/>
  <c r="N612" i="1" s="1"/>
  <c r="N611" i="1" a="1"/>
  <c r="N611" i="1" s="1"/>
  <c r="N610" i="1" a="1"/>
  <c r="N610" i="1" s="1"/>
  <c r="N609" i="1" a="1"/>
  <c r="N609" i="1" s="1"/>
  <c r="N608" i="1" a="1"/>
  <c r="N608" i="1" s="1"/>
  <c r="N607" i="1" a="1"/>
  <c r="N607" i="1" s="1"/>
  <c r="N606" i="1" a="1"/>
  <c r="N606" i="1" s="1"/>
  <c r="N605" i="1" a="1"/>
  <c r="N605" i="1" s="1"/>
  <c r="N604" i="1" a="1"/>
  <c r="N604" i="1" s="1"/>
  <c r="N603" i="1" a="1"/>
  <c r="N603" i="1" s="1"/>
  <c r="N602" i="1" a="1"/>
  <c r="N602" i="1" s="1"/>
  <c r="N601" i="1" a="1"/>
  <c r="N601" i="1" s="1"/>
  <c r="N600" i="1" a="1"/>
  <c r="N600" i="1" s="1"/>
  <c r="N599" i="1" a="1"/>
  <c r="N599" i="1" s="1"/>
  <c r="N598" i="1" a="1"/>
  <c r="N598" i="1" s="1"/>
  <c r="N597" i="1" a="1"/>
  <c r="N597" i="1" s="1"/>
  <c r="N596" i="1" a="1"/>
  <c r="N596" i="1" s="1"/>
  <c r="N595" i="1" a="1"/>
  <c r="N595" i="1" s="1"/>
  <c r="N594" i="1" a="1"/>
  <c r="N594" i="1" s="1"/>
  <c r="N593" i="1" a="1"/>
  <c r="N593" i="1" s="1"/>
  <c r="N592" i="1" a="1"/>
  <c r="N592" i="1" s="1"/>
  <c r="N591" i="1" a="1"/>
  <c r="N591" i="1" s="1"/>
  <c r="N590" i="1" a="1"/>
  <c r="N590" i="1" s="1"/>
  <c r="N589" i="1" a="1"/>
  <c r="N589" i="1" s="1"/>
  <c r="N588" i="1" a="1"/>
  <c r="N588" i="1" s="1"/>
  <c r="N587" i="1" a="1"/>
  <c r="N587" i="1" s="1"/>
  <c r="N586" i="1" a="1"/>
  <c r="N586" i="1" s="1"/>
  <c r="N585" i="1" a="1"/>
  <c r="N585" i="1" s="1"/>
  <c r="N584" i="1" a="1"/>
  <c r="N584" i="1" s="1"/>
  <c r="N583" i="1" a="1"/>
  <c r="N583" i="1" s="1"/>
  <c r="N582" i="1" a="1"/>
  <c r="N582" i="1" s="1"/>
  <c r="N581" i="1" a="1"/>
  <c r="N581" i="1" s="1"/>
  <c r="N580" i="1" a="1"/>
  <c r="N580" i="1" s="1"/>
  <c r="N579" i="1" a="1"/>
  <c r="N579" i="1" s="1"/>
  <c r="N578" i="1" a="1"/>
  <c r="N578" i="1" s="1"/>
  <c r="N577" i="1" a="1"/>
  <c r="N577" i="1" s="1"/>
  <c r="N576" i="1" a="1"/>
  <c r="N576" i="1" s="1"/>
  <c r="N575" i="1" a="1"/>
  <c r="N575" i="1" s="1"/>
  <c r="N574" i="1" a="1"/>
  <c r="N574" i="1" s="1"/>
  <c r="N573" i="1" a="1"/>
  <c r="N573" i="1" s="1"/>
  <c r="N572" i="1" a="1"/>
  <c r="N572" i="1" s="1"/>
  <c r="N571" i="1" a="1"/>
  <c r="N571" i="1" s="1"/>
  <c r="N570" i="1" a="1"/>
  <c r="N570" i="1" s="1"/>
  <c r="N569" i="1" a="1"/>
  <c r="N569" i="1" s="1"/>
  <c r="N568" i="1" a="1"/>
  <c r="N568" i="1" s="1"/>
  <c r="N567" i="1" a="1"/>
  <c r="N567" i="1" s="1"/>
  <c r="N566" i="1" a="1"/>
  <c r="N566" i="1" s="1"/>
  <c r="N565" i="1" a="1"/>
  <c r="N565" i="1" s="1"/>
  <c r="N564" i="1" a="1"/>
  <c r="N564" i="1" s="1"/>
  <c r="N563" i="1" a="1"/>
  <c r="N563" i="1" s="1"/>
  <c r="N562" i="1" a="1"/>
  <c r="N562" i="1" s="1"/>
  <c r="N561" i="1" a="1"/>
  <c r="N561" i="1" s="1"/>
  <c r="N560" i="1" a="1"/>
  <c r="N560" i="1" s="1"/>
  <c r="N559" i="1" a="1"/>
  <c r="N559" i="1" s="1"/>
  <c r="N558" i="1" a="1"/>
  <c r="N558" i="1" s="1"/>
  <c r="N557" i="1" a="1"/>
  <c r="N557" i="1" s="1"/>
  <c r="N556" i="1" a="1"/>
  <c r="N556" i="1" s="1"/>
  <c r="N555" i="1" a="1"/>
  <c r="N555" i="1" s="1"/>
  <c r="N554" i="1" a="1"/>
  <c r="N554" i="1" s="1"/>
  <c r="N553" i="1" a="1"/>
  <c r="N553" i="1" s="1"/>
  <c r="N552" i="1" a="1"/>
  <c r="N552" i="1" s="1"/>
  <c r="N551" i="1" a="1"/>
  <c r="N551" i="1" s="1"/>
  <c r="N550" i="1" a="1"/>
  <c r="N550" i="1" s="1"/>
  <c r="N549" i="1" a="1"/>
  <c r="N549" i="1" s="1"/>
  <c r="N548" i="1" a="1"/>
  <c r="N548" i="1" s="1"/>
  <c r="N547" i="1" a="1"/>
  <c r="N547" i="1" s="1"/>
  <c r="N546" i="1" a="1"/>
  <c r="N546" i="1" s="1"/>
  <c r="N545" i="1" a="1"/>
  <c r="N545" i="1" s="1"/>
  <c r="N544" i="1" a="1"/>
  <c r="N544" i="1" s="1"/>
  <c r="N543" i="1" a="1"/>
  <c r="N543" i="1" s="1"/>
  <c r="N542" i="1" a="1"/>
  <c r="N542" i="1" s="1"/>
  <c r="N541" i="1" a="1"/>
  <c r="N541" i="1" s="1"/>
  <c r="N540" i="1" a="1"/>
  <c r="N540" i="1" s="1"/>
  <c r="N539" i="1" a="1"/>
  <c r="N539" i="1" s="1"/>
  <c r="N538" i="1" a="1"/>
  <c r="N538" i="1" s="1"/>
  <c r="N537" i="1" a="1"/>
  <c r="N537" i="1" s="1"/>
  <c r="N536" i="1" a="1"/>
  <c r="N536" i="1" s="1"/>
  <c r="N535" i="1" a="1"/>
  <c r="N535" i="1" s="1"/>
  <c r="N534" i="1" a="1"/>
  <c r="N534" i="1" s="1"/>
  <c r="N533" i="1" a="1"/>
  <c r="N533" i="1" s="1"/>
  <c r="N532" i="1" a="1"/>
  <c r="N532" i="1" s="1"/>
  <c r="N531" i="1" a="1"/>
  <c r="N531" i="1" s="1"/>
  <c r="N530" i="1" a="1"/>
  <c r="N530" i="1" s="1"/>
  <c r="N529" i="1" a="1"/>
  <c r="N529" i="1" s="1"/>
  <c r="N528" i="1" a="1"/>
  <c r="N528" i="1" s="1"/>
  <c r="N527" i="1" a="1"/>
  <c r="N527" i="1" s="1"/>
  <c r="N526" i="1" a="1"/>
  <c r="N526" i="1" s="1"/>
  <c r="N525" i="1" a="1"/>
  <c r="N525" i="1" s="1"/>
  <c r="N524" i="1" a="1"/>
  <c r="N524" i="1" s="1"/>
  <c r="N523" i="1" a="1"/>
  <c r="N523" i="1" s="1"/>
  <c r="N522" i="1" a="1"/>
  <c r="N522" i="1" s="1"/>
  <c r="N521" i="1" a="1"/>
  <c r="N521" i="1" s="1"/>
  <c r="N520" i="1" a="1"/>
  <c r="N520" i="1" s="1"/>
  <c r="N519" i="1" a="1"/>
  <c r="N519" i="1" s="1"/>
  <c r="N518" i="1" a="1"/>
  <c r="N518" i="1" s="1"/>
  <c r="N517" i="1" a="1"/>
  <c r="N517" i="1" s="1"/>
  <c r="N516" i="1" a="1"/>
  <c r="N516" i="1" s="1"/>
  <c r="N515" i="1" a="1"/>
  <c r="N515" i="1" s="1"/>
  <c r="N514" i="1" a="1"/>
  <c r="N514" i="1" s="1"/>
  <c r="N513" i="1" a="1"/>
  <c r="N513" i="1" s="1"/>
  <c r="N512" i="1" a="1"/>
  <c r="N512" i="1" s="1"/>
  <c r="N511" i="1" a="1"/>
  <c r="N511" i="1" s="1"/>
  <c r="N510" i="1" a="1"/>
  <c r="N510" i="1" s="1"/>
  <c r="N509" i="1" a="1"/>
  <c r="N509" i="1" s="1"/>
  <c r="N508" i="1" a="1"/>
  <c r="N508" i="1" s="1"/>
  <c r="N507" i="1" a="1"/>
  <c r="N507" i="1" s="1"/>
  <c r="N506" i="1" a="1"/>
  <c r="N506" i="1" s="1"/>
  <c r="N505" i="1" a="1"/>
  <c r="N505" i="1" s="1"/>
  <c r="N504" i="1" a="1"/>
  <c r="N504" i="1" s="1"/>
  <c r="N503" i="1" a="1"/>
  <c r="N503" i="1" s="1"/>
  <c r="N502" i="1" a="1"/>
  <c r="N502" i="1" s="1"/>
  <c r="N501" i="1" a="1"/>
  <c r="N501" i="1" s="1"/>
  <c r="N500" i="1" a="1"/>
  <c r="N500" i="1" s="1"/>
  <c r="N499" i="1" a="1"/>
  <c r="N499" i="1" s="1"/>
  <c r="N498" i="1" a="1"/>
  <c r="N498" i="1" s="1"/>
  <c r="N497" i="1" a="1"/>
  <c r="N497" i="1" s="1"/>
  <c r="N496" i="1" a="1"/>
  <c r="N496" i="1" s="1"/>
  <c r="N495" i="1" a="1"/>
  <c r="N495" i="1" s="1"/>
  <c r="N494" i="1" a="1"/>
  <c r="N494" i="1" s="1"/>
  <c r="N493" i="1" a="1"/>
  <c r="N493" i="1" s="1"/>
  <c r="N492" i="1" a="1"/>
  <c r="N492" i="1" s="1"/>
  <c r="N491" i="1" a="1"/>
  <c r="N491" i="1" s="1"/>
  <c r="N490" i="1" a="1"/>
  <c r="N490" i="1" s="1"/>
  <c r="N489" i="1" a="1"/>
  <c r="N489" i="1" s="1"/>
  <c r="N488" i="1" a="1"/>
  <c r="N488" i="1" s="1"/>
  <c r="N487" i="1" a="1"/>
  <c r="N487" i="1" s="1"/>
  <c r="N486" i="1" a="1"/>
  <c r="N486" i="1" s="1"/>
  <c r="N485" i="1" a="1"/>
  <c r="N485" i="1" s="1"/>
  <c r="N484" i="1" a="1"/>
  <c r="N484" i="1" s="1"/>
  <c r="N483" i="1" a="1"/>
  <c r="N483" i="1" s="1"/>
  <c r="N482" i="1" a="1"/>
  <c r="N482" i="1" s="1"/>
  <c r="N481" i="1" a="1"/>
  <c r="N481" i="1" s="1"/>
  <c r="N480" i="1" a="1"/>
  <c r="N480" i="1" s="1"/>
  <c r="N479" i="1" a="1"/>
  <c r="N479" i="1" s="1"/>
  <c r="N478" i="1" a="1"/>
  <c r="N478" i="1" s="1"/>
  <c r="N477" i="1" a="1"/>
  <c r="N477" i="1" s="1"/>
  <c r="N476" i="1" a="1"/>
  <c r="N476" i="1" s="1"/>
  <c r="N475" i="1" a="1"/>
  <c r="N475" i="1" s="1"/>
  <c r="N474" i="1" a="1"/>
  <c r="N474" i="1" s="1"/>
  <c r="N473" i="1" a="1"/>
  <c r="N473" i="1" s="1"/>
  <c r="N472" i="1" a="1"/>
  <c r="N472" i="1" s="1"/>
  <c r="N471" i="1" a="1"/>
  <c r="N471" i="1" s="1"/>
  <c r="N470" i="1" a="1"/>
  <c r="N470" i="1" s="1"/>
  <c r="N469" i="1" a="1"/>
  <c r="N469" i="1" s="1"/>
  <c r="N468" i="1" a="1"/>
  <c r="N468" i="1" s="1"/>
  <c r="N467" i="1" a="1"/>
  <c r="N467" i="1" s="1"/>
  <c r="N466" i="1" a="1"/>
  <c r="N466" i="1" s="1"/>
  <c r="N465" i="1" a="1"/>
  <c r="N465" i="1" s="1"/>
  <c r="N464" i="1" a="1"/>
  <c r="N464" i="1" s="1"/>
  <c r="N463" i="1" a="1"/>
  <c r="N463" i="1" s="1"/>
  <c r="N462" i="1" a="1"/>
  <c r="N462" i="1" s="1"/>
  <c r="N461" i="1" a="1"/>
  <c r="N461" i="1" s="1"/>
  <c r="N460" i="1" a="1"/>
  <c r="N460" i="1" s="1"/>
  <c r="N459" i="1" a="1"/>
  <c r="N459" i="1" s="1"/>
  <c r="N458" i="1" a="1"/>
  <c r="N458" i="1" s="1"/>
  <c r="N457" i="1" a="1"/>
  <c r="N457" i="1" s="1"/>
  <c r="N456" i="1" a="1"/>
  <c r="N456" i="1" s="1"/>
  <c r="N455" i="1" a="1"/>
  <c r="N455" i="1" s="1"/>
  <c r="N454" i="1" a="1"/>
  <c r="N454" i="1" s="1"/>
  <c r="N453" i="1" a="1"/>
  <c r="N453" i="1" s="1"/>
  <c r="N452" i="1" a="1"/>
  <c r="N452" i="1" s="1"/>
  <c r="N451" i="1" a="1"/>
  <c r="N451" i="1" s="1"/>
  <c r="N450" i="1" a="1"/>
  <c r="N450" i="1" s="1"/>
  <c r="N449" i="1" a="1"/>
  <c r="N449" i="1" s="1"/>
  <c r="N448" i="1" a="1"/>
  <c r="N448" i="1" s="1"/>
  <c r="N447" i="1" a="1"/>
  <c r="N447" i="1" s="1"/>
  <c r="N446" i="1" a="1"/>
  <c r="N446" i="1" s="1"/>
  <c r="N445" i="1" a="1"/>
  <c r="N445" i="1" s="1"/>
  <c r="N444" i="1" a="1"/>
  <c r="N444" i="1" s="1"/>
  <c r="N443" i="1" a="1"/>
  <c r="N443" i="1" s="1"/>
  <c r="N442" i="1" a="1"/>
  <c r="N442" i="1" s="1"/>
  <c r="N441" i="1" a="1"/>
  <c r="N441" i="1" s="1"/>
  <c r="N440" i="1" a="1"/>
  <c r="N440" i="1" s="1"/>
  <c r="N439" i="1" a="1"/>
  <c r="N439" i="1" s="1"/>
  <c r="N438" i="1" a="1"/>
  <c r="N438" i="1" s="1"/>
  <c r="N437" i="1" a="1"/>
  <c r="N437" i="1" s="1"/>
  <c r="N436" i="1" a="1"/>
  <c r="N436" i="1" s="1"/>
  <c r="N435" i="1" a="1"/>
  <c r="N435" i="1" s="1"/>
  <c r="N434" i="1" a="1"/>
  <c r="N434" i="1" s="1"/>
  <c r="N433" i="1" a="1"/>
  <c r="N433" i="1" s="1"/>
  <c r="N432" i="1" a="1"/>
  <c r="N432" i="1" s="1"/>
  <c r="N431" i="1" a="1"/>
  <c r="N431" i="1" s="1"/>
  <c r="N430" i="1" a="1"/>
  <c r="N430" i="1" s="1"/>
  <c r="N429" i="1" a="1"/>
  <c r="N429" i="1" s="1"/>
  <c r="N428" i="1" a="1"/>
  <c r="N428" i="1" s="1"/>
  <c r="N427" i="1" a="1"/>
  <c r="N427" i="1" s="1"/>
  <c r="N426" i="1" a="1"/>
  <c r="N426" i="1" s="1"/>
  <c r="N425" i="1" a="1"/>
  <c r="N425" i="1" s="1"/>
  <c r="N424" i="1" a="1"/>
  <c r="N424" i="1" s="1"/>
  <c r="N423" i="1" a="1"/>
  <c r="N423" i="1" s="1"/>
  <c r="N422" i="1" a="1"/>
  <c r="N422" i="1" s="1"/>
  <c r="N421" i="1" a="1"/>
  <c r="N421" i="1" s="1"/>
  <c r="N420" i="1" a="1"/>
  <c r="N420" i="1" s="1"/>
  <c r="N419" i="1" a="1"/>
  <c r="N419" i="1" s="1"/>
  <c r="N418" i="1" a="1"/>
  <c r="N418" i="1" s="1"/>
  <c r="N417" i="1" a="1"/>
  <c r="N417" i="1" s="1"/>
  <c r="N416" i="1" a="1"/>
  <c r="N416" i="1" s="1"/>
  <c r="N415" i="1" a="1"/>
  <c r="N415" i="1" s="1"/>
  <c r="N414" i="1" a="1"/>
  <c r="N414" i="1" s="1"/>
  <c r="N413" i="1" a="1"/>
  <c r="N413" i="1" s="1"/>
  <c r="N412" i="1" a="1"/>
  <c r="N412" i="1" s="1"/>
  <c r="N411" i="1" a="1"/>
  <c r="N411" i="1" s="1"/>
  <c r="N410" i="1" a="1"/>
  <c r="N410" i="1" s="1"/>
  <c r="N409" i="1" a="1"/>
  <c r="N409" i="1" s="1"/>
  <c r="N408" i="1" a="1"/>
  <c r="N408" i="1" s="1"/>
  <c r="N407" i="1" a="1"/>
  <c r="N407" i="1" s="1"/>
  <c r="N406" i="1" a="1"/>
  <c r="N406" i="1" s="1"/>
  <c r="N405" i="1" a="1"/>
  <c r="N405" i="1" s="1"/>
  <c r="N404" i="1" a="1"/>
  <c r="N404" i="1" s="1"/>
  <c r="N403" i="1" a="1"/>
  <c r="N403" i="1" s="1"/>
  <c r="N402" i="1" a="1"/>
  <c r="N402" i="1" s="1"/>
  <c r="N401" i="1" a="1"/>
  <c r="N401" i="1" s="1"/>
  <c r="N400" i="1" a="1"/>
  <c r="N400" i="1" s="1"/>
  <c r="N399" i="1" a="1"/>
  <c r="N399" i="1" s="1"/>
  <c r="N398" i="1" a="1"/>
  <c r="N398" i="1" s="1"/>
  <c r="N397" i="1" a="1"/>
  <c r="N397" i="1" s="1"/>
  <c r="N396" i="1" a="1"/>
  <c r="N396" i="1" s="1"/>
  <c r="N395" i="1" a="1"/>
  <c r="N395" i="1" s="1"/>
  <c r="N394" i="1" a="1"/>
  <c r="N394" i="1" s="1"/>
  <c r="N393" i="1" a="1"/>
  <c r="N393" i="1" s="1"/>
  <c r="N392" i="1" a="1"/>
  <c r="N392" i="1" s="1"/>
  <c r="N391" i="1" a="1"/>
  <c r="N391" i="1" s="1"/>
  <c r="N390" i="1" a="1"/>
  <c r="N390" i="1" s="1"/>
  <c r="N389" i="1" a="1"/>
  <c r="N389" i="1" s="1"/>
  <c r="N388" i="1" a="1"/>
  <c r="N388" i="1" s="1"/>
  <c r="N387" i="1" a="1"/>
  <c r="N387" i="1" s="1"/>
  <c r="N386" i="1" a="1"/>
  <c r="N386" i="1" s="1"/>
  <c r="N385" i="1" a="1"/>
  <c r="N385" i="1" s="1"/>
  <c r="N384" i="1" a="1"/>
  <c r="N384" i="1" s="1"/>
  <c r="N383" i="1" a="1"/>
  <c r="N383" i="1" s="1"/>
  <c r="N382" i="1" a="1"/>
  <c r="N382" i="1" s="1"/>
  <c r="N381" i="1" a="1"/>
  <c r="N381" i="1" s="1"/>
  <c r="N380" i="1" a="1"/>
  <c r="N380" i="1" s="1"/>
  <c r="N379" i="1" a="1"/>
  <c r="N379" i="1" s="1"/>
  <c r="N378" i="1" a="1"/>
  <c r="N378" i="1" s="1"/>
  <c r="N377" i="1" a="1"/>
  <c r="N377" i="1" s="1"/>
  <c r="N376" i="1" a="1"/>
  <c r="N376" i="1" s="1"/>
  <c r="N375" i="1" a="1"/>
  <c r="N375" i="1" s="1"/>
  <c r="N374" i="1" a="1"/>
  <c r="N374" i="1" s="1"/>
  <c r="N373" i="1" a="1"/>
  <c r="N373" i="1" s="1"/>
  <c r="N372" i="1" a="1"/>
  <c r="N372" i="1" s="1"/>
  <c r="N371" i="1" a="1"/>
  <c r="N371" i="1" s="1"/>
  <c r="N370" i="1" a="1"/>
  <c r="N370" i="1" s="1"/>
  <c r="N369" i="1" a="1"/>
  <c r="N369" i="1" s="1"/>
  <c r="N368" i="1" a="1"/>
  <c r="N368" i="1" s="1"/>
  <c r="N367" i="1" a="1"/>
  <c r="N367" i="1" s="1"/>
  <c r="N366" i="1" a="1"/>
  <c r="N366" i="1" s="1"/>
  <c r="N365" i="1" a="1"/>
  <c r="N365" i="1" s="1"/>
  <c r="N364" i="1" a="1"/>
  <c r="N364" i="1" s="1"/>
  <c r="N363" i="1" a="1"/>
  <c r="N363" i="1" s="1"/>
  <c r="N362" i="1" a="1"/>
  <c r="N362" i="1" s="1"/>
  <c r="N361" i="1" a="1"/>
  <c r="N361" i="1" s="1"/>
  <c r="N360" i="1" a="1"/>
  <c r="N360" i="1" s="1"/>
  <c r="N359" i="1" a="1"/>
  <c r="N359" i="1" s="1"/>
  <c r="N358" i="1" a="1"/>
  <c r="N358" i="1" s="1"/>
  <c r="N357" i="1" a="1"/>
  <c r="N357" i="1" s="1"/>
  <c r="N356" i="1" a="1"/>
  <c r="N356" i="1" s="1"/>
  <c r="N355" i="1" a="1"/>
  <c r="N355" i="1" s="1"/>
  <c r="N354" i="1" a="1"/>
  <c r="N354" i="1" s="1"/>
  <c r="N353" i="1" a="1"/>
  <c r="N353" i="1" s="1"/>
  <c r="N352" i="1" a="1"/>
  <c r="N352" i="1" s="1"/>
  <c r="N351" i="1" a="1"/>
  <c r="N351" i="1" s="1"/>
  <c r="N350" i="1" a="1"/>
  <c r="N350" i="1" s="1"/>
  <c r="N349" i="1" a="1"/>
  <c r="N349" i="1" s="1"/>
  <c r="N348" i="1" a="1"/>
  <c r="N348" i="1" s="1"/>
  <c r="N347" i="1" a="1"/>
  <c r="N347" i="1" s="1"/>
  <c r="N346" i="1" a="1"/>
  <c r="N346" i="1" s="1"/>
  <c r="N345" i="1" a="1"/>
  <c r="N345" i="1" s="1"/>
  <c r="N344" i="1" a="1"/>
  <c r="N344" i="1" s="1"/>
  <c r="N343" i="1" a="1"/>
  <c r="N343" i="1" s="1"/>
  <c r="N342" i="1" a="1"/>
  <c r="N342" i="1" s="1"/>
  <c r="N341" i="1" a="1"/>
  <c r="N341" i="1" s="1"/>
  <c r="N340" i="1" a="1"/>
  <c r="N340" i="1" s="1"/>
  <c r="N339" i="1" a="1"/>
  <c r="N339" i="1" s="1"/>
  <c r="N338" i="1" a="1"/>
  <c r="N338" i="1" s="1"/>
  <c r="N337" i="1" a="1"/>
  <c r="N337" i="1" s="1"/>
  <c r="N336" i="1" a="1"/>
  <c r="N336" i="1" s="1"/>
  <c r="N335" i="1" a="1"/>
  <c r="N335" i="1" s="1"/>
  <c r="N334" i="1" a="1"/>
  <c r="N334" i="1" s="1"/>
  <c r="N333" i="1" a="1"/>
  <c r="N333" i="1" s="1"/>
  <c r="N332" i="1" a="1"/>
  <c r="N332" i="1" s="1"/>
  <c r="N331" i="1" a="1"/>
  <c r="N331" i="1" s="1"/>
  <c r="N330" i="1" a="1"/>
  <c r="N330" i="1" s="1"/>
  <c r="N329" i="1" a="1"/>
  <c r="N329" i="1" s="1"/>
  <c r="N328" i="1" a="1"/>
  <c r="N328" i="1" s="1"/>
  <c r="N327" i="1" a="1"/>
  <c r="N327" i="1" s="1"/>
  <c r="N326" i="1" a="1"/>
  <c r="N326" i="1" s="1"/>
  <c r="N325" i="1" a="1"/>
  <c r="N325" i="1" s="1"/>
  <c r="N324" i="1" a="1"/>
  <c r="N324" i="1" s="1"/>
  <c r="N323" i="1" a="1"/>
  <c r="N323" i="1" s="1"/>
  <c r="N322" i="1" a="1"/>
  <c r="N322" i="1" s="1"/>
  <c r="N321" i="1" a="1"/>
  <c r="N321" i="1" s="1"/>
  <c r="N320" i="1" a="1"/>
  <c r="N320" i="1" s="1"/>
  <c r="N319" i="1" a="1"/>
  <c r="N319" i="1" s="1"/>
  <c r="N318" i="1" a="1"/>
  <c r="N318" i="1" s="1"/>
  <c r="N317" i="1" a="1"/>
  <c r="N317" i="1" s="1"/>
  <c r="N316" i="1" a="1"/>
  <c r="N316" i="1" s="1"/>
  <c r="N315" i="1" a="1"/>
  <c r="N315" i="1" s="1"/>
  <c r="N314" i="1" a="1"/>
  <c r="N314" i="1" s="1"/>
  <c r="N313" i="1" a="1"/>
  <c r="N313" i="1" s="1"/>
  <c r="N312" i="1" a="1"/>
  <c r="N312" i="1" s="1"/>
  <c r="N311" i="1" a="1"/>
  <c r="N311" i="1" s="1"/>
  <c r="N310" i="1" a="1"/>
  <c r="N310" i="1" s="1"/>
  <c r="N309" i="1" a="1"/>
  <c r="N309" i="1" s="1"/>
  <c r="N308" i="1" a="1"/>
  <c r="N308" i="1" s="1"/>
  <c r="N307" i="1" a="1"/>
  <c r="N307" i="1" s="1"/>
  <c r="N306" i="1" a="1"/>
  <c r="N306" i="1" s="1"/>
  <c r="N305" i="1" a="1"/>
  <c r="N305" i="1" s="1"/>
  <c r="N304" i="1" a="1"/>
  <c r="N304" i="1" s="1"/>
  <c r="N303" i="1" a="1"/>
  <c r="N303" i="1" s="1"/>
  <c r="N302" i="1" a="1"/>
  <c r="N302" i="1" s="1"/>
  <c r="N301" i="1" a="1"/>
  <c r="N301" i="1" s="1"/>
  <c r="N300" i="1" a="1"/>
  <c r="N300" i="1" s="1"/>
  <c r="N299" i="1" a="1"/>
  <c r="N299" i="1" s="1"/>
  <c r="N298" i="1" a="1"/>
  <c r="N298" i="1" s="1"/>
  <c r="N297" i="1" a="1"/>
  <c r="N297" i="1" s="1"/>
  <c r="N296" i="1" a="1"/>
  <c r="N296" i="1" s="1"/>
  <c r="N295" i="1" a="1"/>
  <c r="N295" i="1" s="1"/>
  <c r="N294" i="1" a="1"/>
  <c r="N294" i="1" s="1"/>
  <c r="N293" i="1" a="1"/>
  <c r="N293" i="1" s="1"/>
  <c r="N292" i="1" a="1"/>
  <c r="N292" i="1" s="1"/>
  <c r="N291" i="1" a="1"/>
  <c r="N291" i="1" s="1"/>
  <c r="N290" i="1" a="1"/>
  <c r="N290" i="1" s="1"/>
  <c r="N289" i="1" a="1"/>
  <c r="N289" i="1" s="1"/>
  <c r="N288" i="1" a="1"/>
  <c r="N288" i="1" s="1"/>
  <c r="N287" i="1" a="1"/>
  <c r="N287" i="1" s="1"/>
  <c r="N286" i="1" a="1"/>
  <c r="N286" i="1" s="1"/>
  <c r="N285" i="1" a="1"/>
  <c r="N285" i="1" s="1"/>
  <c r="N284" i="1" a="1"/>
  <c r="N284" i="1" s="1"/>
  <c r="N283" i="1" a="1"/>
  <c r="N283" i="1" s="1"/>
  <c r="N282" i="1" a="1"/>
  <c r="N282" i="1" s="1"/>
  <c r="N281" i="1" a="1"/>
  <c r="N281" i="1" s="1"/>
  <c r="N280" i="1" a="1"/>
  <c r="N280" i="1" s="1"/>
  <c r="N279" i="1" a="1"/>
  <c r="N279" i="1" s="1"/>
  <c r="N278" i="1" a="1"/>
  <c r="N278" i="1" s="1"/>
  <c r="N277" i="1"/>
  <c r="N277" i="1" a="1"/>
  <c r="N276" i="1" a="1"/>
  <c r="N276" i="1" s="1"/>
  <c r="N275" i="1" a="1"/>
  <c r="N275" i="1" s="1"/>
  <c r="N274" i="1" a="1"/>
  <c r="N274" i="1" s="1"/>
  <c r="N273" i="1" a="1"/>
  <c r="N273" i="1" s="1"/>
  <c r="N272" i="1" a="1"/>
  <c r="N272" i="1" s="1"/>
  <c r="N271" i="1" a="1"/>
  <c r="N271" i="1" s="1"/>
  <c r="N270" i="1"/>
  <c r="N270" i="1" a="1"/>
  <c r="N269" i="1"/>
  <c r="N269" i="1" a="1"/>
  <c r="N268" i="1" a="1"/>
  <c r="N268" i="1" s="1"/>
  <c r="N267" i="1" a="1"/>
  <c r="N267" i="1" s="1"/>
  <c r="N266" i="1" a="1"/>
  <c r="N266" i="1" s="1"/>
  <c r="N265" i="1" a="1"/>
  <c r="N265" i="1" s="1"/>
  <c r="N264" i="1" a="1"/>
  <c r="N264" i="1" s="1"/>
  <c r="N263" i="1" a="1"/>
  <c r="N263" i="1" s="1"/>
  <c r="N262" i="1" a="1"/>
  <c r="N262" i="1" s="1"/>
  <c r="N261" i="1" a="1"/>
  <c r="N261" i="1" s="1"/>
  <c r="N260" i="1" a="1"/>
  <c r="N260" i="1" s="1"/>
  <c r="N259" i="1"/>
  <c r="N259" i="1" a="1"/>
  <c r="N258" i="1" a="1"/>
  <c r="N258" i="1" s="1"/>
  <c r="N257" i="1"/>
  <c r="N257" i="1" a="1"/>
  <c r="N256" i="1" a="1"/>
  <c r="N256" i="1" s="1"/>
  <c r="N255" i="1" a="1"/>
  <c r="N255" i="1" s="1"/>
  <c r="N254" i="1" a="1"/>
  <c r="N254" i="1" s="1"/>
  <c r="N253" i="1" a="1"/>
  <c r="N253" i="1" s="1"/>
  <c r="N252" i="1" a="1"/>
  <c r="N252" i="1" s="1"/>
  <c r="N251" i="1" a="1"/>
  <c r="N251" i="1" s="1"/>
  <c r="N250" i="1" a="1"/>
  <c r="N250" i="1" s="1"/>
  <c r="N249" i="1" a="1"/>
  <c r="N249" i="1" s="1"/>
  <c r="N248" i="1" a="1"/>
  <c r="N248" i="1" s="1"/>
  <c r="N247" i="1" a="1"/>
  <c r="N247" i="1" s="1"/>
  <c r="N246" i="1" a="1"/>
  <c r="N246" i="1" s="1"/>
  <c r="N245" i="1" a="1"/>
  <c r="N245" i="1" s="1"/>
  <c r="N244" i="1" a="1"/>
  <c r="N244" i="1" s="1"/>
  <c r="N243" i="1" a="1"/>
  <c r="N243" i="1" s="1"/>
  <c r="N242" i="1" a="1"/>
  <c r="N242" i="1" s="1"/>
  <c r="N241" i="1" a="1"/>
  <c r="N241" i="1" s="1"/>
  <c r="N240" i="1" a="1"/>
  <c r="N240" i="1" s="1"/>
  <c r="N239" i="1" a="1"/>
  <c r="N239" i="1" s="1"/>
  <c r="N238" i="1" a="1"/>
  <c r="N238" i="1" s="1"/>
  <c r="N237" i="1" a="1"/>
  <c r="N237" i="1" s="1"/>
  <c r="N236" i="1" a="1"/>
  <c r="N236" i="1" s="1"/>
  <c r="N235" i="1"/>
  <c r="N235" i="1" a="1"/>
  <c r="N234" i="1" a="1"/>
  <c r="N234" i="1" s="1"/>
  <c r="N233" i="1" a="1"/>
  <c r="N233" i="1" s="1"/>
  <c r="N232" i="1" a="1"/>
  <c r="N232" i="1" s="1"/>
  <c r="N231" i="1" a="1"/>
  <c r="N231" i="1" s="1"/>
  <c r="N230" i="1" a="1"/>
  <c r="N230" i="1" s="1"/>
  <c r="N229" i="1"/>
  <c r="N229" i="1" a="1"/>
  <c r="N228" i="1" a="1"/>
  <c r="N228" i="1" s="1"/>
  <c r="N227" i="1" a="1"/>
  <c r="N227" i="1" s="1"/>
  <c r="N226" i="1" a="1"/>
  <c r="N226" i="1" s="1"/>
  <c r="N225" i="1" a="1"/>
  <c r="N225" i="1" s="1"/>
  <c r="N224" i="1" a="1"/>
  <c r="N224" i="1" s="1"/>
  <c r="N223" i="1" a="1"/>
  <c r="N223" i="1" s="1"/>
  <c r="N222" i="1"/>
  <c r="N222" i="1" a="1"/>
  <c r="N221" i="1"/>
  <c r="N221" i="1" a="1"/>
  <c r="N220" i="1" a="1"/>
  <c r="N220" i="1" s="1"/>
  <c r="N219" i="1" a="1"/>
  <c r="N219" i="1" s="1"/>
  <c r="N218" i="1" a="1"/>
  <c r="N218" i="1" s="1"/>
  <c r="N217" i="1"/>
  <c r="N217" i="1" a="1"/>
  <c r="N216" i="1" a="1"/>
  <c r="N216" i="1" s="1"/>
  <c r="N215" i="1" a="1"/>
  <c r="N215" i="1" s="1"/>
  <c r="N214" i="1" a="1"/>
  <c r="N214" i="1" s="1"/>
  <c r="N213" i="1" a="1"/>
  <c r="N213" i="1" s="1"/>
  <c r="N212" i="1" a="1"/>
  <c r="N212" i="1" s="1"/>
  <c r="N211" i="1"/>
  <c r="N211" i="1" a="1"/>
  <c r="N210" i="1" a="1"/>
  <c r="N210" i="1" s="1"/>
  <c r="N209" i="1"/>
  <c r="N209" i="1" a="1"/>
  <c r="N208" i="1" a="1"/>
  <c r="N208" i="1" s="1"/>
  <c r="N207" i="1" a="1"/>
  <c r="N207" i="1" s="1"/>
  <c r="N206" i="1" a="1"/>
  <c r="N206" i="1" s="1"/>
  <c r="N205" i="1" a="1"/>
  <c r="N205" i="1" s="1"/>
  <c r="N204" i="1" a="1"/>
  <c r="N204" i="1" s="1"/>
  <c r="N203" i="1" a="1"/>
  <c r="N203" i="1" s="1"/>
  <c r="N202" i="1" a="1"/>
  <c r="N202" i="1" s="1"/>
  <c r="N201" i="1" a="1"/>
  <c r="N201" i="1" s="1"/>
  <c r="N200" i="1" a="1"/>
  <c r="N200" i="1" s="1"/>
  <c r="N199" i="1" a="1"/>
  <c r="N199" i="1" s="1"/>
  <c r="N198" i="1" a="1"/>
  <c r="N198" i="1" s="1"/>
  <c r="N197" i="1" a="1"/>
  <c r="N197" i="1" s="1"/>
  <c r="N196" i="1" a="1"/>
  <c r="N196" i="1" s="1"/>
  <c r="N195" i="1" a="1"/>
  <c r="N195" i="1" s="1"/>
  <c r="N194" i="1" a="1"/>
  <c r="N194" i="1" s="1"/>
  <c r="N193" i="1" a="1"/>
  <c r="N193" i="1" s="1"/>
  <c r="N192" i="1" a="1"/>
  <c r="N192" i="1" s="1"/>
  <c r="N191" i="1" a="1"/>
  <c r="N191" i="1" s="1"/>
  <c r="N190" i="1" a="1"/>
  <c r="N190" i="1" s="1"/>
  <c r="N189" i="1" a="1"/>
  <c r="N189" i="1" s="1"/>
  <c r="N188" i="1" a="1"/>
  <c r="N188" i="1" s="1"/>
  <c r="N187" i="1"/>
  <c r="N187" i="1" a="1"/>
  <c r="N186" i="1" a="1"/>
  <c r="N186" i="1" s="1"/>
  <c r="N185" i="1" a="1"/>
  <c r="N185" i="1" s="1"/>
  <c r="N184" i="1" a="1"/>
  <c r="N184" i="1" s="1"/>
  <c r="N183" i="1" a="1"/>
  <c r="N183" i="1" s="1"/>
  <c r="N182" i="1" a="1"/>
  <c r="N182" i="1" s="1"/>
  <c r="N181" i="1"/>
  <c r="N181" i="1" a="1"/>
  <c r="N180" i="1" a="1"/>
  <c r="N180" i="1" s="1"/>
  <c r="N179" i="1" a="1"/>
  <c r="N179" i="1" s="1"/>
  <c r="N178" i="1" a="1"/>
  <c r="N178" i="1" s="1"/>
  <c r="N177" i="1" a="1"/>
  <c r="N177" i="1" s="1"/>
  <c r="N176" i="1" a="1"/>
  <c r="N176" i="1" s="1"/>
  <c r="N175" i="1" a="1"/>
  <c r="N175" i="1" s="1"/>
  <c r="N174" i="1"/>
  <c r="N174" i="1" a="1"/>
  <c r="N173" i="1"/>
  <c r="N173" i="1" a="1"/>
  <c r="N172" i="1" a="1"/>
  <c r="N172" i="1" s="1"/>
  <c r="N171" i="1" a="1"/>
  <c r="N171" i="1" s="1"/>
  <c r="N170" i="1" a="1"/>
  <c r="N170" i="1" s="1"/>
  <c r="N169" i="1"/>
  <c r="N169" i="1" a="1"/>
  <c r="N168" i="1" a="1"/>
  <c r="N168" i="1" s="1"/>
  <c r="N167" i="1" a="1"/>
  <c r="N167" i="1" s="1"/>
  <c r="N166" i="1" a="1"/>
  <c r="N166" i="1" s="1"/>
  <c r="N165" i="1" a="1"/>
  <c r="N165" i="1" s="1"/>
  <c r="N164" i="1" a="1"/>
  <c r="N164" i="1" s="1"/>
  <c r="N163" i="1"/>
  <c r="N163" i="1" a="1"/>
  <c r="N162" i="1" a="1"/>
  <c r="N162" i="1" s="1"/>
  <c r="N161" i="1"/>
  <c r="N161" i="1" a="1"/>
  <c r="N160" i="1" a="1"/>
  <c r="N160" i="1" s="1"/>
  <c r="N159" i="1" a="1"/>
  <c r="N159" i="1" s="1"/>
  <c r="N158" i="1" a="1"/>
  <c r="N158" i="1" s="1"/>
  <c r="N157" i="1" a="1"/>
  <c r="N157" i="1" s="1"/>
  <c r="N156" i="1" a="1"/>
  <c r="N156" i="1" s="1"/>
  <c r="N155" i="1" a="1"/>
  <c r="N155" i="1" s="1"/>
  <c r="N154" i="1" a="1"/>
  <c r="N154" i="1" s="1"/>
  <c r="N153" i="1" a="1"/>
  <c r="N153" i="1" s="1"/>
  <c r="N152" i="1" a="1"/>
  <c r="N152" i="1" s="1"/>
  <c r="N151" i="1" a="1"/>
  <c r="N151" i="1" s="1"/>
  <c r="N150" i="1" a="1"/>
  <c r="N150" i="1" s="1"/>
  <c r="N149" i="1" a="1"/>
  <c r="N149" i="1" s="1"/>
  <c r="N148" i="1" a="1"/>
  <c r="N148" i="1" s="1"/>
  <c r="N147" i="1" a="1"/>
  <c r="N147" i="1" s="1"/>
  <c r="N146" i="1" a="1"/>
  <c r="N146" i="1" s="1"/>
  <c r="N145" i="1" a="1"/>
  <c r="N145" i="1" s="1"/>
  <c r="N144" i="1" a="1"/>
  <c r="N144" i="1" s="1"/>
  <c r="N143" i="1" a="1"/>
  <c r="N143" i="1" s="1"/>
  <c r="N142" i="1" a="1"/>
  <c r="N142" i="1" s="1"/>
  <c r="N141" i="1" a="1"/>
  <c r="N141" i="1" s="1"/>
  <c r="N140" i="1" a="1"/>
  <c r="N140" i="1" s="1"/>
  <c r="N139" i="1"/>
  <c r="N139" i="1" a="1"/>
  <c r="N138" i="1" a="1"/>
  <c r="N138" i="1" s="1"/>
  <c r="N137" i="1" a="1"/>
  <c r="N137" i="1" s="1"/>
  <c r="N136" i="1" a="1"/>
  <c r="N136" i="1" s="1"/>
  <c r="N135" i="1" a="1"/>
  <c r="N135" i="1" s="1"/>
  <c r="N134" i="1" a="1"/>
  <c r="N134" i="1" s="1"/>
  <c r="N133" i="1"/>
  <c r="N133" i="1" a="1"/>
  <c r="N132" i="1" a="1"/>
  <c r="N132" i="1" s="1"/>
  <c r="N131" i="1" a="1"/>
  <c r="N131" i="1" s="1"/>
  <c r="N130" i="1" a="1"/>
  <c r="N130" i="1" s="1"/>
  <c r="N129" i="1" a="1"/>
  <c r="N129" i="1" s="1"/>
  <c r="N128" i="1" a="1"/>
  <c r="N128" i="1" s="1"/>
  <c r="N127" i="1" a="1"/>
  <c r="N127" i="1" s="1"/>
  <c r="N126" i="1"/>
  <c r="N126" i="1" a="1"/>
  <c r="N125" i="1"/>
  <c r="N125" i="1" a="1"/>
  <c r="N124" i="1" a="1"/>
  <c r="N124" i="1" s="1"/>
  <c r="N123" i="1" a="1"/>
  <c r="N123" i="1" s="1"/>
  <c r="N122" i="1" a="1"/>
  <c r="N122" i="1" s="1"/>
  <c r="N121" i="1"/>
  <c r="N121" i="1" a="1"/>
  <c r="N120" i="1" a="1"/>
  <c r="N120" i="1" s="1"/>
  <c r="N119" i="1" a="1"/>
  <c r="N119" i="1" s="1"/>
  <c r="N118" i="1" a="1"/>
  <c r="N118" i="1" s="1"/>
  <c r="N117" i="1" a="1"/>
  <c r="N117" i="1" s="1"/>
  <c r="N116" i="1" a="1"/>
  <c r="N116" i="1" s="1"/>
  <c r="N115" i="1"/>
  <c r="N115" i="1" a="1"/>
  <c r="N114" i="1" a="1"/>
  <c r="N114" i="1" s="1"/>
  <c r="N113" i="1"/>
  <c r="N113" i="1" a="1"/>
  <c r="N112" i="1" a="1"/>
  <c r="N112" i="1" s="1"/>
  <c r="N111" i="1" a="1"/>
  <c r="N111" i="1" s="1"/>
  <c r="N110" i="1" a="1"/>
  <c r="N110" i="1" s="1"/>
  <c r="N109" i="1" a="1"/>
  <c r="N109" i="1" s="1"/>
  <c r="N108" i="1" a="1"/>
  <c r="N108" i="1" s="1"/>
  <c r="N107" i="1" a="1"/>
  <c r="N107" i="1" s="1"/>
  <c r="N106" i="1" a="1"/>
  <c r="N106" i="1" s="1"/>
  <c r="N105" i="1" a="1"/>
  <c r="N105" i="1" s="1"/>
  <c r="N104" i="1" a="1"/>
  <c r="N104" i="1" s="1"/>
  <c r="N103" i="1" a="1"/>
  <c r="N103" i="1" s="1"/>
  <c r="N102" i="1" a="1"/>
  <c r="N102" i="1" s="1"/>
  <c r="N101" i="1" a="1"/>
  <c r="N101" i="1" s="1"/>
  <c r="N100" i="1" a="1"/>
  <c r="N100" i="1" s="1"/>
  <c r="N99" i="1" a="1"/>
  <c r="N99" i="1" s="1"/>
  <c r="N98" i="1" a="1"/>
  <c r="N98" i="1" s="1"/>
  <c r="N97" i="1" a="1"/>
  <c r="N97" i="1" s="1"/>
  <c r="N96" i="1" a="1"/>
  <c r="N96" i="1" s="1"/>
  <c r="N95" i="1" a="1"/>
  <c r="N95" i="1" s="1"/>
  <c r="N94" i="1" a="1"/>
  <c r="N94" i="1" s="1"/>
  <c r="N93" i="1" a="1"/>
  <c r="N93" i="1" s="1"/>
  <c r="N92" i="1" a="1"/>
  <c r="N92" i="1" s="1"/>
  <c r="N91" i="1"/>
  <c r="N91" i="1" a="1"/>
  <c r="N90" i="1" a="1"/>
  <c r="N90" i="1" s="1"/>
  <c r="N89" i="1" a="1"/>
  <c r="N89" i="1" s="1"/>
  <c r="N88" i="1" a="1"/>
  <c r="N88" i="1" s="1"/>
  <c r="N87" i="1" a="1"/>
  <c r="N87" i="1" s="1"/>
  <c r="N86" i="1" a="1"/>
  <c r="N86" i="1" s="1"/>
  <c r="N85" i="1"/>
  <c r="N85" i="1" a="1"/>
  <c r="N84" i="1" a="1"/>
  <c r="N84" i="1" s="1"/>
  <c r="N83" i="1" a="1"/>
  <c r="N83" i="1" s="1"/>
  <c r="N82" i="1" a="1"/>
  <c r="N82" i="1" s="1"/>
  <c r="N81" i="1" a="1"/>
  <c r="N81" i="1" s="1"/>
  <c r="N80" i="1" a="1"/>
  <c r="N80" i="1" s="1"/>
  <c r="N79" i="1" a="1"/>
  <c r="N79" i="1" s="1"/>
  <c r="N78" i="1"/>
  <c r="N78" i="1" a="1"/>
  <c r="N77" i="1"/>
  <c r="N77" i="1" a="1"/>
  <c r="N76" i="1" a="1"/>
  <c r="N76" i="1" s="1"/>
  <c r="N75" i="1" a="1"/>
  <c r="N75" i="1" s="1"/>
  <c r="N74" i="1" a="1"/>
  <c r="N74" i="1" s="1"/>
  <c r="N73" i="1"/>
  <c r="N73" i="1" a="1"/>
  <c r="N72" i="1" a="1"/>
  <c r="N72" i="1" s="1"/>
  <c r="N71" i="1" a="1"/>
  <c r="N71" i="1" s="1"/>
  <c r="N70" i="1" a="1"/>
  <c r="N70" i="1" s="1"/>
  <c r="N69" i="1" a="1"/>
  <c r="N69" i="1" s="1"/>
  <c r="N68" i="1" a="1"/>
  <c r="N68" i="1" s="1"/>
  <c r="N67" i="1"/>
  <c r="N67" i="1" a="1"/>
  <c r="N66" i="1" a="1"/>
  <c r="N66" i="1" s="1"/>
  <c r="N65" i="1"/>
  <c r="N65" i="1" a="1"/>
  <c r="N64" i="1" a="1"/>
  <c r="N64" i="1" s="1"/>
  <c r="N63" i="1" a="1"/>
  <c r="N63" i="1" s="1"/>
  <c r="N62" i="1" a="1"/>
  <c r="N62" i="1" s="1"/>
  <c r="N61" i="1" a="1"/>
  <c r="N61" i="1" s="1"/>
  <c r="N60" i="1" a="1"/>
  <c r="N60" i="1" s="1"/>
  <c r="N59" i="1" a="1"/>
  <c r="N59" i="1" s="1"/>
  <c r="N58" i="1" a="1"/>
  <c r="N58" i="1" s="1"/>
  <c r="N57" i="1" a="1"/>
  <c r="N57" i="1" s="1"/>
  <c r="N56" i="1" a="1"/>
  <c r="N56" i="1" s="1"/>
  <c r="N55" i="1" a="1"/>
  <c r="N55" i="1" s="1"/>
  <c r="N54" i="1" a="1"/>
  <c r="N54" i="1" s="1"/>
  <c r="N53" i="1" a="1"/>
  <c r="N53" i="1" s="1"/>
  <c r="N52" i="1" a="1"/>
  <c r="N52" i="1" s="1"/>
  <c r="N51" i="1" a="1"/>
  <c r="N51" i="1" s="1"/>
  <c r="N50" i="1" a="1"/>
  <c r="N50" i="1" s="1"/>
  <c r="N49" i="1" a="1"/>
  <c r="N49" i="1" s="1"/>
  <c r="N48" i="1" a="1"/>
  <c r="N48" i="1" s="1"/>
  <c r="N47" i="1" a="1"/>
  <c r="N47" i="1" s="1"/>
  <c r="N46" i="1" a="1"/>
  <c r="N46" i="1" s="1"/>
  <c r="N45" i="1" a="1"/>
  <c r="N45" i="1" s="1"/>
  <c r="N44" i="1" a="1"/>
  <c r="N44" i="1" s="1"/>
  <c r="N43" i="1"/>
  <c r="N43" i="1" a="1"/>
  <c r="N42" i="1" a="1"/>
  <c r="N42" i="1" s="1"/>
  <c r="N41" i="1" a="1"/>
  <c r="N41" i="1" s="1"/>
  <c r="N40" i="1" a="1"/>
  <c r="N40" i="1" s="1"/>
  <c r="N39" i="1" a="1"/>
  <c r="N39" i="1" s="1"/>
  <c r="N38" i="1" a="1"/>
  <c r="N38" i="1" s="1"/>
  <c r="N37" i="1"/>
  <c r="N37" i="1" a="1"/>
  <c r="N36" i="1" a="1"/>
  <c r="N36" i="1" s="1"/>
  <c r="N35" i="1" a="1"/>
  <c r="N35" i="1" s="1"/>
  <c r="N34" i="1" a="1"/>
  <c r="N34" i="1" s="1"/>
  <c r="N33" i="1" a="1"/>
  <c r="N33" i="1" s="1"/>
  <c r="N32" i="1" a="1"/>
  <c r="N32" i="1" s="1"/>
  <c r="N31" i="1" a="1"/>
  <c r="N31" i="1" s="1"/>
  <c r="N30" i="1"/>
  <c r="N30" i="1" a="1"/>
  <c r="N29" i="1"/>
  <c r="N29" i="1" a="1"/>
  <c r="N28" i="1" a="1"/>
  <c r="N28" i="1" s="1"/>
  <c r="N27" i="1" a="1"/>
  <c r="N27" i="1" s="1"/>
  <c r="N26" i="1" a="1"/>
  <c r="N26" i="1" s="1"/>
  <c r="N25" i="1"/>
  <c r="N25" i="1" a="1"/>
  <c r="N24" i="1" a="1"/>
  <c r="N24" i="1" s="1"/>
  <c r="N23" i="1" a="1"/>
  <c r="N23" i="1" s="1"/>
  <c r="N22" i="1" a="1"/>
  <c r="N22" i="1" s="1"/>
  <c r="N21" i="1" a="1"/>
  <c r="N21" i="1" s="1"/>
  <c r="N20" i="1" a="1"/>
  <c r="N20" i="1" s="1"/>
  <c r="N19" i="1"/>
  <c r="N19" i="1" a="1"/>
  <c r="N18" i="1" a="1"/>
  <c r="N18" i="1" s="1"/>
  <c r="N17" i="1"/>
  <c r="N17" i="1" a="1"/>
  <c r="N16" i="1" a="1"/>
  <c r="N16" i="1" s="1"/>
  <c r="N15" i="1" a="1"/>
  <c r="N15" i="1" s="1"/>
  <c r="N14" i="1" a="1"/>
  <c r="N14" i="1" s="1"/>
  <c r="N13" i="1" a="1"/>
  <c r="N13" i="1" s="1"/>
  <c r="N12" i="1" a="1"/>
  <c r="N12" i="1" s="1"/>
  <c r="N11" i="1" a="1"/>
  <c r="N11" i="1" s="1"/>
  <c r="N10" i="1" a="1"/>
  <c r="N10" i="1" s="1"/>
  <c r="N9" i="1" a="1"/>
  <c r="N9" i="1" s="1"/>
  <c r="N8" i="1" a="1"/>
  <c r="N8" i="1" s="1"/>
  <c r="N7" i="1" a="1"/>
  <c r="N7" i="1" s="1"/>
  <c r="N6" i="1" a="1"/>
  <c r="N6" i="1" s="1"/>
  <c r="N5" i="1"/>
  <c r="N5" i="1" a="1"/>
  <c r="N4" i="1" a="1"/>
  <c r="N4" i="1" s="1"/>
  <c r="N3" i="1"/>
  <c r="N3" i="1" a="1"/>
  <c r="N2" i="1" a="1"/>
  <c r="N2" i="1" s="1"/>
  <c r="R1029" i="1"/>
  <c r="R1028" i="1"/>
  <c r="R1027" i="1"/>
  <c r="R1026" i="1"/>
  <c r="R1025" i="1"/>
  <c r="R1024" i="1"/>
  <c r="R1023" i="1"/>
  <c r="R1022" i="1"/>
  <c r="R1021" i="1"/>
  <c r="R1020" i="1"/>
  <c r="R1019" i="1"/>
  <c r="R1018" i="1"/>
  <c r="R1017" i="1"/>
  <c r="R1016" i="1"/>
  <c r="R1015" i="1"/>
  <c r="R1014" i="1"/>
  <c r="R1013" i="1"/>
  <c r="R1012" i="1"/>
  <c r="R1011" i="1"/>
  <c r="R1010" i="1"/>
  <c r="R1009" i="1"/>
  <c r="R1008" i="1"/>
  <c r="R1007" i="1"/>
  <c r="R1006" i="1"/>
  <c r="R1005" i="1"/>
  <c r="R1004" i="1"/>
  <c r="R1003" i="1"/>
  <c r="R1002" i="1"/>
  <c r="R1001" i="1"/>
  <c r="R1000" i="1"/>
  <c r="R999" i="1"/>
  <c r="R998" i="1"/>
  <c r="R997" i="1"/>
  <c r="R996" i="1"/>
  <c r="R995" i="1"/>
  <c r="R994" i="1"/>
  <c r="R993" i="1"/>
  <c r="R992" i="1"/>
  <c r="R991" i="1"/>
  <c r="R990" i="1"/>
  <c r="R989" i="1"/>
  <c r="R988" i="1"/>
  <c r="R987" i="1"/>
  <c r="R986" i="1"/>
  <c r="R985" i="1"/>
  <c r="R984" i="1"/>
  <c r="R983" i="1"/>
  <c r="R982" i="1"/>
  <c r="R981" i="1"/>
  <c r="R980" i="1"/>
  <c r="R979" i="1"/>
  <c r="R978" i="1"/>
  <c r="R977" i="1"/>
  <c r="R976" i="1"/>
  <c r="R975" i="1"/>
  <c r="R974" i="1"/>
  <c r="R973" i="1"/>
  <c r="R972" i="1"/>
  <c r="R971" i="1"/>
  <c r="R970" i="1"/>
  <c r="R969" i="1"/>
  <c r="R968" i="1"/>
  <c r="R967" i="1"/>
  <c r="R966" i="1"/>
  <c r="R965" i="1"/>
  <c r="R964" i="1"/>
  <c r="R963" i="1"/>
  <c r="R962" i="1"/>
  <c r="R961" i="1"/>
  <c r="R960" i="1"/>
  <c r="R959" i="1"/>
  <c r="R958" i="1"/>
  <c r="R957" i="1"/>
  <c r="R956" i="1"/>
  <c r="R955" i="1"/>
  <c r="R954" i="1"/>
  <c r="R953" i="1"/>
  <c r="R952" i="1"/>
  <c r="R951" i="1"/>
  <c r="R950" i="1"/>
  <c r="R949" i="1"/>
  <c r="R948" i="1"/>
  <c r="R947" i="1"/>
  <c r="R946" i="1"/>
  <c r="R945" i="1"/>
  <c r="R944" i="1"/>
  <c r="R943" i="1"/>
  <c r="R942" i="1"/>
  <c r="R941" i="1"/>
  <c r="R940" i="1"/>
  <c r="R939" i="1"/>
  <c r="R938" i="1"/>
  <c r="R937" i="1"/>
  <c r="R936" i="1"/>
  <c r="R935" i="1"/>
  <c r="R934" i="1"/>
  <c r="R933" i="1"/>
  <c r="R932" i="1"/>
  <c r="R931" i="1"/>
  <c r="R930" i="1"/>
  <c r="R929" i="1"/>
  <c r="R928" i="1"/>
  <c r="R927" i="1"/>
  <c r="R925" i="1"/>
  <c r="R924" i="1"/>
  <c r="R923" i="1"/>
  <c r="R922" i="1"/>
  <c r="R921" i="1"/>
  <c r="R920" i="1"/>
  <c r="R919" i="1"/>
  <c r="R918" i="1"/>
  <c r="R917" i="1"/>
  <c r="R916" i="1"/>
  <c r="R915" i="1"/>
  <c r="R914" i="1"/>
  <c r="R913" i="1"/>
  <c r="R912" i="1"/>
  <c r="R911" i="1"/>
  <c r="R909" i="1"/>
  <c r="R908" i="1"/>
  <c r="R907" i="1"/>
  <c r="R906" i="1"/>
  <c r="R905" i="1"/>
  <c r="R904" i="1"/>
  <c r="R903" i="1"/>
  <c r="R901" i="1"/>
  <c r="R900" i="1"/>
  <c r="R899" i="1"/>
  <c r="R898" i="1"/>
  <c r="R897" i="1"/>
  <c r="R896" i="1"/>
  <c r="R895" i="1"/>
  <c r="R894" i="1"/>
  <c r="R893" i="1"/>
  <c r="R892" i="1"/>
  <c r="R891" i="1"/>
  <c r="R890" i="1"/>
  <c r="R889" i="1"/>
  <c r="R888" i="1"/>
  <c r="R887" i="1"/>
  <c r="R886" i="1"/>
  <c r="R885" i="1"/>
  <c r="R884" i="1"/>
  <c r="R883" i="1"/>
  <c r="R882" i="1"/>
  <c r="R881" i="1"/>
  <c r="R880" i="1"/>
  <c r="R879" i="1"/>
  <c r="R878" i="1"/>
  <c r="R877" i="1"/>
  <c r="R876" i="1"/>
  <c r="R875" i="1"/>
  <c r="R874" i="1"/>
  <c r="R873" i="1"/>
  <c r="R872" i="1"/>
  <c r="R871" i="1"/>
  <c r="R870" i="1"/>
  <c r="R869" i="1"/>
  <c r="R868" i="1"/>
  <c r="R867" i="1"/>
  <c r="R866" i="1"/>
  <c r="R865" i="1"/>
  <c r="R864" i="1"/>
  <c r="R863" i="1"/>
  <c r="R862" i="1"/>
  <c r="R861" i="1"/>
  <c r="R860" i="1"/>
  <c r="R859" i="1"/>
  <c r="R858" i="1"/>
  <c r="R857" i="1"/>
  <c r="R856" i="1"/>
  <c r="R855" i="1"/>
  <c r="R854" i="1"/>
  <c r="R853" i="1"/>
  <c r="R852" i="1"/>
  <c r="R851" i="1"/>
  <c r="R850" i="1"/>
  <c r="R849" i="1"/>
  <c r="R848" i="1"/>
  <c r="R847" i="1"/>
  <c r="R846" i="1"/>
  <c r="R845" i="1"/>
  <c r="R844" i="1"/>
  <c r="R843" i="1"/>
  <c r="R842" i="1"/>
  <c r="R841" i="1"/>
  <c r="R840" i="1"/>
  <c r="R839" i="1"/>
  <c r="R838" i="1"/>
  <c r="R837" i="1"/>
  <c r="R836" i="1"/>
  <c r="R835" i="1"/>
  <c r="R834" i="1"/>
  <c r="R833" i="1"/>
  <c r="R832" i="1"/>
  <c r="R831" i="1"/>
  <c r="R830" i="1"/>
  <c r="R829" i="1"/>
  <c r="R828" i="1"/>
  <c r="R827" i="1"/>
  <c r="R826" i="1"/>
  <c r="R825" i="1"/>
  <c r="R824" i="1"/>
  <c r="R823" i="1"/>
  <c r="R822" i="1"/>
  <c r="R821" i="1"/>
  <c r="R820" i="1"/>
  <c r="R819" i="1"/>
  <c r="R818" i="1"/>
  <c r="R817" i="1"/>
  <c r="R816" i="1"/>
  <c r="R815" i="1"/>
  <c r="R814" i="1"/>
  <c r="R813" i="1"/>
  <c r="R812" i="1"/>
  <c r="R811" i="1"/>
  <c r="R810" i="1"/>
  <c r="R809" i="1"/>
  <c r="R808" i="1"/>
  <c r="R807" i="1"/>
  <c r="R806" i="1"/>
  <c r="R805" i="1"/>
  <c r="R804" i="1"/>
  <c r="R803" i="1"/>
  <c r="R802" i="1"/>
  <c r="R801" i="1"/>
  <c r="R800" i="1"/>
  <c r="R799" i="1"/>
  <c r="R798" i="1"/>
  <c r="R797" i="1"/>
  <c r="R796" i="1"/>
  <c r="R795" i="1"/>
  <c r="R794" i="1"/>
  <c r="R793" i="1"/>
  <c r="R792" i="1"/>
  <c r="R791" i="1"/>
  <c r="R790" i="1"/>
  <c r="R789" i="1"/>
  <c r="R788" i="1"/>
  <c r="R787" i="1"/>
  <c r="R786" i="1"/>
  <c r="R785" i="1"/>
  <c r="R784" i="1"/>
  <c r="R783" i="1"/>
  <c r="R782" i="1"/>
  <c r="R781" i="1"/>
  <c r="R780" i="1"/>
  <c r="R779" i="1"/>
  <c r="R778" i="1"/>
  <c r="R777" i="1"/>
  <c r="R776" i="1"/>
  <c r="R775" i="1"/>
  <c r="R774" i="1"/>
  <c r="R773" i="1"/>
  <c r="R772" i="1"/>
  <c r="R771" i="1"/>
  <c r="R770" i="1"/>
  <c r="R769" i="1"/>
  <c r="R768" i="1"/>
  <c r="R767" i="1"/>
  <c r="R766" i="1"/>
  <c r="R765" i="1"/>
  <c r="R764" i="1"/>
  <c r="R763" i="1"/>
  <c r="R762" i="1"/>
  <c r="R761" i="1"/>
  <c r="R760" i="1"/>
  <c r="R759" i="1"/>
  <c r="R758" i="1"/>
  <c r="R757" i="1"/>
  <c r="R756" i="1"/>
  <c r="R755" i="1"/>
  <c r="R754" i="1"/>
  <c r="R753" i="1"/>
  <c r="R752" i="1"/>
  <c r="R751" i="1"/>
  <c r="R750" i="1"/>
  <c r="R749" i="1"/>
  <c r="R748" i="1"/>
  <c r="R747" i="1"/>
  <c r="R746" i="1"/>
  <c r="R745" i="1"/>
  <c r="R744" i="1"/>
  <c r="R743" i="1"/>
  <c r="R742" i="1"/>
  <c r="R741" i="1"/>
  <c r="R740" i="1"/>
  <c r="R739" i="1"/>
  <c r="R738" i="1"/>
  <c r="R737" i="1"/>
  <c r="R736" i="1"/>
  <c r="R735" i="1"/>
  <c r="R734" i="1"/>
  <c r="R733" i="1"/>
  <c r="R732" i="1"/>
  <c r="R731" i="1"/>
  <c r="R730" i="1"/>
  <c r="R729" i="1"/>
  <c r="R728" i="1"/>
  <c r="R727" i="1"/>
  <c r="R726" i="1"/>
  <c r="R725" i="1"/>
  <c r="R724" i="1"/>
  <c r="R723" i="1"/>
  <c r="R722" i="1"/>
  <c r="R721" i="1"/>
  <c r="R720" i="1"/>
  <c r="R719" i="1"/>
  <c r="R718" i="1"/>
  <c r="R717" i="1"/>
  <c r="R716" i="1"/>
  <c r="R715" i="1"/>
  <c r="R714" i="1"/>
  <c r="R713" i="1"/>
  <c r="R712" i="1"/>
  <c r="R711" i="1"/>
  <c r="R710" i="1"/>
  <c r="R709" i="1"/>
  <c r="R708" i="1"/>
  <c r="R707" i="1"/>
  <c r="R706" i="1"/>
  <c r="R705" i="1"/>
  <c r="R704" i="1"/>
  <c r="R703" i="1"/>
  <c r="R702" i="1"/>
  <c r="R701" i="1"/>
  <c r="R700" i="1"/>
  <c r="R699" i="1"/>
  <c r="R698" i="1"/>
  <c r="R697" i="1"/>
  <c r="R696" i="1"/>
  <c r="R695" i="1"/>
  <c r="R694" i="1"/>
  <c r="R693" i="1"/>
  <c r="R692" i="1"/>
  <c r="R691" i="1"/>
  <c r="R690" i="1"/>
  <c r="R689" i="1"/>
  <c r="R688" i="1"/>
  <c r="R687" i="1"/>
  <c r="R686" i="1"/>
  <c r="R685" i="1"/>
  <c r="R684" i="1"/>
  <c r="R683" i="1"/>
  <c r="R682" i="1"/>
  <c r="R681" i="1"/>
  <c r="R680" i="1"/>
  <c r="R679" i="1"/>
  <c r="R678" i="1"/>
  <c r="R677" i="1"/>
  <c r="R676" i="1"/>
  <c r="R675" i="1"/>
  <c r="R674" i="1"/>
  <c r="R673" i="1"/>
  <c r="R672" i="1"/>
  <c r="R671" i="1"/>
  <c r="R670" i="1"/>
  <c r="R669" i="1"/>
  <c r="R668" i="1"/>
  <c r="R667" i="1"/>
  <c r="R666" i="1"/>
  <c r="R665" i="1"/>
  <c r="R664" i="1"/>
  <c r="R663" i="1"/>
  <c r="R662" i="1"/>
  <c r="R661" i="1"/>
  <c r="R660" i="1"/>
  <c r="R659" i="1"/>
  <c r="R658" i="1"/>
  <c r="R657" i="1"/>
  <c r="R656" i="1"/>
  <c r="R655" i="1"/>
  <c r="R654" i="1"/>
  <c r="R653" i="1"/>
  <c r="R652" i="1"/>
  <c r="R651" i="1"/>
  <c r="R650" i="1"/>
  <c r="R649" i="1"/>
  <c r="R648" i="1"/>
  <c r="R647" i="1"/>
  <c r="R646" i="1"/>
  <c r="R645" i="1"/>
  <c r="R644" i="1"/>
  <c r="R643" i="1"/>
  <c r="R642" i="1"/>
  <c r="R641" i="1"/>
  <c r="R640" i="1"/>
  <c r="R639" i="1"/>
  <c r="R638" i="1"/>
  <c r="R637" i="1"/>
  <c r="R636" i="1"/>
  <c r="R635" i="1"/>
  <c r="R634" i="1"/>
  <c r="R633" i="1"/>
  <c r="R632" i="1"/>
  <c r="R631" i="1"/>
  <c r="R630" i="1"/>
  <c r="R629" i="1"/>
  <c r="R628" i="1"/>
  <c r="R627" i="1"/>
  <c r="R626" i="1"/>
  <c r="R625" i="1"/>
  <c r="R624" i="1"/>
  <c r="R623" i="1"/>
  <c r="R622" i="1"/>
  <c r="R621" i="1"/>
  <c r="R620" i="1"/>
  <c r="R619" i="1"/>
  <c r="R618" i="1"/>
  <c r="R617" i="1"/>
  <c r="R616" i="1"/>
  <c r="R615" i="1"/>
  <c r="R614" i="1"/>
  <c r="R613" i="1"/>
  <c r="R612" i="1"/>
  <c r="R611" i="1"/>
  <c r="R610" i="1"/>
  <c r="R609" i="1"/>
  <c r="R608" i="1"/>
  <c r="R607" i="1"/>
  <c r="R606" i="1"/>
  <c r="R605" i="1"/>
  <c r="R604" i="1"/>
  <c r="R603" i="1"/>
  <c r="R602" i="1"/>
  <c r="R601" i="1"/>
  <c r="R600" i="1"/>
  <c r="R599" i="1"/>
  <c r="R598" i="1"/>
  <c r="R597" i="1"/>
  <c r="R596" i="1"/>
  <c r="R595" i="1"/>
  <c r="R594" i="1"/>
  <c r="R593" i="1"/>
  <c r="R592" i="1"/>
  <c r="R591" i="1"/>
  <c r="R590" i="1"/>
  <c r="R589" i="1"/>
  <c r="R588" i="1"/>
  <c r="R587" i="1"/>
  <c r="R586" i="1"/>
  <c r="R585" i="1"/>
  <c r="R584" i="1"/>
  <c r="R583" i="1"/>
  <c r="R582" i="1"/>
  <c r="R581" i="1"/>
  <c r="R580" i="1"/>
  <c r="R579" i="1"/>
  <c r="R578" i="1"/>
  <c r="R577" i="1"/>
  <c r="R576" i="1"/>
  <c r="R575" i="1"/>
  <c r="R574" i="1"/>
  <c r="R573" i="1"/>
  <c r="R572" i="1"/>
  <c r="R571" i="1"/>
  <c r="R570" i="1"/>
  <c r="R569" i="1"/>
  <c r="R568" i="1"/>
  <c r="R567" i="1"/>
  <c r="R566" i="1"/>
  <c r="R565" i="1"/>
  <c r="R564" i="1"/>
  <c r="R563" i="1"/>
  <c r="R562" i="1"/>
  <c r="R561" i="1"/>
  <c r="R560" i="1"/>
  <c r="R559" i="1"/>
  <c r="R558" i="1"/>
  <c r="R557" i="1"/>
  <c r="R556" i="1"/>
  <c r="R555" i="1"/>
  <c r="R554" i="1"/>
  <c r="R553" i="1"/>
  <c r="R552" i="1"/>
  <c r="R551" i="1"/>
  <c r="R550" i="1"/>
  <c r="R549" i="1"/>
  <c r="R548" i="1"/>
  <c r="R547" i="1"/>
  <c r="R546" i="1"/>
  <c r="R545" i="1"/>
  <c r="R544" i="1"/>
  <c r="R543" i="1"/>
  <c r="R542" i="1"/>
  <c r="R541" i="1"/>
  <c r="R540" i="1"/>
  <c r="R539" i="1"/>
  <c r="R538" i="1"/>
  <c r="R537" i="1"/>
  <c r="R536" i="1"/>
  <c r="R535" i="1"/>
  <c r="R534" i="1"/>
  <c r="R533" i="1"/>
  <c r="R532" i="1"/>
  <c r="R531" i="1"/>
  <c r="R530" i="1"/>
  <c r="R529" i="1"/>
  <c r="R528" i="1"/>
  <c r="R527" i="1"/>
  <c r="R526" i="1"/>
  <c r="R525" i="1"/>
  <c r="R524" i="1"/>
  <c r="R523" i="1"/>
  <c r="R522" i="1"/>
  <c r="R521" i="1"/>
  <c r="R520" i="1"/>
  <c r="R519" i="1"/>
  <c r="R518" i="1"/>
  <c r="R517" i="1"/>
  <c r="R516" i="1"/>
  <c r="R515" i="1"/>
  <c r="R514" i="1"/>
  <c r="R513" i="1"/>
  <c r="R512" i="1"/>
  <c r="R511" i="1"/>
  <c r="R510" i="1"/>
  <c r="R509" i="1"/>
  <c r="R508" i="1"/>
  <c r="R507" i="1"/>
  <c r="R506" i="1"/>
  <c r="R505" i="1"/>
  <c r="R504" i="1"/>
  <c r="R503" i="1"/>
  <c r="R502" i="1"/>
  <c r="R501" i="1"/>
  <c r="R500" i="1"/>
  <c r="R499" i="1"/>
  <c r="R498" i="1"/>
  <c r="R497" i="1"/>
  <c r="R496" i="1"/>
  <c r="R495" i="1"/>
  <c r="R494" i="1"/>
  <c r="R493" i="1"/>
  <c r="R492" i="1"/>
  <c r="R491" i="1"/>
  <c r="R490" i="1"/>
  <c r="R489" i="1"/>
  <c r="R488" i="1"/>
  <c r="R487" i="1"/>
  <c r="R486" i="1"/>
  <c r="R485" i="1"/>
  <c r="R484" i="1"/>
  <c r="R483" i="1"/>
  <c r="R482" i="1"/>
  <c r="R481" i="1"/>
  <c r="R480" i="1"/>
  <c r="R479" i="1"/>
  <c r="R478" i="1"/>
  <c r="R477" i="1"/>
  <c r="R476" i="1"/>
  <c r="R475" i="1"/>
  <c r="R474" i="1"/>
  <c r="R473" i="1"/>
  <c r="R472" i="1"/>
  <c r="R471" i="1"/>
  <c r="R470" i="1"/>
  <c r="R469" i="1"/>
  <c r="R468" i="1"/>
  <c r="R467" i="1"/>
  <c r="R466" i="1"/>
  <c r="R465" i="1"/>
  <c r="R464" i="1"/>
  <c r="R463" i="1"/>
  <c r="R462" i="1"/>
  <c r="R461" i="1"/>
  <c r="R460" i="1"/>
  <c r="R459" i="1"/>
  <c r="R458" i="1"/>
  <c r="R457" i="1"/>
  <c r="R456" i="1"/>
  <c r="R455" i="1"/>
  <c r="R454" i="1"/>
  <c r="R453" i="1"/>
  <c r="R452" i="1"/>
  <c r="R451" i="1"/>
  <c r="R450" i="1"/>
  <c r="R449" i="1"/>
  <c r="R448" i="1"/>
  <c r="R447" i="1"/>
  <c r="R446" i="1"/>
  <c r="R445" i="1"/>
  <c r="R444" i="1"/>
  <c r="R443" i="1"/>
  <c r="R442" i="1"/>
  <c r="R441" i="1"/>
  <c r="R440" i="1"/>
  <c r="R439" i="1"/>
  <c r="R438" i="1"/>
  <c r="R437" i="1"/>
  <c r="R436" i="1"/>
  <c r="R435" i="1"/>
  <c r="R434" i="1"/>
  <c r="R433" i="1"/>
  <c r="R432" i="1"/>
  <c r="R431" i="1"/>
  <c r="R430" i="1"/>
  <c r="R429" i="1"/>
  <c r="R428" i="1"/>
  <c r="R427" i="1"/>
  <c r="R426" i="1"/>
  <c r="R425" i="1"/>
  <c r="R424" i="1"/>
  <c r="R423" i="1"/>
  <c r="R422" i="1"/>
  <c r="R421" i="1"/>
  <c r="R420" i="1"/>
  <c r="R419" i="1"/>
  <c r="R418" i="1"/>
  <c r="R417" i="1"/>
  <c r="R416" i="1"/>
  <c r="R415" i="1"/>
  <c r="R414" i="1"/>
  <c r="R413" i="1"/>
  <c r="R412" i="1"/>
  <c r="R411" i="1"/>
  <c r="R410" i="1"/>
  <c r="R409" i="1"/>
  <c r="R408" i="1"/>
  <c r="R407" i="1"/>
  <c r="R406" i="1"/>
  <c r="R405" i="1"/>
  <c r="R404" i="1"/>
  <c r="R403" i="1"/>
  <c r="R402" i="1"/>
  <c r="R401" i="1"/>
  <c r="R400" i="1"/>
  <c r="R399" i="1"/>
  <c r="R398" i="1"/>
  <c r="R397" i="1"/>
  <c r="R396" i="1"/>
  <c r="R395" i="1"/>
  <c r="R394" i="1"/>
  <c r="R393" i="1"/>
  <c r="R392" i="1"/>
  <c r="R391" i="1"/>
  <c r="R390" i="1"/>
  <c r="R389" i="1"/>
  <c r="R388" i="1"/>
  <c r="R387" i="1"/>
  <c r="R386" i="1"/>
  <c r="R385" i="1"/>
  <c r="R384" i="1"/>
  <c r="R383" i="1"/>
  <c r="R382" i="1"/>
  <c r="R381" i="1"/>
  <c r="R380" i="1"/>
  <c r="R379" i="1"/>
  <c r="R378" i="1"/>
  <c r="R377" i="1"/>
  <c r="R376" i="1"/>
  <c r="R375" i="1"/>
  <c r="R374" i="1"/>
  <c r="R373" i="1"/>
  <c r="R372" i="1"/>
  <c r="R371" i="1"/>
  <c r="R370" i="1"/>
  <c r="R369" i="1"/>
  <c r="R368" i="1"/>
  <c r="R367" i="1"/>
  <c r="R366" i="1"/>
  <c r="R365" i="1"/>
  <c r="R364" i="1"/>
  <c r="R363" i="1"/>
  <c r="R362" i="1"/>
  <c r="R361" i="1"/>
  <c r="R360" i="1"/>
  <c r="R359" i="1"/>
  <c r="R358" i="1"/>
  <c r="R357" i="1"/>
  <c r="R356" i="1"/>
  <c r="R355" i="1"/>
  <c r="R354" i="1"/>
  <c r="R353" i="1"/>
  <c r="R352" i="1"/>
  <c r="R351" i="1"/>
  <c r="R350" i="1"/>
  <c r="R349" i="1"/>
  <c r="R348" i="1"/>
  <c r="R347" i="1"/>
  <c r="R346" i="1"/>
  <c r="R345" i="1"/>
  <c r="R344" i="1"/>
  <c r="R343" i="1"/>
  <c r="R342" i="1"/>
  <c r="R341" i="1"/>
  <c r="R340" i="1"/>
  <c r="R339" i="1"/>
  <c r="R338" i="1"/>
  <c r="R337" i="1"/>
  <c r="R336" i="1"/>
  <c r="R335" i="1"/>
  <c r="R334" i="1"/>
  <c r="R333" i="1"/>
  <c r="R332" i="1"/>
  <c r="R331" i="1"/>
  <c r="R330" i="1"/>
  <c r="R329" i="1"/>
  <c r="R328" i="1"/>
  <c r="R327" i="1"/>
  <c r="R326" i="1"/>
  <c r="R325" i="1"/>
  <c r="R324" i="1"/>
  <c r="R323" i="1"/>
  <c r="R322" i="1"/>
  <c r="R321" i="1"/>
  <c r="R320" i="1"/>
  <c r="R319" i="1"/>
  <c r="R318" i="1"/>
  <c r="R317" i="1"/>
  <c r="R316" i="1"/>
  <c r="R315" i="1"/>
  <c r="R314" i="1"/>
  <c r="R313" i="1"/>
  <c r="R312" i="1"/>
  <c r="R311" i="1"/>
  <c r="R310" i="1"/>
  <c r="R309" i="1"/>
  <c r="R308" i="1"/>
  <c r="R307" i="1"/>
  <c r="R306" i="1"/>
  <c r="R305" i="1"/>
  <c r="R304" i="1"/>
  <c r="R303" i="1"/>
  <c r="R302" i="1"/>
  <c r="R301" i="1"/>
  <c r="R300" i="1"/>
  <c r="R299" i="1"/>
  <c r="R298" i="1"/>
  <c r="R297" i="1"/>
  <c r="R296" i="1"/>
  <c r="R295" i="1"/>
  <c r="R294" i="1"/>
  <c r="R293" i="1"/>
  <c r="R292" i="1"/>
  <c r="R291" i="1"/>
  <c r="R290" i="1"/>
  <c r="R289" i="1"/>
  <c r="R288" i="1"/>
  <c r="R287" i="1"/>
  <c r="R286" i="1"/>
  <c r="R285" i="1"/>
  <c r="R284" i="1"/>
  <c r="R283" i="1"/>
  <c r="R282" i="1"/>
  <c r="R281" i="1"/>
  <c r="R280" i="1"/>
  <c r="R279" i="1"/>
  <c r="R278" i="1"/>
  <c r="R277" i="1"/>
  <c r="R276" i="1"/>
  <c r="R275" i="1"/>
  <c r="R274" i="1"/>
  <c r="R273" i="1"/>
  <c r="R272" i="1"/>
  <c r="R271" i="1"/>
  <c r="R270" i="1"/>
  <c r="R269" i="1"/>
  <c r="R268" i="1"/>
  <c r="R267" i="1"/>
  <c r="R266" i="1"/>
  <c r="R265" i="1"/>
  <c r="R264" i="1"/>
  <c r="R263" i="1"/>
  <c r="R262" i="1"/>
  <c r="R261" i="1"/>
  <c r="R260" i="1"/>
  <c r="R259" i="1"/>
  <c r="R258" i="1"/>
  <c r="R257" i="1"/>
  <c r="R256" i="1"/>
  <c r="R255" i="1"/>
  <c r="R254" i="1"/>
  <c r="R253" i="1"/>
  <c r="R252" i="1"/>
  <c r="R251" i="1"/>
  <c r="R250" i="1"/>
  <c r="R249" i="1"/>
  <c r="R248" i="1"/>
  <c r="R247" i="1"/>
  <c r="R246" i="1"/>
  <c r="R245" i="1"/>
  <c r="R244" i="1"/>
  <c r="R243" i="1"/>
  <c r="R242" i="1"/>
  <c r="R241" i="1"/>
  <c r="R240" i="1"/>
  <c r="R239" i="1"/>
  <c r="R238" i="1"/>
  <c r="R237" i="1"/>
  <c r="R236" i="1"/>
  <c r="R235" i="1"/>
  <c r="R234" i="1"/>
  <c r="R233" i="1"/>
  <c r="R232" i="1"/>
  <c r="R231" i="1"/>
  <c r="R230" i="1"/>
  <c r="R229" i="1"/>
  <c r="R228" i="1"/>
  <c r="R227" i="1"/>
  <c r="R226" i="1"/>
  <c r="R225" i="1"/>
  <c r="R224" i="1"/>
  <c r="R223" i="1"/>
  <c r="R222" i="1"/>
  <c r="R221" i="1"/>
  <c r="R220" i="1"/>
  <c r="R219" i="1"/>
  <c r="R218" i="1"/>
  <c r="R217" i="1"/>
  <c r="R216" i="1"/>
  <c r="R215" i="1"/>
  <c r="R214" i="1"/>
  <c r="R213" i="1"/>
  <c r="R212" i="1"/>
  <c r="R211" i="1"/>
  <c r="R210" i="1"/>
  <c r="R209" i="1"/>
  <c r="R208" i="1"/>
  <c r="R207" i="1"/>
  <c r="R206" i="1"/>
  <c r="R205" i="1"/>
  <c r="R204" i="1"/>
  <c r="R203" i="1"/>
  <c r="R202" i="1"/>
  <c r="R201" i="1"/>
  <c r="R200" i="1"/>
  <c r="R199" i="1"/>
  <c r="R198" i="1"/>
  <c r="R197" i="1"/>
  <c r="R196" i="1"/>
  <c r="R195" i="1"/>
  <c r="R194" i="1"/>
  <c r="R193" i="1"/>
  <c r="R192" i="1"/>
  <c r="R191" i="1"/>
  <c r="R190" i="1"/>
  <c r="R189" i="1"/>
  <c r="R188" i="1"/>
  <c r="R187" i="1"/>
  <c r="R186" i="1"/>
  <c r="R185" i="1"/>
  <c r="R184" i="1"/>
  <c r="R183" i="1"/>
  <c r="R182" i="1"/>
  <c r="R181" i="1"/>
  <c r="R180" i="1"/>
  <c r="R179" i="1"/>
  <c r="R178" i="1"/>
  <c r="R177" i="1"/>
  <c r="R176" i="1"/>
  <c r="R175" i="1"/>
  <c r="R174" i="1"/>
  <c r="R173" i="1"/>
  <c r="R172" i="1"/>
  <c r="R171" i="1"/>
  <c r="R170" i="1"/>
  <c r="R169" i="1"/>
  <c r="R168" i="1"/>
  <c r="R167" i="1"/>
  <c r="R166" i="1"/>
  <c r="R165" i="1"/>
  <c r="R164" i="1"/>
  <c r="R163" i="1"/>
  <c r="R162" i="1"/>
  <c r="R161" i="1"/>
  <c r="R160" i="1"/>
  <c r="R159" i="1"/>
  <c r="R158" i="1"/>
  <c r="R157" i="1"/>
  <c r="R156" i="1"/>
  <c r="R155" i="1"/>
  <c r="R154" i="1"/>
  <c r="R153" i="1"/>
  <c r="R152" i="1"/>
  <c r="R151" i="1"/>
  <c r="R150" i="1"/>
  <c r="R149" i="1"/>
  <c r="R148" i="1"/>
  <c r="R147" i="1"/>
  <c r="R146" i="1"/>
  <c r="R145" i="1"/>
  <c r="R144" i="1"/>
  <c r="R143" i="1"/>
  <c r="R142" i="1"/>
  <c r="R141" i="1"/>
  <c r="R140" i="1"/>
  <c r="R139" i="1"/>
  <c r="R138" i="1"/>
  <c r="R137" i="1"/>
  <c r="R136" i="1"/>
  <c r="R135" i="1"/>
  <c r="R134" i="1"/>
  <c r="R133" i="1"/>
  <c r="R132" i="1"/>
  <c r="R131" i="1"/>
  <c r="R130" i="1"/>
  <c r="R129" i="1"/>
  <c r="R128" i="1"/>
  <c r="R127" i="1"/>
  <c r="R126" i="1"/>
  <c r="R125" i="1"/>
  <c r="R124" i="1"/>
  <c r="R123" i="1"/>
  <c r="R122" i="1"/>
  <c r="R121" i="1"/>
  <c r="R120" i="1"/>
  <c r="R119" i="1"/>
  <c r="R118" i="1"/>
  <c r="R117" i="1"/>
  <c r="R116" i="1"/>
  <c r="R115" i="1"/>
  <c r="R114" i="1"/>
  <c r="R113" i="1"/>
  <c r="R112" i="1"/>
  <c r="R111" i="1"/>
  <c r="R110" i="1"/>
  <c r="R109" i="1"/>
  <c r="R108" i="1"/>
  <c r="R107" i="1"/>
  <c r="R106" i="1"/>
  <c r="R105" i="1"/>
  <c r="R104" i="1"/>
  <c r="R103" i="1"/>
  <c r="R102" i="1"/>
  <c r="R101" i="1"/>
  <c r="R100" i="1"/>
  <c r="R99" i="1"/>
  <c r="R98" i="1"/>
  <c r="R97" i="1"/>
  <c r="R96" i="1"/>
  <c r="R95" i="1"/>
  <c r="R94" i="1"/>
  <c r="R93" i="1"/>
  <c r="R92" i="1"/>
  <c r="R91" i="1"/>
  <c r="R90" i="1"/>
  <c r="R89" i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5" i="1"/>
  <c r="R4" i="1"/>
  <c r="R3" i="1"/>
  <c r="R2" i="1"/>
  <c r="R6" i="1"/>
  <c r="Q1008" i="1"/>
  <c r="Q1006" i="1"/>
  <c r="Q984" i="1"/>
  <c r="Q982" i="1"/>
  <c r="Q960" i="1"/>
  <c r="Q936" i="1"/>
  <c r="Q912" i="1"/>
  <c r="Q886" i="1"/>
  <c r="Q864" i="1"/>
  <c r="Q840" i="1"/>
  <c r="Q838" i="1"/>
  <c r="Q816" i="1"/>
  <c r="Q814" i="1"/>
  <c r="Q792" i="1"/>
  <c r="Q790" i="1"/>
  <c r="Q768" i="1"/>
  <c r="Q766" i="1"/>
  <c r="Q744" i="1"/>
  <c r="Q742" i="1"/>
  <c r="Q720" i="1"/>
  <c r="Q696" i="1"/>
  <c r="Q694" i="1"/>
  <c r="Q672" i="1"/>
  <c r="Q670" i="1"/>
  <c r="Q648" i="1"/>
  <c r="Q646" i="1"/>
  <c r="Q624" i="1"/>
  <c r="Q622" i="1"/>
  <c r="Q600" i="1"/>
  <c r="Q598" i="1"/>
  <c r="Q576" i="1"/>
  <c r="Q574" i="1"/>
  <c r="Q552" i="1"/>
  <c r="Q550" i="1"/>
  <c r="Q528" i="1"/>
  <c r="Q526" i="1"/>
  <c r="Q504" i="1"/>
  <c r="Q502" i="1"/>
  <c r="Q480" i="1"/>
  <c r="Q478" i="1"/>
  <c r="Q456" i="1"/>
  <c r="Q454" i="1"/>
  <c r="Q432" i="1"/>
  <c r="Q430" i="1"/>
  <c r="Q408" i="1"/>
  <c r="Q406" i="1"/>
  <c r="Q384" i="1"/>
  <c r="Q382" i="1"/>
  <c r="Q360" i="1"/>
  <c r="Q358" i="1"/>
  <c r="Q336" i="1"/>
  <c r="Q334" i="1"/>
  <c r="Q312" i="1"/>
  <c r="Q310" i="1"/>
  <c r="Q288" i="1"/>
  <c r="Q286" i="1"/>
  <c r="Q269" i="1"/>
  <c r="Q268" i="1"/>
  <c r="Q267" i="1"/>
  <c r="Q265" i="1"/>
  <c r="Q264" i="1"/>
  <c r="Q262" i="1"/>
  <c r="Q261" i="1"/>
  <c r="Q241" i="1"/>
  <c r="Q240" i="1"/>
  <c r="Q238" i="1"/>
  <c r="Q237" i="1"/>
  <c r="Q216" i="1"/>
  <c r="Q214" i="1"/>
  <c r="Q197" i="1"/>
  <c r="Q196" i="1"/>
  <c r="Q192" i="1"/>
  <c r="Q190" i="1"/>
  <c r="Q168" i="1"/>
  <c r="Q166" i="1"/>
  <c r="Q144" i="1"/>
  <c r="Q142" i="1"/>
  <c r="Q133" i="1"/>
  <c r="Q132" i="1"/>
  <c r="Q131" i="1"/>
  <c r="Q129" i="1"/>
  <c r="Q121" i="1"/>
  <c r="Q120" i="1"/>
  <c r="Q118" i="1"/>
  <c r="Q101" i="1"/>
  <c r="Q100" i="1"/>
  <c r="Q97" i="1"/>
  <c r="Q96" i="1"/>
  <c r="Q94" i="1"/>
  <c r="Q89" i="1"/>
  <c r="Q88" i="1"/>
  <c r="Q85" i="1"/>
  <c r="Q84" i="1"/>
  <c r="Q83" i="1"/>
  <c r="Q81" i="1"/>
  <c r="Q80" i="1"/>
  <c r="Q77" i="1"/>
  <c r="Q73" i="1"/>
  <c r="Q72" i="1"/>
  <c r="Q70" i="1"/>
  <c r="Q69" i="1"/>
  <c r="Q68" i="1"/>
  <c r="Q67" i="1"/>
  <c r="Q53" i="1"/>
  <c r="Q52" i="1"/>
  <c r="Q51" i="1"/>
  <c r="Q48" i="1"/>
  <c r="Q46" i="1"/>
  <c r="Q45" i="1"/>
  <c r="Q41" i="1"/>
  <c r="Q40" i="1"/>
  <c r="Q33" i="1"/>
  <c r="Q32" i="1"/>
  <c r="Q25" i="1"/>
  <c r="Q24" i="1"/>
  <c r="Q22" i="1"/>
  <c r="Q21" i="1"/>
  <c r="Q17" i="1"/>
  <c r="Q5" i="1"/>
  <c r="Q4" i="1"/>
  <c r="H1029" i="1" a="1"/>
  <c r="H1029" i="1" s="1"/>
  <c r="H1028" i="1" a="1"/>
  <c r="H1028" i="1" s="1"/>
  <c r="H1027" i="1" a="1"/>
  <c r="H1027" i="1" s="1"/>
  <c r="H1026" i="1" a="1"/>
  <c r="H1026" i="1" s="1"/>
  <c r="H1025" i="1" a="1"/>
  <c r="H1025" i="1" s="1"/>
  <c r="H1024" i="1" a="1"/>
  <c r="H1024" i="1" s="1"/>
  <c r="H1023" i="1" a="1"/>
  <c r="H1023" i="1" s="1"/>
  <c r="H1022" i="1" a="1"/>
  <c r="H1022" i="1" s="1"/>
  <c r="H1021" i="1" a="1"/>
  <c r="H1021" i="1" s="1"/>
  <c r="H1020" i="1" a="1"/>
  <c r="H1020" i="1" s="1"/>
  <c r="H1019" i="1" a="1"/>
  <c r="H1019" i="1" s="1"/>
  <c r="H1018" i="1" a="1"/>
  <c r="H1018" i="1" s="1"/>
  <c r="H1017" i="1" a="1"/>
  <c r="H1017" i="1" s="1"/>
  <c r="H1016" i="1" a="1"/>
  <c r="H1016" i="1" s="1"/>
  <c r="H1015" i="1" a="1"/>
  <c r="H1015" i="1" s="1"/>
  <c r="H1014" i="1" a="1"/>
  <c r="H1014" i="1" s="1"/>
  <c r="H1013" i="1" a="1"/>
  <c r="H1013" i="1" s="1"/>
  <c r="H1012" i="1" a="1"/>
  <c r="H1012" i="1" s="1"/>
  <c r="H1011" i="1" a="1"/>
  <c r="H1011" i="1" s="1"/>
  <c r="H1010" i="1" a="1"/>
  <c r="H1010" i="1" s="1"/>
  <c r="H1009" i="1" a="1"/>
  <c r="H1009" i="1" s="1"/>
  <c r="H1008" i="1" a="1"/>
  <c r="H1008" i="1" s="1"/>
  <c r="H1007" i="1" a="1"/>
  <c r="H1007" i="1" s="1"/>
  <c r="H1006" i="1" a="1"/>
  <c r="H1006" i="1" s="1"/>
  <c r="H1005" i="1" a="1"/>
  <c r="H1005" i="1" s="1"/>
  <c r="H1004" i="1" a="1"/>
  <c r="H1004" i="1" s="1"/>
  <c r="H1003" i="1" a="1"/>
  <c r="H1003" i="1" s="1"/>
  <c r="H1002" i="1" a="1"/>
  <c r="H1002" i="1" s="1"/>
  <c r="H1001" i="1" a="1"/>
  <c r="H1001" i="1" s="1"/>
  <c r="H1000" i="1" a="1"/>
  <c r="H1000" i="1" s="1"/>
  <c r="H999" i="1" a="1"/>
  <c r="H999" i="1" s="1"/>
  <c r="H998" i="1" a="1"/>
  <c r="H998" i="1" s="1"/>
  <c r="H997" i="1" a="1"/>
  <c r="H997" i="1" s="1"/>
  <c r="H996" i="1" a="1"/>
  <c r="H996" i="1" s="1"/>
  <c r="H995" i="1" a="1"/>
  <c r="H995" i="1" s="1"/>
  <c r="H994" i="1" a="1"/>
  <c r="H994" i="1" s="1"/>
  <c r="H993" i="1" a="1"/>
  <c r="H993" i="1" s="1"/>
  <c r="H992" i="1" a="1"/>
  <c r="H992" i="1" s="1"/>
  <c r="H991" i="1" a="1"/>
  <c r="H991" i="1" s="1"/>
  <c r="H990" i="1" a="1"/>
  <c r="H990" i="1" s="1"/>
  <c r="H989" i="1" a="1"/>
  <c r="H989" i="1" s="1"/>
  <c r="H988" i="1" a="1"/>
  <c r="H988" i="1" s="1"/>
  <c r="H987" i="1" a="1"/>
  <c r="H987" i="1" s="1"/>
  <c r="H986" i="1" a="1"/>
  <c r="H986" i="1" s="1"/>
  <c r="H985" i="1" a="1"/>
  <c r="H985" i="1" s="1"/>
  <c r="H984" i="1" a="1"/>
  <c r="H984" i="1" s="1"/>
  <c r="H983" i="1" a="1"/>
  <c r="H983" i="1" s="1"/>
  <c r="H982" i="1" a="1"/>
  <c r="H982" i="1" s="1"/>
  <c r="H981" i="1" a="1"/>
  <c r="H981" i="1" s="1"/>
  <c r="H980" i="1" a="1"/>
  <c r="H980" i="1" s="1"/>
  <c r="H979" i="1" a="1"/>
  <c r="H979" i="1" s="1"/>
  <c r="H978" i="1" a="1"/>
  <c r="H978" i="1" s="1"/>
  <c r="H977" i="1" a="1"/>
  <c r="H977" i="1" s="1"/>
  <c r="H976" i="1" a="1"/>
  <c r="H976" i="1" s="1"/>
  <c r="H975" i="1" a="1"/>
  <c r="H975" i="1" s="1"/>
  <c r="H974" i="1" a="1"/>
  <c r="H974" i="1" s="1"/>
  <c r="H973" i="1" a="1"/>
  <c r="H973" i="1" s="1"/>
  <c r="H972" i="1" a="1"/>
  <c r="H972" i="1" s="1"/>
  <c r="H971" i="1" a="1"/>
  <c r="H971" i="1" s="1"/>
  <c r="H970" i="1" a="1"/>
  <c r="H970" i="1" s="1"/>
  <c r="H969" i="1" a="1"/>
  <c r="H969" i="1" s="1"/>
  <c r="H968" i="1" a="1"/>
  <c r="H968" i="1" s="1"/>
  <c r="H967" i="1" a="1"/>
  <c r="H967" i="1" s="1"/>
  <c r="H966" i="1" a="1"/>
  <c r="H966" i="1" s="1"/>
  <c r="H965" i="1" a="1"/>
  <c r="H965" i="1" s="1"/>
  <c r="H964" i="1" a="1"/>
  <c r="H964" i="1" s="1"/>
  <c r="H963" i="1" a="1"/>
  <c r="H963" i="1" s="1"/>
  <c r="H962" i="1" a="1"/>
  <c r="H962" i="1" s="1"/>
  <c r="H961" i="1" a="1"/>
  <c r="H961" i="1" s="1"/>
  <c r="H960" i="1" a="1"/>
  <c r="H960" i="1" s="1"/>
  <c r="H959" i="1" a="1"/>
  <c r="H959" i="1" s="1"/>
  <c r="H958" i="1" a="1"/>
  <c r="H958" i="1" s="1"/>
  <c r="H957" i="1" a="1"/>
  <c r="H957" i="1" s="1"/>
  <c r="H956" i="1" a="1"/>
  <c r="H956" i="1" s="1"/>
  <c r="H955" i="1" a="1"/>
  <c r="H955" i="1" s="1"/>
  <c r="H954" i="1" a="1"/>
  <c r="H954" i="1" s="1"/>
  <c r="H953" i="1" a="1"/>
  <c r="H953" i="1" s="1"/>
  <c r="H952" i="1" a="1"/>
  <c r="H952" i="1" s="1"/>
  <c r="H951" i="1" a="1"/>
  <c r="H951" i="1" s="1"/>
  <c r="H950" i="1" a="1"/>
  <c r="H950" i="1" s="1"/>
  <c r="H949" i="1" a="1"/>
  <c r="H949" i="1" s="1"/>
  <c r="H948" i="1" a="1"/>
  <c r="H948" i="1" s="1"/>
  <c r="H947" i="1" a="1"/>
  <c r="H947" i="1" s="1"/>
  <c r="H946" i="1" a="1"/>
  <c r="H946" i="1" s="1"/>
  <c r="H945" i="1" a="1"/>
  <c r="H945" i="1" s="1"/>
  <c r="H944" i="1" a="1"/>
  <c r="H944" i="1" s="1"/>
  <c r="H943" i="1" a="1"/>
  <c r="H943" i="1" s="1"/>
  <c r="H942" i="1" a="1"/>
  <c r="H942" i="1" s="1"/>
  <c r="H941" i="1" a="1"/>
  <c r="H941" i="1" s="1"/>
  <c r="H940" i="1" a="1"/>
  <c r="H940" i="1" s="1"/>
  <c r="H939" i="1" a="1"/>
  <c r="H939" i="1" s="1"/>
  <c r="H938" i="1" a="1"/>
  <c r="H938" i="1" s="1"/>
  <c r="H937" i="1" a="1"/>
  <c r="H937" i="1" s="1"/>
  <c r="H936" i="1" a="1"/>
  <c r="H936" i="1" s="1"/>
  <c r="H935" i="1" a="1"/>
  <c r="H935" i="1" s="1"/>
  <c r="H934" i="1" a="1"/>
  <c r="H934" i="1" s="1"/>
  <c r="H933" i="1" a="1"/>
  <c r="H933" i="1" s="1"/>
  <c r="H932" i="1" a="1"/>
  <c r="H932" i="1" s="1"/>
  <c r="H931" i="1" a="1"/>
  <c r="H931" i="1" s="1"/>
  <c r="H930" i="1" a="1"/>
  <c r="H930" i="1" s="1"/>
  <c r="H929" i="1" a="1"/>
  <c r="H929" i="1" s="1"/>
  <c r="H928" i="1" a="1"/>
  <c r="H928" i="1" s="1"/>
  <c r="H927" i="1" a="1"/>
  <c r="H927" i="1" s="1"/>
  <c r="H926" i="1" a="1"/>
  <c r="H926" i="1" s="1"/>
  <c r="H925" i="1" a="1"/>
  <c r="H925" i="1" s="1"/>
  <c r="H924" i="1" a="1"/>
  <c r="H924" i="1" s="1"/>
  <c r="H923" i="1" a="1"/>
  <c r="H923" i="1" s="1"/>
  <c r="H922" i="1" a="1"/>
  <c r="H922" i="1" s="1"/>
  <c r="H921" i="1" a="1"/>
  <c r="H921" i="1" s="1"/>
  <c r="H920" i="1" a="1"/>
  <c r="H920" i="1" s="1"/>
  <c r="H919" i="1" a="1"/>
  <c r="H919" i="1" s="1"/>
  <c r="H918" i="1" a="1"/>
  <c r="H918" i="1" s="1"/>
  <c r="H917" i="1" a="1"/>
  <c r="H917" i="1" s="1"/>
  <c r="H916" i="1" a="1"/>
  <c r="H916" i="1" s="1"/>
  <c r="H915" i="1" a="1"/>
  <c r="H915" i="1" s="1"/>
  <c r="H914" i="1" a="1"/>
  <c r="H914" i="1" s="1"/>
  <c r="H913" i="1" a="1"/>
  <c r="H913" i="1" s="1"/>
  <c r="H912" i="1" a="1"/>
  <c r="H912" i="1" s="1"/>
  <c r="H911" i="1" a="1"/>
  <c r="H911" i="1" s="1"/>
  <c r="H910" i="1" a="1"/>
  <c r="H910" i="1" s="1"/>
  <c r="H909" i="1" a="1"/>
  <c r="H909" i="1" s="1"/>
  <c r="H908" i="1" a="1"/>
  <c r="H908" i="1" s="1"/>
  <c r="H907" i="1" a="1"/>
  <c r="H907" i="1" s="1"/>
  <c r="H906" i="1" a="1"/>
  <c r="H906" i="1" s="1"/>
  <c r="H905" i="1" a="1"/>
  <c r="H905" i="1" s="1"/>
  <c r="H904" i="1" a="1"/>
  <c r="H904" i="1" s="1"/>
  <c r="H903" i="1" a="1"/>
  <c r="H903" i="1" s="1"/>
  <c r="H902" i="1" a="1"/>
  <c r="H902" i="1" s="1"/>
  <c r="H901" i="1" a="1"/>
  <c r="H901" i="1" s="1"/>
  <c r="H900" i="1" a="1"/>
  <c r="H900" i="1" s="1"/>
  <c r="H899" i="1" a="1"/>
  <c r="H899" i="1" s="1"/>
  <c r="H898" i="1" a="1"/>
  <c r="H898" i="1" s="1"/>
  <c r="H897" i="1" a="1"/>
  <c r="H897" i="1" s="1"/>
  <c r="H896" i="1" a="1"/>
  <c r="H896" i="1" s="1"/>
  <c r="H895" i="1" a="1"/>
  <c r="H895" i="1" s="1"/>
  <c r="H894" i="1" a="1"/>
  <c r="H894" i="1" s="1"/>
  <c r="H893" i="1" a="1"/>
  <c r="H893" i="1" s="1"/>
  <c r="H892" i="1" a="1"/>
  <c r="H892" i="1" s="1"/>
  <c r="H891" i="1" a="1"/>
  <c r="H891" i="1" s="1"/>
  <c r="H890" i="1" a="1"/>
  <c r="H890" i="1" s="1"/>
  <c r="H889" i="1" a="1"/>
  <c r="H889" i="1" s="1"/>
  <c r="H888" i="1" a="1"/>
  <c r="H888" i="1" s="1"/>
  <c r="H887" i="1" a="1"/>
  <c r="H887" i="1" s="1"/>
  <c r="H886" i="1" a="1"/>
  <c r="H886" i="1" s="1"/>
  <c r="H885" i="1" a="1"/>
  <c r="H885" i="1" s="1"/>
  <c r="H884" i="1" a="1"/>
  <c r="H884" i="1" s="1"/>
  <c r="H883" i="1" a="1"/>
  <c r="H883" i="1" s="1"/>
  <c r="H882" i="1" a="1"/>
  <c r="H882" i="1" s="1"/>
  <c r="H881" i="1" a="1"/>
  <c r="H881" i="1" s="1"/>
  <c r="H880" i="1" a="1"/>
  <c r="H880" i="1" s="1"/>
  <c r="H879" i="1" a="1"/>
  <c r="H879" i="1" s="1"/>
  <c r="H878" i="1" a="1"/>
  <c r="H878" i="1" s="1"/>
  <c r="H877" i="1" a="1"/>
  <c r="H877" i="1" s="1"/>
  <c r="H876" i="1" a="1"/>
  <c r="H876" i="1" s="1"/>
  <c r="H875" i="1" a="1"/>
  <c r="H875" i="1" s="1"/>
  <c r="H874" i="1" a="1"/>
  <c r="H874" i="1" s="1"/>
  <c r="H873" i="1" a="1"/>
  <c r="H873" i="1" s="1"/>
  <c r="H872" i="1" a="1"/>
  <c r="H872" i="1" s="1"/>
  <c r="H871" i="1" a="1"/>
  <c r="H871" i="1" s="1"/>
  <c r="H870" i="1" a="1"/>
  <c r="H870" i="1" s="1"/>
  <c r="H869" i="1" a="1"/>
  <c r="H869" i="1" s="1"/>
  <c r="H868" i="1" a="1"/>
  <c r="H868" i="1" s="1"/>
  <c r="H867" i="1" a="1"/>
  <c r="H867" i="1" s="1"/>
  <c r="H866" i="1" a="1"/>
  <c r="H866" i="1" s="1"/>
  <c r="H865" i="1" a="1"/>
  <c r="H865" i="1" s="1"/>
  <c r="H864" i="1" a="1"/>
  <c r="H864" i="1" s="1"/>
  <c r="H863" i="1" a="1"/>
  <c r="H863" i="1" s="1"/>
  <c r="H862" i="1" a="1"/>
  <c r="H862" i="1" s="1"/>
  <c r="H861" i="1" a="1"/>
  <c r="H861" i="1" s="1"/>
  <c r="H860" i="1" a="1"/>
  <c r="H860" i="1" s="1"/>
  <c r="H859" i="1" a="1"/>
  <c r="H859" i="1" s="1"/>
  <c r="H858" i="1" a="1"/>
  <c r="H858" i="1" s="1"/>
  <c r="H857" i="1" a="1"/>
  <c r="H857" i="1" s="1"/>
  <c r="H856" i="1" a="1"/>
  <c r="H856" i="1" s="1"/>
  <c r="H855" i="1" a="1"/>
  <c r="H855" i="1" s="1"/>
  <c r="H854" i="1" a="1"/>
  <c r="H854" i="1" s="1"/>
  <c r="H853" i="1" a="1"/>
  <c r="H853" i="1" s="1"/>
  <c r="H852" i="1" a="1"/>
  <c r="H852" i="1" s="1"/>
  <c r="H851" i="1" a="1"/>
  <c r="H851" i="1" s="1"/>
  <c r="H850" i="1" a="1"/>
  <c r="H850" i="1" s="1"/>
  <c r="H849" i="1" a="1"/>
  <c r="H849" i="1" s="1"/>
  <c r="H848" i="1" a="1"/>
  <c r="H848" i="1" s="1"/>
  <c r="H847" i="1" a="1"/>
  <c r="H847" i="1" s="1"/>
  <c r="H846" i="1" a="1"/>
  <c r="H846" i="1" s="1"/>
  <c r="H845" i="1" a="1"/>
  <c r="H845" i="1" s="1"/>
  <c r="H844" i="1" a="1"/>
  <c r="H844" i="1" s="1"/>
  <c r="H843" i="1" a="1"/>
  <c r="H843" i="1" s="1"/>
  <c r="H842" i="1" a="1"/>
  <c r="H842" i="1" s="1"/>
  <c r="H841" i="1" a="1"/>
  <c r="H841" i="1" s="1"/>
  <c r="H840" i="1" a="1"/>
  <c r="H840" i="1" s="1"/>
  <c r="H839" i="1" a="1"/>
  <c r="H839" i="1" s="1"/>
  <c r="H838" i="1" a="1"/>
  <c r="H838" i="1" s="1"/>
  <c r="H837" i="1" a="1"/>
  <c r="H837" i="1" s="1"/>
  <c r="H836" i="1" a="1"/>
  <c r="H836" i="1" s="1"/>
  <c r="H835" i="1" a="1"/>
  <c r="H835" i="1" s="1"/>
  <c r="H834" i="1" a="1"/>
  <c r="H834" i="1" s="1"/>
  <c r="H833" i="1" a="1"/>
  <c r="H833" i="1" s="1"/>
  <c r="H832" i="1" a="1"/>
  <c r="H832" i="1" s="1"/>
  <c r="H831" i="1" a="1"/>
  <c r="H831" i="1" s="1"/>
  <c r="H830" i="1" a="1"/>
  <c r="H830" i="1" s="1"/>
  <c r="H829" i="1" a="1"/>
  <c r="H829" i="1" s="1"/>
  <c r="H828" i="1" a="1"/>
  <c r="H828" i="1" s="1"/>
  <c r="H827" i="1" a="1"/>
  <c r="H827" i="1" s="1"/>
  <c r="H826" i="1" a="1"/>
  <c r="H826" i="1" s="1"/>
  <c r="H825" i="1" a="1"/>
  <c r="H825" i="1" s="1"/>
  <c r="H824" i="1" a="1"/>
  <c r="H824" i="1" s="1"/>
  <c r="H823" i="1" a="1"/>
  <c r="H823" i="1" s="1"/>
  <c r="H822" i="1" a="1"/>
  <c r="H822" i="1" s="1"/>
  <c r="H821" i="1" a="1"/>
  <c r="H821" i="1" s="1"/>
  <c r="H820" i="1" a="1"/>
  <c r="H820" i="1" s="1"/>
  <c r="H819" i="1" a="1"/>
  <c r="H819" i="1" s="1"/>
  <c r="H818" i="1" a="1"/>
  <c r="H818" i="1" s="1"/>
  <c r="H817" i="1" a="1"/>
  <c r="H817" i="1" s="1"/>
  <c r="H816" i="1" a="1"/>
  <c r="H816" i="1" s="1"/>
  <c r="H815" i="1" a="1"/>
  <c r="H815" i="1" s="1"/>
  <c r="H814" i="1" a="1"/>
  <c r="H814" i="1" s="1"/>
  <c r="H813" i="1" a="1"/>
  <c r="H813" i="1" s="1"/>
  <c r="H812" i="1" a="1"/>
  <c r="H812" i="1" s="1"/>
  <c r="H811" i="1" a="1"/>
  <c r="H811" i="1" s="1"/>
  <c r="H810" i="1" a="1"/>
  <c r="H810" i="1" s="1"/>
  <c r="H809" i="1" a="1"/>
  <c r="H809" i="1" s="1"/>
  <c r="H808" i="1" a="1"/>
  <c r="H808" i="1" s="1"/>
  <c r="H807" i="1" a="1"/>
  <c r="H807" i="1" s="1"/>
  <c r="H806" i="1" a="1"/>
  <c r="H806" i="1" s="1"/>
  <c r="H805" i="1" a="1"/>
  <c r="H805" i="1" s="1"/>
  <c r="H804" i="1" a="1"/>
  <c r="H804" i="1" s="1"/>
  <c r="H803" i="1" a="1"/>
  <c r="H803" i="1" s="1"/>
  <c r="H802" i="1" a="1"/>
  <c r="H802" i="1" s="1"/>
  <c r="H801" i="1" a="1"/>
  <c r="H801" i="1" s="1"/>
  <c r="H800" i="1" a="1"/>
  <c r="H800" i="1" s="1"/>
  <c r="H799" i="1" a="1"/>
  <c r="H799" i="1" s="1"/>
  <c r="H798" i="1" a="1"/>
  <c r="H798" i="1" s="1"/>
  <c r="H797" i="1" a="1"/>
  <c r="H797" i="1" s="1"/>
  <c r="H796" i="1" a="1"/>
  <c r="H796" i="1" s="1"/>
  <c r="H795" i="1" a="1"/>
  <c r="H795" i="1" s="1"/>
  <c r="H794" i="1" a="1"/>
  <c r="H794" i="1" s="1"/>
  <c r="H793" i="1" a="1"/>
  <c r="H793" i="1" s="1"/>
  <c r="H792" i="1" a="1"/>
  <c r="H792" i="1" s="1"/>
  <c r="H791" i="1" a="1"/>
  <c r="H791" i="1" s="1"/>
  <c r="H790" i="1" a="1"/>
  <c r="H790" i="1" s="1"/>
  <c r="H789" i="1" a="1"/>
  <c r="H789" i="1" s="1"/>
  <c r="H788" i="1" a="1"/>
  <c r="H788" i="1" s="1"/>
  <c r="H787" i="1" a="1"/>
  <c r="H787" i="1" s="1"/>
  <c r="H786" i="1" a="1"/>
  <c r="H786" i="1" s="1"/>
  <c r="H785" i="1" a="1"/>
  <c r="H785" i="1" s="1"/>
  <c r="H784" i="1" a="1"/>
  <c r="H784" i="1" s="1"/>
  <c r="H783" i="1" a="1"/>
  <c r="H783" i="1" s="1"/>
  <c r="H782" i="1" a="1"/>
  <c r="H782" i="1" s="1"/>
  <c r="H781" i="1" a="1"/>
  <c r="H781" i="1" s="1"/>
  <c r="H780" i="1" a="1"/>
  <c r="H780" i="1" s="1"/>
  <c r="H779" i="1" a="1"/>
  <c r="H779" i="1" s="1"/>
  <c r="H778" i="1" a="1"/>
  <c r="H778" i="1" s="1"/>
  <c r="H777" i="1" a="1"/>
  <c r="H777" i="1" s="1"/>
  <c r="H776" i="1" a="1"/>
  <c r="H776" i="1" s="1"/>
  <c r="H775" i="1" a="1"/>
  <c r="H775" i="1" s="1"/>
  <c r="H774" i="1" a="1"/>
  <c r="H774" i="1" s="1"/>
  <c r="H773" i="1" a="1"/>
  <c r="H773" i="1" s="1"/>
  <c r="H772" i="1" a="1"/>
  <c r="H772" i="1" s="1"/>
  <c r="H771" i="1" a="1"/>
  <c r="H771" i="1" s="1"/>
  <c r="H770" i="1" a="1"/>
  <c r="H770" i="1" s="1"/>
  <c r="H769" i="1" a="1"/>
  <c r="H769" i="1" s="1"/>
  <c r="H768" i="1" a="1"/>
  <c r="H768" i="1" s="1"/>
  <c r="H767" i="1" a="1"/>
  <c r="H767" i="1" s="1"/>
  <c r="H766" i="1" a="1"/>
  <c r="H766" i="1" s="1"/>
  <c r="H765" i="1" a="1"/>
  <c r="H765" i="1" s="1"/>
  <c r="H764" i="1" a="1"/>
  <c r="H764" i="1" s="1"/>
  <c r="H763" i="1" a="1"/>
  <c r="H763" i="1" s="1"/>
  <c r="H762" i="1" a="1"/>
  <c r="H762" i="1" s="1"/>
  <c r="H761" i="1" a="1"/>
  <c r="H761" i="1" s="1"/>
  <c r="H760" i="1" a="1"/>
  <c r="H760" i="1" s="1"/>
  <c r="H759" i="1" a="1"/>
  <c r="H759" i="1" s="1"/>
  <c r="H758" i="1" a="1"/>
  <c r="H758" i="1" s="1"/>
  <c r="H757" i="1" a="1"/>
  <c r="H757" i="1" s="1"/>
  <c r="H756" i="1" a="1"/>
  <c r="H756" i="1" s="1"/>
  <c r="H755" i="1" a="1"/>
  <c r="H755" i="1" s="1"/>
  <c r="H754" i="1" a="1"/>
  <c r="H754" i="1" s="1"/>
  <c r="H753" i="1" a="1"/>
  <c r="H753" i="1" s="1"/>
  <c r="H752" i="1" a="1"/>
  <c r="H752" i="1" s="1"/>
  <c r="H751" i="1" a="1"/>
  <c r="H751" i="1" s="1"/>
  <c r="H750" i="1" a="1"/>
  <c r="H750" i="1" s="1"/>
  <c r="H749" i="1" a="1"/>
  <c r="H749" i="1" s="1"/>
  <c r="H748" i="1" a="1"/>
  <c r="H748" i="1" s="1"/>
  <c r="H747" i="1" a="1"/>
  <c r="H747" i="1" s="1"/>
  <c r="H746" i="1" a="1"/>
  <c r="H746" i="1" s="1"/>
  <c r="H745" i="1" a="1"/>
  <c r="H745" i="1" s="1"/>
  <c r="H744" i="1" a="1"/>
  <c r="H744" i="1" s="1"/>
  <c r="H743" i="1" a="1"/>
  <c r="H743" i="1" s="1"/>
  <c r="H742" i="1" a="1"/>
  <c r="H742" i="1" s="1"/>
  <c r="H741" i="1" a="1"/>
  <c r="H741" i="1" s="1"/>
  <c r="H740" i="1" a="1"/>
  <c r="H740" i="1" s="1"/>
  <c r="H739" i="1" a="1"/>
  <c r="H739" i="1" s="1"/>
  <c r="H738" i="1" a="1"/>
  <c r="H738" i="1" s="1"/>
  <c r="H737" i="1" a="1"/>
  <c r="H737" i="1" s="1"/>
  <c r="H736" i="1" a="1"/>
  <c r="H736" i="1" s="1"/>
  <c r="H735" i="1" a="1"/>
  <c r="H735" i="1" s="1"/>
  <c r="H734" i="1" a="1"/>
  <c r="H734" i="1" s="1"/>
  <c r="H733" i="1" a="1"/>
  <c r="H733" i="1" s="1"/>
  <c r="H732" i="1" a="1"/>
  <c r="H732" i="1" s="1"/>
  <c r="H731" i="1" a="1"/>
  <c r="H731" i="1" s="1"/>
  <c r="H730" i="1" a="1"/>
  <c r="H730" i="1" s="1"/>
  <c r="H729" i="1" a="1"/>
  <c r="H729" i="1" s="1"/>
  <c r="H728" i="1" a="1"/>
  <c r="H728" i="1" s="1"/>
  <c r="H727" i="1" a="1"/>
  <c r="H727" i="1" s="1"/>
  <c r="H726" i="1" a="1"/>
  <c r="H726" i="1" s="1"/>
  <c r="H725" i="1" a="1"/>
  <c r="H725" i="1" s="1"/>
  <c r="H724" i="1" a="1"/>
  <c r="H724" i="1" s="1"/>
  <c r="H723" i="1" a="1"/>
  <c r="H723" i="1" s="1"/>
  <c r="H722" i="1" a="1"/>
  <c r="H722" i="1" s="1"/>
  <c r="H721" i="1" a="1"/>
  <c r="H721" i="1" s="1"/>
  <c r="H720" i="1" a="1"/>
  <c r="H720" i="1" s="1"/>
  <c r="H719" i="1" a="1"/>
  <c r="H719" i="1" s="1"/>
  <c r="H718" i="1" a="1"/>
  <c r="H718" i="1" s="1"/>
  <c r="H717" i="1" a="1"/>
  <c r="H717" i="1" s="1"/>
  <c r="H716" i="1" a="1"/>
  <c r="H716" i="1" s="1"/>
  <c r="H715" i="1" a="1"/>
  <c r="H715" i="1" s="1"/>
  <c r="H714" i="1" a="1"/>
  <c r="H714" i="1" s="1"/>
  <c r="H713" i="1" a="1"/>
  <c r="H713" i="1" s="1"/>
  <c r="H712" i="1" a="1"/>
  <c r="H712" i="1" s="1"/>
  <c r="H711" i="1" a="1"/>
  <c r="H711" i="1" s="1"/>
  <c r="H710" i="1" a="1"/>
  <c r="H710" i="1" s="1"/>
  <c r="H709" i="1" a="1"/>
  <c r="H709" i="1" s="1"/>
  <c r="H708" i="1" a="1"/>
  <c r="H708" i="1" s="1"/>
  <c r="H707" i="1" a="1"/>
  <c r="H707" i="1" s="1"/>
  <c r="H706" i="1" a="1"/>
  <c r="H706" i="1" s="1"/>
  <c r="H705" i="1" a="1"/>
  <c r="H705" i="1" s="1"/>
  <c r="H704" i="1" a="1"/>
  <c r="H704" i="1" s="1"/>
  <c r="H703" i="1" a="1"/>
  <c r="H703" i="1" s="1"/>
  <c r="H702" i="1" a="1"/>
  <c r="H702" i="1" s="1"/>
  <c r="H701" i="1" a="1"/>
  <c r="H701" i="1" s="1"/>
  <c r="H700" i="1" a="1"/>
  <c r="H700" i="1" s="1"/>
  <c r="H699" i="1" a="1"/>
  <c r="H699" i="1" s="1"/>
  <c r="H698" i="1" a="1"/>
  <c r="H698" i="1" s="1"/>
  <c r="H697" i="1" a="1"/>
  <c r="H697" i="1" s="1"/>
  <c r="H696" i="1" a="1"/>
  <c r="H696" i="1" s="1"/>
  <c r="H695" i="1" a="1"/>
  <c r="H695" i="1" s="1"/>
  <c r="H694" i="1" a="1"/>
  <c r="H694" i="1" s="1"/>
  <c r="H693" i="1" a="1"/>
  <c r="H693" i="1" s="1"/>
  <c r="H692" i="1" a="1"/>
  <c r="H692" i="1" s="1"/>
  <c r="H691" i="1" a="1"/>
  <c r="H691" i="1" s="1"/>
  <c r="H690" i="1" a="1"/>
  <c r="H690" i="1" s="1"/>
  <c r="H689" i="1" a="1"/>
  <c r="H689" i="1" s="1"/>
  <c r="H688" i="1" a="1"/>
  <c r="H688" i="1" s="1"/>
  <c r="H687" i="1" a="1"/>
  <c r="H687" i="1" s="1"/>
  <c r="H686" i="1" a="1"/>
  <c r="H686" i="1" s="1"/>
  <c r="H685" i="1" a="1"/>
  <c r="H685" i="1" s="1"/>
  <c r="H684" i="1" a="1"/>
  <c r="H684" i="1" s="1"/>
  <c r="H683" i="1" a="1"/>
  <c r="H683" i="1" s="1"/>
  <c r="H682" i="1" a="1"/>
  <c r="H682" i="1" s="1"/>
  <c r="H681" i="1" a="1"/>
  <c r="H681" i="1" s="1"/>
  <c r="H680" i="1" a="1"/>
  <c r="H680" i="1" s="1"/>
  <c r="H679" i="1" a="1"/>
  <c r="H679" i="1" s="1"/>
  <c r="H678" i="1" a="1"/>
  <c r="H678" i="1" s="1"/>
  <c r="H677" i="1" a="1"/>
  <c r="H677" i="1" s="1"/>
  <c r="H676" i="1" a="1"/>
  <c r="H676" i="1" s="1"/>
  <c r="H675" i="1" a="1"/>
  <c r="H675" i="1" s="1"/>
  <c r="H674" i="1" a="1"/>
  <c r="H674" i="1" s="1"/>
  <c r="H673" i="1" a="1"/>
  <c r="H673" i="1" s="1"/>
  <c r="H672" i="1" a="1"/>
  <c r="H672" i="1" s="1"/>
  <c r="H671" i="1" a="1"/>
  <c r="H671" i="1" s="1"/>
  <c r="H670" i="1" a="1"/>
  <c r="H670" i="1" s="1"/>
  <c r="H669" i="1" a="1"/>
  <c r="H669" i="1" s="1"/>
  <c r="H668" i="1" a="1"/>
  <c r="H668" i="1" s="1"/>
  <c r="H667" i="1" a="1"/>
  <c r="H667" i="1" s="1"/>
  <c r="H666" i="1" a="1"/>
  <c r="H666" i="1" s="1"/>
  <c r="H665" i="1" a="1"/>
  <c r="H665" i="1" s="1"/>
  <c r="H664" i="1" a="1"/>
  <c r="H664" i="1" s="1"/>
  <c r="H663" i="1" a="1"/>
  <c r="H663" i="1" s="1"/>
  <c r="H662" i="1" a="1"/>
  <c r="H662" i="1" s="1"/>
  <c r="H661" i="1" a="1"/>
  <c r="H661" i="1" s="1"/>
  <c r="H660" i="1" a="1"/>
  <c r="H660" i="1" s="1"/>
  <c r="H659" i="1" a="1"/>
  <c r="H659" i="1" s="1"/>
  <c r="H658" i="1" a="1"/>
  <c r="H658" i="1" s="1"/>
  <c r="H657" i="1" a="1"/>
  <c r="H657" i="1" s="1"/>
  <c r="H656" i="1" a="1"/>
  <c r="H656" i="1" s="1"/>
  <c r="H655" i="1" a="1"/>
  <c r="H655" i="1" s="1"/>
  <c r="H654" i="1" a="1"/>
  <c r="H654" i="1" s="1"/>
  <c r="H653" i="1" a="1"/>
  <c r="H653" i="1" s="1"/>
  <c r="H652" i="1" a="1"/>
  <c r="H652" i="1" s="1"/>
  <c r="H651" i="1" a="1"/>
  <c r="H651" i="1" s="1"/>
  <c r="H650" i="1" a="1"/>
  <c r="H650" i="1" s="1"/>
  <c r="H649" i="1" a="1"/>
  <c r="H649" i="1" s="1"/>
  <c r="H648" i="1" a="1"/>
  <c r="H648" i="1" s="1"/>
  <c r="H647" i="1" a="1"/>
  <c r="H647" i="1" s="1"/>
  <c r="H646" i="1" a="1"/>
  <c r="H646" i="1" s="1"/>
  <c r="H645" i="1" a="1"/>
  <c r="H645" i="1" s="1"/>
  <c r="H644" i="1" a="1"/>
  <c r="H644" i="1" s="1"/>
  <c r="H643" i="1" a="1"/>
  <c r="H643" i="1" s="1"/>
  <c r="H642" i="1" a="1"/>
  <c r="H642" i="1" s="1"/>
  <c r="H641" i="1" a="1"/>
  <c r="H641" i="1" s="1"/>
  <c r="H640" i="1" a="1"/>
  <c r="H640" i="1" s="1"/>
  <c r="H639" i="1" a="1"/>
  <c r="H639" i="1" s="1"/>
  <c r="H638" i="1" a="1"/>
  <c r="H638" i="1" s="1"/>
  <c r="H637" i="1" a="1"/>
  <c r="H637" i="1" s="1"/>
  <c r="H636" i="1" a="1"/>
  <c r="H636" i="1" s="1"/>
  <c r="H635" i="1" a="1"/>
  <c r="H635" i="1" s="1"/>
  <c r="H634" i="1" a="1"/>
  <c r="H634" i="1" s="1"/>
  <c r="H633" i="1" a="1"/>
  <c r="H633" i="1" s="1"/>
  <c r="H632" i="1" a="1"/>
  <c r="H632" i="1" s="1"/>
  <c r="H631" i="1" a="1"/>
  <c r="H631" i="1" s="1"/>
  <c r="H630" i="1" a="1"/>
  <c r="H630" i="1" s="1"/>
  <c r="H629" i="1" a="1"/>
  <c r="H629" i="1" s="1"/>
  <c r="H628" i="1" a="1"/>
  <c r="H628" i="1" s="1"/>
  <c r="H627" i="1" a="1"/>
  <c r="H627" i="1" s="1"/>
  <c r="H626" i="1" a="1"/>
  <c r="H626" i="1" s="1"/>
  <c r="H625" i="1" a="1"/>
  <c r="H625" i="1" s="1"/>
  <c r="H624" i="1" a="1"/>
  <c r="H624" i="1" s="1"/>
  <c r="H623" i="1" a="1"/>
  <c r="H623" i="1" s="1"/>
  <c r="H622" i="1" a="1"/>
  <c r="H622" i="1" s="1"/>
  <c r="H621" i="1" a="1"/>
  <c r="H621" i="1" s="1"/>
  <c r="H620" i="1" a="1"/>
  <c r="H620" i="1" s="1"/>
  <c r="H619" i="1" a="1"/>
  <c r="H619" i="1" s="1"/>
  <c r="H618" i="1" a="1"/>
  <c r="H618" i="1" s="1"/>
  <c r="H617" i="1" a="1"/>
  <c r="H617" i="1" s="1"/>
  <c r="H616" i="1" a="1"/>
  <c r="H616" i="1" s="1"/>
  <c r="H615" i="1" a="1"/>
  <c r="H615" i="1" s="1"/>
  <c r="H614" i="1" a="1"/>
  <c r="H614" i="1" s="1"/>
  <c r="H613" i="1" a="1"/>
  <c r="H613" i="1" s="1"/>
  <c r="H612" i="1" a="1"/>
  <c r="H612" i="1" s="1"/>
  <c r="H611" i="1" a="1"/>
  <c r="H611" i="1" s="1"/>
  <c r="H610" i="1" a="1"/>
  <c r="H610" i="1" s="1"/>
  <c r="H609" i="1" a="1"/>
  <c r="H609" i="1" s="1"/>
  <c r="H608" i="1" a="1"/>
  <c r="H608" i="1" s="1"/>
  <c r="H607" i="1" a="1"/>
  <c r="H607" i="1" s="1"/>
  <c r="H606" i="1" a="1"/>
  <c r="H606" i="1" s="1"/>
  <c r="H605" i="1" a="1"/>
  <c r="H605" i="1" s="1"/>
  <c r="H604" i="1" a="1"/>
  <c r="H604" i="1" s="1"/>
  <c r="H603" i="1" a="1"/>
  <c r="H603" i="1" s="1"/>
  <c r="H602" i="1" a="1"/>
  <c r="H602" i="1" s="1"/>
  <c r="H601" i="1" a="1"/>
  <c r="H601" i="1" s="1"/>
  <c r="H600" i="1" a="1"/>
  <c r="H600" i="1" s="1"/>
  <c r="H599" i="1" a="1"/>
  <c r="H599" i="1" s="1"/>
  <c r="H598" i="1" a="1"/>
  <c r="H598" i="1" s="1"/>
  <c r="H597" i="1" a="1"/>
  <c r="H597" i="1" s="1"/>
  <c r="H596" i="1" a="1"/>
  <c r="H596" i="1" s="1"/>
  <c r="H595" i="1" a="1"/>
  <c r="H595" i="1" s="1"/>
  <c r="H594" i="1" a="1"/>
  <c r="H594" i="1" s="1"/>
  <c r="H593" i="1" a="1"/>
  <c r="H593" i="1" s="1"/>
  <c r="H592" i="1" a="1"/>
  <c r="H592" i="1" s="1"/>
  <c r="H591" i="1" a="1"/>
  <c r="H591" i="1" s="1"/>
  <c r="H590" i="1" a="1"/>
  <c r="H590" i="1" s="1"/>
  <c r="H589" i="1" a="1"/>
  <c r="H589" i="1" s="1"/>
  <c r="H588" i="1" a="1"/>
  <c r="H588" i="1" s="1"/>
  <c r="H587" i="1" a="1"/>
  <c r="H587" i="1" s="1"/>
  <c r="H586" i="1" a="1"/>
  <c r="H586" i="1" s="1"/>
  <c r="H585" i="1" a="1"/>
  <c r="H585" i="1" s="1"/>
  <c r="H584" i="1" a="1"/>
  <c r="H584" i="1" s="1"/>
  <c r="H583" i="1" a="1"/>
  <c r="H583" i="1" s="1"/>
  <c r="H582" i="1" a="1"/>
  <c r="H582" i="1" s="1"/>
  <c r="H581" i="1" a="1"/>
  <c r="H581" i="1" s="1"/>
  <c r="H580" i="1" a="1"/>
  <c r="H580" i="1" s="1"/>
  <c r="H579" i="1" a="1"/>
  <c r="H579" i="1" s="1"/>
  <c r="H578" i="1" a="1"/>
  <c r="H578" i="1" s="1"/>
  <c r="H577" i="1" a="1"/>
  <c r="H577" i="1" s="1"/>
  <c r="H576" i="1" a="1"/>
  <c r="H576" i="1" s="1"/>
  <c r="H575" i="1" a="1"/>
  <c r="H575" i="1" s="1"/>
  <c r="H574" i="1" a="1"/>
  <c r="H574" i="1" s="1"/>
  <c r="H573" i="1" a="1"/>
  <c r="H573" i="1" s="1"/>
  <c r="H572" i="1" a="1"/>
  <c r="H572" i="1" s="1"/>
  <c r="H571" i="1" a="1"/>
  <c r="H571" i="1" s="1"/>
  <c r="H570" i="1" a="1"/>
  <c r="H570" i="1" s="1"/>
  <c r="H569" i="1" a="1"/>
  <c r="H569" i="1" s="1"/>
  <c r="H568" i="1" a="1"/>
  <c r="H568" i="1" s="1"/>
  <c r="H567" i="1" a="1"/>
  <c r="H567" i="1" s="1"/>
  <c r="H566" i="1" a="1"/>
  <c r="H566" i="1" s="1"/>
  <c r="H565" i="1" a="1"/>
  <c r="H565" i="1" s="1"/>
  <c r="H564" i="1" a="1"/>
  <c r="H564" i="1" s="1"/>
  <c r="H563" i="1" a="1"/>
  <c r="H563" i="1" s="1"/>
  <c r="H562" i="1" a="1"/>
  <c r="H562" i="1" s="1"/>
  <c r="H561" i="1" a="1"/>
  <c r="H561" i="1" s="1"/>
  <c r="H560" i="1" a="1"/>
  <c r="H560" i="1" s="1"/>
  <c r="H559" i="1" a="1"/>
  <c r="H559" i="1" s="1"/>
  <c r="H558" i="1" a="1"/>
  <c r="H558" i="1" s="1"/>
  <c r="H557" i="1" a="1"/>
  <c r="H557" i="1" s="1"/>
  <c r="H556" i="1" a="1"/>
  <c r="H556" i="1" s="1"/>
  <c r="H555" i="1" a="1"/>
  <c r="H555" i="1" s="1"/>
  <c r="H554" i="1" a="1"/>
  <c r="H554" i="1" s="1"/>
  <c r="H553" i="1" a="1"/>
  <c r="H553" i="1" s="1"/>
  <c r="H552" i="1" a="1"/>
  <c r="H552" i="1" s="1"/>
  <c r="H551" i="1" a="1"/>
  <c r="H551" i="1" s="1"/>
  <c r="H550" i="1" a="1"/>
  <c r="H550" i="1" s="1"/>
  <c r="H549" i="1" a="1"/>
  <c r="H549" i="1" s="1"/>
  <c r="H548" i="1" a="1"/>
  <c r="H548" i="1" s="1"/>
  <c r="H547" i="1" a="1"/>
  <c r="H547" i="1" s="1"/>
  <c r="H546" i="1" a="1"/>
  <c r="H546" i="1" s="1"/>
  <c r="H545" i="1" a="1"/>
  <c r="H545" i="1" s="1"/>
  <c r="H544" i="1" a="1"/>
  <c r="H544" i="1" s="1"/>
  <c r="H543" i="1" a="1"/>
  <c r="H543" i="1" s="1"/>
  <c r="H542" i="1" a="1"/>
  <c r="H542" i="1" s="1"/>
  <c r="H541" i="1" a="1"/>
  <c r="H541" i="1" s="1"/>
  <c r="H540" i="1" a="1"/>
  <c r="H540" i="1" s="1"/>
  <c r="H539" i="1" a="1"/>
  <c r="H539" i="1" s="1"/>
  <c r="H538" i="1" a="1"/>
  <c r="H538" i="1" s="1"/>
  <c r="H537" i="1" a="1"/>
  <c r="H537" i="1" s="1"/>
  <c r="H536" i="1" a="1"/>
  <c r="H536" i="1" s="1"/>
  <c r="H535" i="1" a="1"/>
  <c r="H535" i="1" s="1"/>
  <c r="H534" i="1" a="1"/>
  <c r="H534" i="1" s="1"/>
  <c r="H533" i="1" a="1"/>
  <c r="H533" i="1" s="1"/>
  <c r="H532" i="1" a="1"/>
  <c r="H532" i="1" s="1"/>
  <c r="H531" i="1" a="1"/>
  <c r="H531" i="1" s="1"/>
  <c r="H530" i="1" a="1"/>
  <c r="H530" i="1" s="1"/>
  <c r="H529" i="1" a="1"/>
  <c r="H529" i="1" s="1"/>
  <c r="H528" i="1" a="1"/>
  <c r="H528" i="1" s="1"/>
  <c r="H527" i="1" a="1"/>
  <c r="H527" i="1" s="1"/>
  <c r="H526" i="1" a="1"/>
  <c r="H526" i="1" s="1"/>
  <c r="H525" i="1" a="1"/>
  <c r="H525" i="1" s="1"/>
  <c r="H524" i="1" a="1"/>
  <c r="H524" i="1" s="1"/>
  <c r="H523" i="1" a="1"/>
  <c r="H523" i="1" s="1"/>
  <c r="H522" i="1" a="1"/>
  <c r="H522" i="1" s="1"/>
  <c r="H521" i="1" a="1"/>
  <c r="H521" i="1" s="1"/>
  <c r="H520" i="1" a="1"/>
  <c r="H520" i="1" s="1"/>
  <c r="H519" i="1" a="1"/>
  <c r="H519" i="1" s="1"/>
  <c r="H518" i="1" a="1"/>
  <c r="H518" i="1" s="1"/>
  <c r="H517" i="1" a="1"/>
  <c r="H517" i="1" s="1"/>
  <c r="H516" i="1" a="1"/>
  <c r="H516" i="1" s="1"/>
  <c r="H515" i="1" a="1"/>
  <c r="H515" i="1" s="1"/>
  <c r="H514" i="1" a="1"/>
  <c r="H514" i="1" s="1"/>
  <c r="H513" i="1" a="1"/>
  <c r="H513" i="1" s="1"/>
  <c r="H512" i="1" a="1"/>
  <c r="H512" i="1" s="1"/>
  <c r="H511" i="1" a="1"/>
  <c r="H511" i="1" s="1"/>
  <c r="H510" i="1" a="1"/>
  <c r="H510" i="1" s="1"/>
  <c r="H509" i="1" a="1"/>
  <c r="H509" i="1" s="1"/>
  <c r="H508" i="1" a="1"/>
  <c r="H508" i="1" s="1"/>
  <c r="H507" i="1" a="1"/>
  <c r="H507" i="1" s="1"/>
  <c r="H506" i="1" a="1"/>
  <c r="H506" i="1" s="1"/>
  <c r="H505" i="1" a="1"/>
  <c r="H505" i="1" s="1"/>
  <c r="H504" i="1" a="1"/>
  <c r="H504" i="1" s="1"/>
  <c r="H503" i="1" a="1"/>
  <c r="H503" i="1" s="1"/>
  <c r="H502" i="1" a="1"/>
  <c r="H502" i="1" s="1"/>
  <c r="H501" i="1" a="1"/>
  <c r="H501" i="1" s="1"/>
  <c r="H500" i="1" a="1"/>
  <c r="H500" i="1" s="1"/>
  <c r="H499" i="1" a="1"/>
  <c r="H499" i="1" s="1"/>
  <c r="H498" i="1" a="1"/>
  <c r="H498" i="1" s="1"/>
  <c r="H497" i="1" a="1"/>
  <c r="H497" i="1" s="1"/>
  <c r="H496" i="1" a="1"/>
  <c r="H496" i="1" s="1"/>
  <c r="H495" i="1" a="1"/>
  <c r="H495" i="1" s="1"/>
  <c r="H494" i="1" a="1"/>
  <c r="H494" i="1" s="1"/>
  <c r="H493" i="1" a="1"/>
  <c r="H493" i="1" s="1"/>
  <c r="H492" i="1" a="1"/>
  <c r="H492" i="1" s="1"/>
  <c r="H491" i="1" a="1"/>
  <c r="H491" i="1" s="1"/>
  <c r="H490" i="1" a="1"/>
  <c r="H490" i="1" s="1"/>
  <c r="H489" i="1" a="1"/>
  <c r="H489" i="1" s="1"/>
  <c r="H488" i="1" a="1"/>
  <c r="H488" i="1" s="1"/>
  <c r="H487" i="1" a="1"/>
  <c r="H487" i="1" s="1"/>
  <c r="H486" i="1" a="1"/>
  <c r="H486" i="1" s="1"/>
  <c r="H485" i="1" a="1"/>
  <c r="H485" i="1" s="1"/>
  <c r="H484" i="1" a="1"/>
  <c r="H484" i="1" s="1"/>
  <c r="H483" i="1" a="1"/>
  <c r="H483" i="1" s="1"/>
  <c r="H482" i="1" a="1"/>
  <c r="H482" i="1" s="1"/>
  <c r="H481" i="1" a="1"/>
  <c r="H481" i="1" s="1"/>
  <c r="H480" i="1" a="1"/>
  <c r="H480" i="1" s="1"/>
  <c r="H479" i="1" a="1"/>
  <c r="H479" i="1" s="1"/>
  <c r="H478" i="1" a="1"/>
  <c r="H478" i="1" s="1"/>
  <c r="H477" i="1" a="1"/>
  <c r="H477" i="1" s="1"/>
  <c r="H476" i="1" a="1"/>
  <c r="H476" i="1" s="1"/>
  <c r="H475" i="1" a="1"/>
  <c r="H475" i="1" s="1"/>
  <c r="H474" i="1" a="1"/>
  <c r="H474" i="1" s="1"/>
  <c r="H473" i="1" a="1"/>
  <c r="H473" i="1" s="1"/>
  <c r="H472" i="1" a="1"/>
  <c r="H472" i="1" s="1"/>
  <c r="H471" i="1" a="1"/>
  <c r="H471" i="1" s="1"/>
  <c r="H470" i="1" a="1"/>
  <c r="H470" i="1" s="1"/>
  <c r="H469" i="1" a="1"/>
  <c r="H469" i="1" s="1"/>
  <c r="H468" i="1" a="1"/>
  <c r="H468" i="1" s="1"/>
  <c r="H467" i="1" a="1"/>
  <c r="H467" i="1" s="1"/>
  <c r="H466" i="1" a="1"/>
  <c r="H466" i="1" s="1"/>
  <c r="H465" i="1" a="1"/>
  <c r="H465" i="1" s="1"/>
  <c r="H464" i="1" a="1"/>
  <c r="H464" i="1" s="1"/>
  <c r="H463" i="1" a="1"/>
  <c r="H463" i="1" s="1"/>
  <c r="H462" i="1" a="1"/>
  <c r="H462" i="1" s="1"/>
  <c r="H461" i="1" a="1"/>
  <c r="H461" i="1" s="1"/>
  <c r="H460" i="1" a="1"/>
  <c r="H460" i="1" s="1"/>
  <c r="H459" i="1" a="1"/>
  <c r="H459" i="1" s="1"/>
  <c r="H458" i="1" a="1"/>
  <c r="H458" i="1" s="1"/>
  <c r="H457" i="1" a="1"/>
  <c r="H457" i="1" s="1"/>
  <c r="H456" i="1" a="1"/>
  <c r="H456" i="1" s="1"/>
  <c r="H455" i="1" a="1"/>
  <c r="H455" i="1" s="1"/>
  <c r="H454" i="1" a="1"/>
  <c r="H454" i="1" s="1"/>
  <c r="H453" i="1" a="1"/>
  <c r="H453" i="1" s="1"/>
  <c r="H452" i="1" a="1"/>
  <c r="H452" i="1" s="1"/>
  <c r="H451" i="1" a="1"/>
  <c r="H451" i="1" s="1"/>
  <c r="H450" i="1" a="1"/>
  <c r="H450" i="1" s="1"/>
  <c r="H449" i="1" a="1"/>
  <c r="H449" i="1" s="1"/>
  <c r="H448" i="1" a="1"/>
  <c r="H448" i="1" s="1"/>
  <c r="H447" i="1" a="1"/>
  <c r="H447" i="1" s="1"/>
  <c r="H446" i="1" a="1"/>
  <c r="H446" i="1" s="1"/>
  <c r="H445" i="1" a="1"/>
  <c r="H445" i="1" s="1"/>
  <c r="H444" i="1" a="1"/>
  <c r="H444" i="1" s="1"/>
  <c r="H443" i="1" a="1"/>
  <c r="H443" i="1" s="1"/>
  <c r="H442" i="1" a="1"/>
  <c r="H442" i="1" s="1"/>
  <c r="H441" i="1" a="1"/>
  <c r="H441" i="1" s="1"/>
  <c r="H440" i="1" a="1"/>
  <c r="H440" i="1" s="1"/>
  <c r="H439" i="1" a="1"/>
  <c r="H439" i="1" s="1"/>
  <c r="H438" i="1" a="1"/>
  <c r="H438" i="1" s="1"/>
  <c r="H437" i="1" a="1"/>
  <c r="H437" i="1" s="1"/>
  <c r="H436" i="1" a="1"/>
  <c r="H436" i="1" s="1"/>
  <c r="H435" i="1" a="1"/>
  <c r="H435" i="1" s="1"/>
  <c r="H434" i="1" a="1"/>
  <c r="H434" i="1" s="1"/>
  <c r="H433" i="1" a="1"/>
  <c r="H433" i="1" s="1"/>
  <c r="H432" i="1" a="1"/>
  <c r="H432" i="1" s="1"/>
  <c r="H431" i="1" a="1"/>
  <c r="H431" i="1" s="1"/>
  <c r="H430" i="1" a="1"/>
  <c r="H430" i="1" s="1"/>
  <c r="H429" i="1" a="1"/>
  <c r="H429" i="1" s="1"/>
  <c r="H428" i="1" a="1"/>
  <c r="H428" i="1" s="1"/>
  <c r="H427" i="1" a="1"/>
  <c r="H427" i="1" s="1"/>
  <c r="H426" i="1" a="1"/>
  <c r="H426" i="1" s="1"/>
  <c r="H425" i="1" a="1"/>
  <c r="H425" i="1" s="1"/>
  <c r="H424" i="1" a="1"/>
  <c r="H424" i="1" s="1"/>
  <c r="H423" i="1" a="1"/>
  <c r="H423" i="1" s="1"/>
  <c r="H422" i="1" a="1"/>
  <c r="H422" i="1" s="1"/>
  <c r="H421" i="1" a="1"/>
  <c r="H421" i="1" s="1"/>
  <c r="H420" i="1" a="1"/>
  <c r="H420" i="1" s="1"/>
  <c r="H419" i="1" a="1"/>
  <c r="H419" i="1" s="1"/>
  <c r="H418" i="1" a="1"/>
  <c r="H418" i="1" s="1"/>
  <c r="H417" i="1" a="1"/>
  <c r="H417" i="1" s="1"/>
  <c r="H416" i="1" a="1"/>
  <c r="H416" i="1" s="1"/>
  <c r="H415" i="1" a="1"/>
  <c r="H415" i="1" s="1"/>
  <c r="H414" i="1" a="1"/>
  <c r="H414" i="1" s="1"/>
  <c r="H413" i="1" a="1"/>
  <c r="H413" i="1" s="1"/>
  <c r="H412" i="1" a="1"/>
  <c r="H412" i="1" s="1"/>
  <c r="H411" i="1" a="1"/>
  <c r="H411" i="1" s="1"/>
  <c r="H410" i="1" a="1"/>
  <c r="H410" i="1" s="1"/>
  <c r="H409" i="1" a="1"/>
  <c r="H409" i="1" s="1"/>
  <c r="H408" i="1" a="1"/>
  <c r="H408" i="1" s="1"/>
  <c r="H407" i="1" a="1"/>
  <c r="H407" i="1" s="1"/>
  <c r="H406" i="1" a="1"/>
  <c r="H406" i="1" s="1"/>
  <c r="H405" i="1" a="1"/>
  <c r="H405" i="1" s="1"/>
  <c r="H404" i="1" a="1"/>
  <c r="H404" i="1" s="1"/>
  <c r="H403" i="1" a="1"/>
  <c r="H403" i="1" s="1"/>
  <c r="H402" i="1" a="1"/>
  <c r="H402" i="1" s="1"/>
  <c r="H401" i="1" a="1"/>
  <c r="H401" i="1" s="1"/>
  <c r="H400" i="1" a="1"/>
  <c r="H400" i="1" s="1"/>
  <c r="H399" i="1" a="1"/>
  <c r="H399" i="1" s="1"/>
  <c r="H398" i="1" a="1"/>
  <c r="H398" i="1" s="1"/>
  <c r="H397" i="1" a="1"/>
  <c r="H397" i="1" s="1"/>
  <c r="H396" i="1" a="1"/>
  <c r="H396" i="1" s="1"/>
  <c r="H395" i="1" a="1"/>
  <c r="H395" i="1" s="1"/>
  <c r="H394" i="1" a="1"/>
  <c r="H394" i="1" s="1"/>
  <c r="H393" i="1" a="1"/>
  <c r="H393" i="1" s="1"/>
  <c r="H392" i="1" a="1"/>
  <c r="H392" i="1" s="1"/>
  <c r="H391" i="1" a="1"/>
  <c r="H391" i="1" s="1"/>
  <c r="H390" i="1" a="1"/>
  <c r="H390" i="1" s="1"/>
  <c r="H389" i="1" a="1"/>
  <c r="H389" i="1" s="1"/>
  <c r="H388" i="1" a="1"/>
  <c r="H388" i="1" s="1"/>
  <c r="H387" i="1" a="1"/>
  <c r="H387" i="1" s="1"/>
  <c r="H386" i="1" a="1"/>
  <c r="H386" i="1" s="1"/>
  <c r="H385" i="1" a="1"/>
  <c r="H385" i="1" s="1"/>
  <c r="H384" i="1" a="1"/>
  <c r="H384" i="1" s="1"/>
  <c r="H383" i="1" a="1"/>
  <c r="H383" i="1" s="1"/>
  <c r="H382" i="1" a="1"/>
  <c r="H382" i="1" s="1"/>
  <c r="H381" i="1" a="1"/>
  <c r="H381" i="1" s="1"/>
  <c r="H380" i="1" a="1"/>
  <c r="H380" i="1" s="1"/>
  <c r="H379" i="1" a="1"/>
  <c r="H379" i="1" s="1"/>
  <c r="H378" i="1" a="1"/>
  <c r="H378" i="1" s="1"/>
  <c r="H377" i="1" a="1"/>
  <c r="H377" i="1" s="1"/>
  <c r="H376" i="1" a="1"/>
  <c r="H376" i="1" s="1"/>
  <c r="H375" i="1" a="1"/>
  <c r="H375" i="1" s="1"/>
  <c r="H374" i="1" a="1"/>
  <c r="H374" i="1" s="1"/>
  <c r="H373" i="1" a="1"/>
  <c r="H373" i="1" s="1"/>
  <c r="H372" i="1" a="1"/>
  <c r="H372" i="1" s="1"/>
  <c r="H371" i="1" a="1"/>
  <c r="H371" i="1" s="1"/>
  <c r="H370" i="1" a="1"/>
  <c r="H370" i="1" s="1"/>
  <c r="H369" i="1" a="1"/>
  <c r="H369" i="1" s="1"/>
  <c r="H368" i="1" a="1"/>
  <c r="H368" i="1" s="1"/>
  <c r="H367" i="1" a="1"/>
  <c r="H367" i="1" s="1"/>
  <c r="H366" i="1" a="1"/>
  <c r="H366" i="1" s="1"/>
  <c r="H365" i="1" a="1"/>
  <c r="H365" i="1" s="1"/>
  <c r="H364" i="1" a="1"/>
  <c r="H364" i="1" s="1"/>
  <c r="H363" i="1" a="1"/>
  <c r="H363" i="1" s="1"/>
  <c r="H362" i="1" a="1"/>
  <c r="H362" i="1" s="1"/>
  <c r="H361" i="1" a="1"/>
  <c r="H361" i="1" s="1"/>
  <c r="H360" i="1" a="1"/>
  <c r="H360" i="1" s="1"/>
  <c r="H359" i="1" a="1"/>
  <c r="H359" i="1" s="1"/>
  <c r="H358" i="1" a="1"/>
  <c r="H358" i="1" s="1"/>
  <c r="H357" i="1" a="1"/>
  <c r="H357" i="1" s="1"/>
  <c r="H356" i="1" a="1"/>
  <c r="H356" i="1" s="1"/>
  <c r="H355" i="1" a="1"/>
  <c r="H355" i="1" s="1"/>
  <c r="H354" i="1" a="1"/>
  <c r="H354" i="1" s="1"/>
  <c r="H353" i="1" a="1"/>
  <c r="H353" i="1" s="1"/>
  <c r="H352" i="1" a="1"/>
  <c r="H352" i="1" s="1"/>
  <c r="H351" i="1" a="1"/>
  <c r="H351" i="1" s="1"/>
  <c r="H350" i="1" a="1"/>
  <c r="H350" i="1" s="1"/>
  <c r="H349" i="1" a="1"/>
  <c r="H349" i="1" s="1"/>
  <c r="H348" i="1" a="1"/>
  <c r="H348" i="1" s="1"/>
  <c r="H347" i="1" a="1"/>
  <c r="H347" i="1" s="1"/>
  <c r="H346" i="1" a="1"/>
  <c r="H346" i="1" s="1"/>
  <c r="H345" i="1" a="1"/>
  <c r="H345" i="1" s="1"/>
  <c r="H344" i="1" a="1"/>
  <c r="H344" i="1" s="1"/>
  <c r="H343" i="1" a="1"/>
  <c r="H343" i="1" s="1"/>
  <c r="H342" i="1" a="1"/>
  <c r="H342" i="1" s="1"/>
  <c r="H341" i="1" a="1"/>
  <c r="H341" i="1" s="1"/>
  <c r="H340" i="1" a="1"/>
  <c r="H340" i="1" s="1"/>
  <c r="H339" i="1" a="1"/>
  <c r="H339" i="1" s="1"/>
  <c r="H338" i="1" a="1"/>
  <c r="H338" i="1" s="1"/>
  <c r="H337" i="1" a="1"/>
  <c r="H337" i="1" s="1"/>
  <c r="H336" i="1" a="1"/>
  <c r="H336" i="1" s="1"/>
  <c r="H335" i="1" a="1"/>
  <c r="H335" i="1" s="1"/>
  <c r="H334" i="1" a="1"/>
  <c r="H334" i="1" s="1"/>
  <c r="H333" i="1" a="1"/>
  <c r="H333" i="1" s="1"/>
  <c r="H332" i="1" a="1"/>
  <c r="H332" i="1" s="1"/>
  <c r="H331" i="1" a="1"/>
  <c r="H331" i="1" s="1"/>
  <c r="H330" i="1" a="1"/>
  <c r="H330" i="1" s="1"/>
  <c r="H329" i="1" a="1"/>
  <c r="H329" i="1" s="1"/>
  <c r="H328" i="1" a="1"/>
  <c r="H328" i="1" s="1"/>
  <c r="H327" i="1" a="1"/>
  <c r="H327" i="1" s="1"/>
  <c r="H326" i="1" a="1"/>
  <c r="H326" i="1" s="1"/>
  <c r="H325" i="1" a="1"/>
  <c r="H325" i="1" s="1"/>
  <c r="H324" i="1" a="1"/>
  <c r="H324" i="1" s="1"/>
  <c r="H323" i="1" a="1"/>
  <c r="H323" i="1" s="1"/>
  <c r="H322" i="1" a="1"/>
  <c r="H322" i="1" s="1"/>
  <c r="H321" i="1" a="1"/>
  <c r="H321" i="1" s="1"/>
  <c r="H320" i="1" a="1"/>
  <c r="H320" i="1" s="1"/>
  <c r="H319" i="1" a="1"/>
  <c r="H319" i="1" s="1"/>
  <c r="H318" i="1" a="1"/>
  <c r="H318" i="1" s="1"/>
  <c r="H317" i="1" a="1"/>
  <c r="H317" i="1" s="1"/>
  <c r="H316" i="1" a="1"/>
  <c r="H316" i="1" s="1"/>
  <c r="H315" i="1" a="1"/>
  <c r="H315" i="1" s="1"/>
  <c r="H314" i="1" a="1"/>
  <c r="H314" i="1" s="1"/>
  <c r="H313" i="1" a="1"/>
  <c r="H313" i="1" s="1"/>
  <c r="H312" i="1" a="1"/>
  <c r="H312" i="1" s="1"/>
  <c r="H311" i="1" a="1"/>
  <c r="H311" i="1" s="1"/>
  <c r="H310" i="1" a="1"/>
  <c r="H310" i="1" s="1"/>
  <c r="H309" i="1" a="1"/>
  <c r="H309" i="1" s="1"/>
  <c r="H308" i="1" a="1"/>
  <c r="H308" i="1" s="1"/>
  <c r="H307" i="1" a="1"/>
  <c r="H307" i="1" s="1"/>
  <c r="H306" i="1" a="1"/>
  <c r="H306" i="1" s="1"/>
  <c r="H305" i="1" a="1"/>
  <c r="H305" i="1" s="1"/>
  <c r="H304" i="1" a="1"/>
  <c r="H304" i="1" s="1"/>
  <c r="H303" i="1" a="1"/>
  <c r="H303" i="1" s="1"/>
  <c r="H302" i="1" a="1"/>
  <c r="H302" i="1" s="1"/>
  <c r="H301" i="1" a="1"/>
  <c r="H301" i="1" s="1"/>
  <c r="H300" i="1" a="1"/>
  <c r="H300" i="1" s="1"/>
  <c r="H299" i="1" a="1"/>
  <c r="H299" i="1" s="1"/>
  <c r="H298" i="1" a="1"/>
  <c r="H298" i="1" s="1"/>
  <c r="H297" i="1" a="1"/>
  <c r="H297" i="1" s="1"/>
  <c r="H296" i="1" a="1"/>
  <c r="H296" i="1" s="1"/>
  <c r="H295" i="1" a="1"/>
  <c r="H295" i="1" s="1"/>
  <c r="H294" i="1" a="1"/>
  <c r="H294" i="1" s="1"/>
  <c r="H293" i="1" a="1"/>
  <c r="H293" i="1" s="1"/>
  <c r="H292" i="1" a="1"/>
  <c r="H292" i="1" s="1"/>
  <c r="H291" i="1" a="1"/>
  <c r="H291" i="1" s="1"/>
  <c r="H290" i="1" a="1"/>
  <c r="H290" i="1" s="1"/>
  <c r="H289" i="1" a="1"/>
  <c r="H289" i="1" s="1"/>
  <c r="H288" i="1" a="1"/>
  <c r="H288" i="1" s="1"/>
  <c r="H287" i="1" a="1"/>
  <c r="H287" i="1" s="1"/>
  <c r="H286" i="1" a="1"/>
  <c r="H286" i="1" s="1"/>
  <c r="H285" i="1" a="1"/>
  <c r="H285" i="1" s="1"/>
  <c r="H284" i="1" a="1"/>
  <c r="H284" i="1" s="1"/>
  <c r="H283" i="1" a="1"/>
  <c r="H283" i="1" s="1"/>
  <c r="H282" i="1" a="1"/>
  <c r="H282" i="1" s="1"/>
  <c r="H281" i="1" a="1"/>
  <c r="H281" i="1" s="1"/>
  <c r="H280" i="1" a="1"/>
  <c r="H280" i="1" s="1"/>
  <c r="H279" i="1" a="1"/>
  <c r="H279" i="1" s="1"/>
  <c r="H278" i="1" a="1"/>
  <c r="H278" i="1" s="1"/>
  <c r="H277" i="1" a="1"/>
  <c r="H277" i="1" s="1"/>
  <c r="H276" i="1" a="1"/>
  <c r="H276" i="1" s="1"/>
  <c r="H275" i="1" a="1"/>
  <c r="H275" i="1" s="1"/>
  <c r="H274" i="1" a="1"/>
  <c r="H274" i="1" s="1"/>
  <c r="H273" i="1" a="1"/>
  <c r="H273" i="1" s="1"/>
  <c r="H272" i="1" a="1"/>
  <c r="H272" i="1" s="1"/>
  <c r="H271" i="1" a="1"/>
  <c r="H271" i="1" s="1"/>
  <c r="H270" i="1" a="1"/>
  <c r="H270" i="1" s="1"/>
  <c r="H269" i="1" a="1"/>
  <c r="H269" i="1" s="1"/>
  <c r="H268" i="1" a="1"/>
  <c r="H268" i="1" s="1"/>
  <c r="H267" i="1" a="1"/>
  <c r="H267" i="1" s="1"/>
  <c r="H266" i="1" a="1"/>
  <c r="H266" i="1" s="1"/>
  <c r="H265" i="1" a="1"/>
  <c r="H265" i="1" s="1"/>
  <c r="H264" i="1" a="1"/>
  <c r="H264" i="1" s="1"/>
  <c r="H263" i="1" a="1"/>
  <c r="H263" i="1" s="1"/>
  <c r="H262" i="1" a="1"/>
  <c r="H262" i="1" s="1"/>
  <c r="H261" i="1" a="1"/>
  <c r="H261" i="1" s="1"/>
  <c r="H260" i="1" a="1"/>
  <c r="H260" i="1" s="1"/>
  <c r="H259" i="1" a="1"/>
  <c r="H259" i="1" s="1"/>
  <c r="H258" i="1" a="1"/>
  <c r="H258" i="1" s="1"/>
  <c r="H257" i="1" a="1"/>
  <c r="H257" i="1" s="1"/>
  <c r="H256" i="1" a="1"/>
  <c r="H256" i="1" s="1"/>
  <c r="H255" i="1" a="1"/>
  <c r="H255" i="1" s="1"/>
  <c r="H254" i="1" a="1"/>
  <c r="H254" i="1" s="1"/>
  <c r="H253" i="1" a="1"/>
  <c r="H253" i="1" s="1"/>
  <c r="H252" i="1" a="1"/>
  <c r="H252" i="1" s="1"/>
  <c r="H251" i="1" a="1"/>
  <c r="H251" i="1" s="1"/>
  <c r="H250" i="1" a="1"/>
  <c r="H250" i="1" s="1"/>
  <c r="H249" i="1" a="1"/>
  <c r="H249" i="1" s="1"/>
  <c r="H248" i="1" a="1"/>
  <c r="H248" i="1" s="1"/>
  <c r="H247" i="1" a="1"/>
  <c r="H247" i="1" s="1"/>
  <c r="H246" i="1" a="1"/>
  <c r="H246" i="1" s="1"/>
  <c r="H245" i="1" a="1"/>
  <c r="H245" i="1" s="1"/>
  <c r="H244" i="1" a="1"/>
  <c r="H244" i="1" s="1"/>
  <c r="H243" i="1" a="1"/>
  <c r="H243" i="1" s="1"/>
  <c r="H242" i="1" a="1"/>
  <c r="H242" i="1" s="1"/>
  <c r="H241" i="1" a="1"/>
  <c r="H241" i="1" s="1"/>
  <c r="H240" i="1" a="1"/>
  <c r="H240" i="1" s="1"/>
  <c r="H239" i="1" a="1"/>
  <c r="H239" i="1" s="1"/>
  <c r="H238" i="1" a="1"/>
  <c r="H238" i="1" s="1"/>
  <c r="H237" i="1" a="1"/>
  <c r="H237" i="1" s="1"/>
  <c r="H236" i="1" a="1"/>
  <c r="H236" i="1" s="1"/>
  <c r="H235" i="1" a="1"/>
  <c r="H235" i="1" s="1"/>
  <c r="H234" i="1" a="1"/>
  <c r="H234" i="1" s="1"/>
  <c r="H233" i="1" a="1"/>
  <c r="H233" i="1" s="1"/>
  <c r="H232" i="1" a="1"/>
  <c r="H232" i="1" s="1"/>
  <c r="H231" i="1" a="1"/>
  <c r="H231" i="1" s="1"/>
  <c r="H230" i="1" a="1"/>
  <c r="H230" i="1" s="1"/>
  <c r="H229" i="1" a="1"/>
  <c r="H229" i="1" s="1"/>
  <c r="H228" i="1" a="1"/>
  <c r="H228" i="1" s="1"/>
  <c r="H227" i="1" a="1"/>
  <c r="H227" i="1" s="1"/>
  <c r="H226" i="1" a="1"/>
  <c r="H226" i="1" s="1"/>
  <c r="H225" i="1" a="1"/>
  <c r="H225" i="1" s="1"/>
  <c r="H224" i="1" a="1"/>
  <c r="H224" i="1" s="1"/>
  <c r="H223" i="1" a="1"/>
  <c r="H223" i="1" s="1"/>
  <c r="H222" i="1" a="1"/>
  <c r="H222" i="1" s="1"/>
  <c r="H221" i="1" a="1"/>
  <c r="H221" i="1" s="1"/>
  <c r="H220" i="1" a="1"/>
  <c r="H220" i="1" s="1"/>
  <c r="H219" i="1" a="1"/>
  <c r="H219" i="1" s="1"/>
  <c r="H218" i="1" a="1"/>
  <c r="H218" i="1" s="1"/>
  <c r="H217" i="1" a="1"/>
  <c r="H217" i="1" s="1"/>
  <c r="H216" i="1" a="1"/>
  <c r="H216" i="1" s="1"/>
  <c r="H215" i="1" a="1"/>
  <c r="H215" i="1" s="1"/>
  <c r="H214" i="1" a="1"/>
  <c r="H214" i="1" s="1"/>
  <c r="H213" i="1" a="1"/>
  <c r="H213" i="1" s="1"/>
  <c r="H212" i="1" a="1"/>
  <c r="H212" i="1" s="1"/>
  <c r="H211" i="1" a="1"/>
  <c r="H211" i="1" s="1"/>
  <c r="H210" i="1" a="1"/>
  <c r="H210" i="1" s="1"/>
  <c r="H209" i="1" a="1"/>
  <c r="H209" i="1" s="1"/>
  <c r="H208" i="1" a="1"/>
  <c r="H208" i="1" s="1"/>
  <c r="H207" i="1" a="1"/>
  <c r="H207" i="1" s="1"/>
  <c r="H206" i="1" a="1"/>
  <c r="H206" i="1" s="1"/>
  <c r="H205" i="1" a="1"/>
  <c r="H205" i="1" s="1"/>
  <c r="H204" i="1" a="1"/>
  <c r="H204" i="1" s="1"/>
  <c r="H203" i="1" a="1"/>
  <c r="H203" i="1" s="1"/>
  <c r="H202" i="1" a="1"/>
  <c r="H202" i="1" s="1"/>
  <c r="H201" i="1" a="1"/>
  <c r="H201" i="1" s="1"/>
  <c r="H200" i="1" a="1"/>
  <c r="H200" i="1" s="1"/>
  <c r="H199" i="1" a="1"/>
  <c r="H199" i="1" s="1"/>
  <c r="H198" i="1" a="1"/>
  <c r="H198" i="1" s="1"/>
  <c r="H197" i="1" a="1"/>
  <c r="H197" i="1" s="1"/>
  <c r="H196" i="1" a="1"/>
  <c r="H196" i="1" s="1"/>
  <c r="H195" i="1" a="1"/>
  <c r="H195" i="1" s="1"/>
  <c r="H194" i="1" a="1"/>
  <c r="H194" i="1" s="1"/>
  <c r="H193" i="1" a="1"/>
  <c r="H193" i="1" s="1"/>
  <c r="H192" i="1" a="1"/>
  <c r="H192" i="1" s="1"/>
  <c r="H191" i="1" a="1"/>
  <c r="H191" i="1" s="1"/>
  <c r="H190" i="1" a="1"/>
  <c r="H190" i="1" s="1"/>
  <c r="H189" i="1" a="1"/>
  <c r="H189" i="1" s="1"/>
  <c r="H188" i="1" a="1"/>
  <c r="H188" i="1" s="1"/>
  <c r="H187" i="1" a="1"/>
  <c r="H187" i="1" s="1"/>
  <c r="H186" i="1" a="1"/>
  <c r="H186" i="1" s="1"/>
  <c r="H185" i="1" a="1"/>
  <c r="H185" i="1" s="1"/>
  <c r="H184" i="1" a="1"/>
  <c r="H184" i="1" s="1"/>
  <c r="H183" i="1" a="1"/>
  <c r="H183" i="1" s="1"/>
  <c r="H182" i="1" a="1"/>
  <c r="H182" i="1" s="1"/>
  <c r="H181" i="1" a="1"/>
  <c r="H181" i="1" s="1"/>
  <c r="H180" i="1" a="1"/>
  <c r="H180" i="1" s="1"/>
  <c r="H179" i="1" a="1"/>
  <c r="H179" i="1" s="1"/>
  <c r="H178" i="1" a="1"/>
  <c r="H178" i="1" s="1"/>
  <c r="H177" i="1" a="1"/>
  <c r="H177" i="1" s="1"/>
  <c r="H176" i="1" a="1"/>
  <c r="H176" i="1" s="1"/>
  <c r="H175" i="1" a="1"/>
  <c r="H175" i="1" s="1"/>
  <c r="H174" i="1" a="1"/>
  <c r="H174" i="1" s="1"/>
  <c r="H173" i="1" a="1"/>
  <c r="H173" i="1" s="1"/>
  <c r="H172" i="1" a="1"/>
  <c r="H172" i="1" s="1"/>
  <c r="H171" i="1" a="1"/>
  <c r="H171" i="1" s="1"/>
  <c r="H170" i="1" a="1"/>
  <c r="H170" i="1" s="1"/>
  <c r="H169" i="1" a="1"/>
  <c r="H169" i="1" s="1"/>
  <c r="H168" i="1" a="1"/>
  <c r="H168" i="1" s="1"/>
  <c r="H167" i="1" a="1"/>
  <c r="H167" i="1" s="1"/>
  <c r="H166" i="1" a="1"/>
  <c r="H166" i="1" s="1"/>
  <c r="H165" i="1" a="1"/>
  <c r="H165" i="1" s="1"/>
  <c r="H164" i="1" a="1"/>
  <c r="H164" i="1" s="1"/>
  <c r="H163" i="1" a="1"/>
  <c r="H163" i="1" s="1"/>
  <c r="H162" i="1" a="1"/>
  <c r="H162" i="1" s="1"/>
  <c r="H161" i="1" a="1"/>
  <c r="H161" i="1" s="1"/>
  <c r="H160" i="1" a="1"/>
  <c r="H160" i="1" s="1"/>
  <c r="H159" i="1" a="1"/>
  <c r="H159" i="1" s="1"/>
  <c r="H158" i="1" a="1"/>
  <c r="H158" i="1" s="1"/>
  <c r="H157" i="1" a="1"/>
  <c r="H157" i="1" s="1"/>
  <c r="H156" i="1" a="1"/>
  <c r="H156" i="1" s="1"/>
  <c r="H155" i="1" a="1"/>
  <c r="H155" i="1" s="1"/>
  <c r="H154" i="1" a="1"/>
  <c r="H154" i="1" s="1"/>
  <c r="H153" i="1" a="1"/>
  <c r="H153" i="1" s="1"/>
  <c r="H152" i="1" a="1"/>
  <c r="H152" i="1" s="1"/>
  <c r="H151" i="1" a="1"/>
  <c r="H151" i="1" s="1"/>
  <c r="H150" i="1" a="1"/>
  <c r="H150" i="1" s="1"/>
  <c r="H149" i="1" a="1"/>
  <c r="H149" i="1" s="1"/>
  <c r="H148" i="1" a="1"/>
  <c r="H148" i="1" s="1"/>
  <c r="H147" i="1" a="1"/>
  <c r="H147" i="1" s="1"/>
  <c r="H146" i="1" a="1"/>
  <c r="H146" i="1" s="1"/>
  <c r="H145" i="1" a="1"/>
  <c r="H145" i="1" s="1"/>
  <c r="H144" i="1" a="1"/>
  <c r="H144" i="1" s="1"/>
  <c r="H143" i="1" a="1"/>
  <c r="H143" i="1" s="1"/>
  <c r="H142" i="1" a="1"/>
  <c r="H142" i="1" s="1"/>
  <c r="H141" i="1" a="1"/>
  <c r="H141" i="1" s="1"/>
  <c r="H140" i="1" a="1"/>
  <c r="H140" i="1" s="1"/>
  <c r="H139" i="1" a="1"/>
  <c r="H139" i="1" s="1"/>
  <c r="H138" i="1" a="1"/>
  <c r="H138" i="1" s="1"/>
  <c r="H137" i="1" a="1"/>
  <c r="H137" i="1" s="1"/>
  <c r="H136" i="1" a="1"/>
  <c r="H136" i="1" s="1"/>
  <c r="H135" i="1" a="1"/>
  <c r="H135" i="1" s="1"/>
  <c r="H134" i="1" a="1"/>
  <c r="H134" i="1" s="1"/>
  <c r="H133" i="1" a="1"/>
  <c r="H133" i="1" s="1"/>
  <c r="H132" i="1" a="1"/>
  <c r="H132" i="1" s="1"/>
  <c r="H131" i="1" a="1"/>
  <c r="H131" i="1" s="1"/>
  <c r="H130" i="1" a="1"/>
  <c r="H130" i="1" s="1"/>
  <c r="H129" i="1" a="1"/>
  <c r="H129" i="1" s="1"/>
  <c r="H128" i="1" a="1"/>
  <c r="H128" i="1" s="1"/>
  <c r="H127" i="1" a="1"/>
  <c r="H127" i="1" s="1"/>
  <c r="H126" i="1" a="1"/>
  <c r="H126" i="1" s="1"/>
  <c r="H125" i="1" a="1"/>
  <c r="H125" i="1" s="1"/>
  <c r="H124" i="1" a="1"/>
  <c r="H124" i="1" s="1"/>
  <c r="H123" i="1" a="1"/>
  <c r="H123" i="1" s="1"/>
  <c r="H122" i="1" a="1"/>
  <c r="H122" i="1" s="1"/>
  <c r="H121" i="1" a="1"/>
  <c r="H121" i="1" s="1"/>
  <c r="H120" i="1" a="1"/>
  <c r="H120" i="1" s="1"/>
  <c r="H119" i="1" a="1"/>
  <c r="H119" i="1" s="1"/>
  <c r="H118" i="1" a="1"/>
  <c r="H118" i="1" s="1"/>
  <c r="H117" i="1" a="1"/>
  <c r="H117" i="1" s="1"/>
  <c r="H116" i="1" a="1"/>
  <c r="H116" i="1" s="1"/>
  <c r="H115" i="1" a="1"/>
  <c r="H115" i="1" s="1"/>
  <c r="H114" i="1" a="1"/>
  <c r="H114" i="1" s="1"/>
  <c r="H113" i="1" a="1"/>
  <c r="H113" i="1" s="1"/>
  <c r="H112" i="1" a="1"/>
  <c r="H112" i="1" s="1"/>
  <c r="H111" i="1" a="1"/>
  <c r="H111" i="1" s="1"/>
  <c r="H110" i="1" a="1"/>
  <c r="H110" i="1" s="1"/>
  <c r="H109" i="1" a="1"/>
  <c r="H109" i="1" s="1"/>
  <c r="H108" i="1" a="1"/>
  <c r="H108" i="1" s="1"/>
  <c r="H107" i="1" a="1"/>
  <c r="H107" i="1" s="1"/>
  <c r="H106" i="1" a="1"/>
  <c r="H106" i="1" s="1"/>
  <c r="H105" i="1" a="1"/>
  <c r="H105" i="1" s="1"/>
  <c r="H104" i="1" a="1"/>
  <c r="H104" i="1" s="1"/>
  <c r="H103" i="1" a="1"/>
  <c r="H103" i="1" s="1"/>
  <c r="H102" i="1" a="1"/>
  <c r="H102" i="1" s="1"/>
  <c r="H101" i="1" a="1"/>
  <c r="H101" i="1" s="1"/>
  <c r="H100" i="1" a="1"/>
  <c r="H100" i="1" s="1"/>
  <c r="H99" i="1" a="1"/>
  <c r="H99" i="1" s="1"/>
  <c r="H98" i="1" a="1"/>
  <c r="H98" i="1" s="1"/>
  <c r="H97" i="1" a="1"/>
  <c r="H97" i="1" s="1"/>
  <c r="H96" i="1" a="1"/>
  <c r="H96" i="1" s="1"/>
  <c r="H95" i="1" a="1"/>
  <c r="H95" i="1" s="1"/>
  <c r="H94" i="1" a="1"/>
  <c r="H94" i="1" s="1"/>
  <c r="H93" i="1" a="1"/>
  <c r="H93" i="1" s="1"/>
  <c r="H92" i="1" a="1"/>
  <c r="H92" i="1" s="1"/>
  <c r="H91" i="1" a="1"/>
  <c r="H91" i="1" s="1"/>
  <c r="H90" i="1" a="1"/>
  <c r="H90" i="1" s="1"/>
  <c r="H89" i="1" a="1"/>
  <c r="H89" i="1" s="1"/>
  <c r="H88" i="1" a="1"/>
  <c r="H88" i="1" s="1"/>
  <c r="H87" i="1" a="1"/>
  <c r="H87" i="1" s="1"/>
  <c r="H86" i="1" a="1"/>
  <c r="H86" i="1" s="1"/>
  <c r="H85" i="1" a="1"/>
  <c r="H85" i="1" s="1"/>
  <c r="H84" i="1" a="1"/>
  <c r="H84" i="1" s="1"/>
  <c r="H83" i="1" a="1"/>
  <c r="H83" i="1" s="1"/>
  <c r="H82" i="1" a="1"/>
  <c r="H82" i="1" s="1"/>
  <c r="H81" i="1" a="1"/>
  <c r="H81" i="1" s="1"/>
  <c r="H80" i="1" a="1"/>
  <c r="H80" i="1" s="1"/>
  <c r="H79" i="1" a="1"/>
  <c r="H79" i="1" s="1"/>
  <c r="H78" i="1" a="1"/>
  <c r="H78" i="1" s="1"/>
  <c r="H77" i="1" a="1"/>
  <c r="H77" i="1" s="1"/>
  <c r="H76" i="1" a="1"/>
  <c r="H76" i="1" s="1"/>
  <c r="H75" i="1" a="1"/>
  <c r="H75" i="1" s="1"/>
  <c r="H74" i="1" a="1"/>
  <c r="H74" i="1" s="1"/>
  <c r="H73" i="1" a="1"/>
  <c r="H73" i="1" s="1"/>
  <c r="H72" i="1" a="1"/>
  <c r="H72" i="1" s="1"/>
  <c r="H71" i="1" a="1"/>
  <c r="H71" i="1" s="1"/>
  <c r="H70" i="1" a="1"/>
  <c r="H70" i="1" s="1"/>
  <c r="H69" i="1" a="1"/>
  <c r="H69" i="1" s="1"/>
  <c r="H68" i="1" a="1"/>
  <c r="H68" i="1" s="1"/>
  <c r="H67" i="1" a="1"/>
  <c r="H67" i="1" s="1"/>
  <c r="H66" i="1" a="1"/>
  <c r="H66" i="1" s="1"/>
  <c r="H65" i="1" a="1"/>
  <c r="H65" i="1" s="1"/>
  <c r="H64" i="1" a="1"/>
  <c r="H64" i="1" s="1"/>
  <c r="H63" i="1" a="1"/>
  <c r="H63" i="1" s="1"/>
  <c r="H62" i="1" a="1"/>
  <c r="H62" i="1" s="1"/>
  <c r="H61" i="1" a="1"/>
  <c r="H61" i="1" s="1"/>
  <c r="H60" i="1" a="1"/>
  <c r="H60" i="1" s="1"/>
  <c r="H59" i="1" a="1"/>
  <c r="H59" i="1" s="1"/>
  <c r="H58" i="1" a="1"/>
  <c r="H58" i="1" s="1"/>
  <c r="H57" i="1" a="1"/>
  <c r="H57" i="1" s="1"/>
  <c r="H56" i="1" a="1"/>
  <c r="H56" i="1" s="1"/>
  <c r="H55" i="1" a="1"/>
  <c r="H55" i="1" s="1"/>
  <c r="H54" i="1" a="1"/>
  <c r="H54" i="1" s="1"/>
  <c r="H53" i="1" a="1"/>
  <c r="H53" i="1" s="1"/>
  <c r="H52" i="1" a="1"/>
  <c r="H52" i="1" s="1"/>
  <c r="H51" i="1" a="1"/>
  <c r="H51" i="1" s="1"/>
  <c r="H50" i="1" a="1"/>
  <c r="H50" i="1" s="1"/>
  <c r="H49" i="1" a="1"/>
  <c r="H49" i="1" s="1"/>
  <c r="H48" i="1" a="1"/>
  <c r="H48" i="1" s="1"/>
  <c r="H47" i="1" a="1"/>
  <c r="H47" i="1" s="1"/>
  <c r="H46" i="1" a="1"/>
  <c r="H46" i="1" s="1"/>
  <c r="H45" i="1" a="1"/>
  <c r="H45" i="1" s="1"/>
  <c r="H44" i="1" a="1"/>
  <c r="H44" i="1" s="1"/>
  <c r="H43" i="1" a="1"/>
  <c r="H43" i="1" s="1"/>
  <c r="H42" i="1" a="1"/>
  <c r="H42" i="1" s="1"/>
  <c r="H41" i="1" a="1"/>
  <c r="H41" i="1" s="1"/>
  <c r="H40" i="1" a="1"/>
  <c r="H40" i="1" s="1"/>
  <c r="H39" i="1" a="1"/>
  <c r="H39" i="1" s="1"/>
  <c r="H38" i="1" a="1"/>
  <c r="H38" i="1" s="1"/>
  <c r="H37" i="1" a="1"/>
  <c r="H37" i="1" s="1"/>
  <c r="H36" i="1" a="1"/>
  <c r="H36" i="1" s="1"/>
  <c r="H35" i="1" a="1"/>
  <c r="H35" i="1" s="1"/>
  <c r="H34" i="1" a="1"/>
  <c r="H34" i="1" s="1"/>
  <c r="H33" i="1" a="1"/>
  <c r="H33" i="1" s="1"/>
  <c r="H32" i="1" a="1"/>
  <c r="H32" i="1" s="1"/>
  <c r="H31" i="1" a="1"/>
  <c r="H31" i="1" s="1"/>
  <c r="H30" i="1" a="1"/>
  <c r="H30" i="1" s="1"/>
  <c r="H29" i="1" a="1"/>
  <c r="H29" i="1" s="1"/>
  <c r="H28" i="1" a="1"/>
  <c r="H28" i="1" s="1"/>
  <c r="H27" i="1" a="1"/>
  <c r="H27" i="1" s="1"/>
  <c r="H26" i="1" a="1"/>
  <c r="H26" i="1" s="1"/>
  <c r="H25" i="1" a="1"/>
  <c r="H25" i="1" s="1"/>
  <c r="H24" i="1" a="1"/>
  <c r="H24" i="1" s="1"/>
  <c r="H23" i="1" a="1"/>
  <c r="H23" i="1" s="1"/>
  <c r="H22" i="1" a="1"/>
  <c r="H22" i="1" s="1"/>
  <c r="H21" i="1" a="1"/>
  <c r="H21" i="1" s="1"/>
  <c r="H20" i="1" a="1"/>
  <c r="H20" i="1" s="1"/>
  <c r="H19" i="1" a="1"/>
  <c r="H19" i="1" s="1"/>
  <c r="H18" i="1" a="1"/>
  <c r="H18" i="1" s="1"/>
  <c r="H17" i="1" a="1"/>
  <c r="H17" i="1" s="1"/>
  <c r="H16" i="1" a="1"/>
  <c r="H16" i="1" s="1"/>
  <c r="H15" i="1" a="1"/>
  <c r="H15" i="1" s="1"/>
  <c r="H14" i="1" a="1"/>
  <c r="H14" i="1" s="1"/>
  <c r="H13" i="1" a="1"/>
  <c r="H13" i="1" s="1"/>
  <c r="H12" i="1" a="1"/>
  <c r="H12" i="1" s="1"/>
  <c r="H11" i="1" a="1"/>
  <c r="H11" i="1" s="1"/>
  <c r="H10" i="1" a="1"/>
  <c r="H10" i="1" s="1"/>
  <c r="H9" i="1" a="1"/>
  <c r="H9" i="1" s="1"/>
  <c r="H8" i="1" a="1"/>
  <c r="H8" i="1" s="1"/>
  <c r="H7" i="1" a="1"/>
  <c r="H7" i="1" s="1"/>
  <c r="H6" i="1" a="1"/>
  <c r="H6" i="1" s="1"/>
  <c r="H5" i="1" a="1"/>
  <c r="H5" i="1" s="1"/>
  <c r="H4" i="1" a="1"/>
  <c r="H4" i="1" s="1"/>
  <c r="H3" i="1" a="1"/>
  <c r="H3" i="1" s="1"/>
  <c r="H2" i="1" a="1"/>
  <c r="H2" i="1" s="1"/>
  <c r="M1029" i="1" a="1"/>
  <c r="M1029" i="1" s="1"/>
  <c r="Q1029" i="1" s="1"/>
  <c r="L1029" i="1"/>
  <c r="K1029" i="1"/>
  <c r="J1029" i="1"/>
  <c r="I1029" i="1" a="1"/>
  <c r="I1029" i="1" s="1"/>
  <c r="G1029" i="1" a="1"/>
  <c r="G1029" i="1" s="1"/>
  <c r="F1029" i="1" a="1"/>
  <c r="F1029" i="1" s="1"/>
  <c r="M1028" i="1" a="1"/>
  <c r="M1028" i="1" s="1"/>
  <c r="Q1028" i="1" s="1"/>
  <c r="L1028" i="1"/>
  <c r="K1028" i="1"/>
  <c r="J1028" i="1"/>
  <c r="I1028" i="1" a="1"/>
  <c r="I1028" i="1" s="1"/>
  <c r="G1028" i="1" a="1"/>
  <c r="G1028" i="1" s="1"/>
  <c r="F1028" i="1" a="1"/>
  <c r="F1028" i="1" s="1"/>
  <c r="M1027" i="1" a="1"/>
  <c r="M1027" i="1" s="1"/>
  <c r="L1027" i="1"/>
  <c r="K1027" i="1"/>
  <c r="J1027" i="1"/>
  <c r="I1027" i="1" a="1"/>
  <c r="I1027" i="1" s="1"/>
  <c r="G1027" i="1" a="1"/>
  <c r="G1027" i="1" s="1"/>
  <c r="F1027" i="1" a="1"/>
  <c r="F1027" i="1" s="1"/>
  <c r="M1026" i="1" a="1"/>
  <c r="M1026" i="1" s="1"/>
  <c r="Q1026" i="1" s="1"/>
  <c r="L1026" i="1"/>
  <c r="K1026" i="1"/>
  <c r="J1026" i="1"/>
  <c r="I1026" i="1" a="1"/>
  <c r="I1026" i="1" s="1"/>
  <c r="G1026" i="1" a="1"/>
  <c r="G1026" i="1" s="1"/>
  <c r="F1026" i="1" a="1"/>
  <c r="F1026" i="1" s="1"/>
  <c r="M1025" i="1" a="1"/>
  <c r="M1025" i="1" s="1"/>
  <c r="Q1025" i="1" s="1"/>
  <c r="L1025" i="1"/>
  <c r="K1025" i="1"/>
  <c r="J1025" i="1"/>
  <c r="I1025" i="1" a="1"/>
  <c r="I1025" i="1" s="1"/>
  <c r="G1025" i="1" a="1"/>
  <c r="G1025" i="1" s="1"/>
  <c r="F1025" i="1" a="1"/>
  <c r="F1025" i="1" s="1"/>
  <c r="M1024" i="1" a="1"/>
  <c r="M1024" i="1" s="1"/>
  <c r="Q1024" i="1" s="1"/>
  <c r="L1024" i="1"/>
  <c r="K1024" i="1"/>
  <c r="J1024" i="1"/>
  <c r="I1024" i="1" a="1"/>
  <c r="I1024" i="1" s="1"/>
  <c r="G1024" i="1" a="1"/>
  <c r="G1024" i="1" s="1"/>
  <c r="F1024" i="1" a="1"/>
  <c r="F1024" i="1" s="1"/>
  <c r="M1023" i="1" a="1"/>
  <c r="M1023" i="1" s="1"/>
  <c r="Q1023" i="1" s="1"/>
  <c r="L1023" i="1"/>
  <c r="K1023" i="1"/>
  <c r="J1023" i="1"/>
  <c r="I1023" i="1" a="1"/>
  <c r="I1023" i="1" s="1"/>
  <c r="G1023" i="1" a="1"/>
  <c r="G1023" i="1" s="1"/>
  <c r="F1023" i="1" a="1"/>
  <c r="F1023" i="1" s="1"/>
  <c r="M1022" i="1" a="1"/>
  <c r="M1022" i="1" s="1"/>
  <c r="Q1022" i="1" s="1"/>
  <c r="L1022" i="1"/>
  <c r="K1022" i="1"/>
  <c r="J1022" i="1"/>
  <c r="I1022" i="1" a="1"/>
  <c r="I1022" i="1" s="1"/>
  <c r="G1022" i="1" a="1"/>
  <c r="G1022" i="1" s="1"/>
  <c r="F1022" i="1" a="1"/>
  <c r="F1022" i="1" s="1"/>
  <c r="M1021" i="1" a="1"/>
  <c r="M1021" i="1" s="1"/>
  <c r="Q1021" i="1" s="1"/>
  <c r="L1021" i="1"/>
  <c r="K1021" i="1"/>
  <c r="J1021" i="1"/>
  <c r="I1021" i="1" a="1"/>
  <c r="I1021" i="1" s="1"/>
  <c r="G1021" i="1" a="1"/>
  <c r="G1021" i="1" s="1"/>
  <c r="F1021" i="1" a="1"/>
  <c r="F1021" i="1" s="1"/>
  <c r="M1020" i="1" a="1"/>
  <c r="M1020" i="1" s="1"/>
  <c r="Q1020" i="1" s="1"/>
  <c r="L1020" i="1"/>
  <c r="K1020" i="1"/>
  <c r="J1020" i="1"/>
  <c r="I1020" i="1" a="1"/>
  <c r="I1020" i="1" s="1"/>
  <c r="G1020" i="1" a="1"/>
  <c r="G1020" i="1" s="1"/>
  <c r="F1020" i="1" a="1"/>
  <c r="F1020" i="1" s="1"/>
  <c r="M1019" i="1" a="1"/>
  <c r="M1019" i="1" s="1"/>
  <c r="P1019" i="1" s="1"/>
  <c r="L1019" i="1"/>
  <c r="K1019" i="1"/>
  <c r="J1019" i="1"/>
  <c r="I1019" i="1" a="1"/>
  <c r="I1019" i="1" s="1"/>
  <c r="G1019" i="1" a="1"/>
  <c r="G1019" i="1" s="1"/>
  <c r="F1019" i="1" a="1"/>
  <c r="F1019" i="1" s="1"/>
  <c r="M1018" i="1" a="1"/>
  <c r="M1018" i="1" s="1"/>
  <c r="Q1018" i="1" s="1"/>
  <c r="L1018" i="1"/>
  <c r="K1018" i="1"/>
  <c r="J1018" i="1"/>
  <c r="I1018" i="1"/>
  <c r="I1018" i="1" a="1"/>
  <c r="G1018" i="1" a="1"/>
  <c r="G1018" i="1" s="1"/>
  <c r="F1018" i="1" a="1"/>
  <c r="F1018" i="1" s="1"/>
  <c r="M1017" i="1" a="1"/>
  <c r="M1017" i="1" s="1"/>
  <c r="Q1017" i="1" s="1"/>
  <c r="L1017" i="1"/>
  <c r="K1017" i="1"/>
  <c r="J1017" i="1"/>
  <c r="I1017" i="1" a="1"/>
  <c r="I1017" i="1" s="1"/>
  <c r="G1017" i="1" a="1"/>
  <c r="G1017" i="1" s="1"/>
  <c r="F1017" i="1" a="1"/>
  <c r="F1017" i="1" s="1"/>
  <c r="M1016" i="1" a="1"/>
  <c r="M1016" i="1" s="1"/>
  <c r="Q1016" i="1" s="1"/>
  <c r="L1016" i="1"/>
  <c r="K1016" i="1"/>
  <c r="J1016" i="1"/>
  <c r="I1016" i="1" a="1"/>
  <c r="I1016" i="1" s="1"/>
  <c r="G1016" i="1" a="1"/>
  <c r="G1016" i="1" s="1"/>
  <c r="F1016" i="1" a="1"/>
  <c r="F1016" i="1" s="1"/>
  <c r="M1015" i="1" a="1"/>
  <c r="M1015" i="1" s="1"/>
  <c r="Q1015" i="1" s="1"/>
  <c r="L1015" i="1"/>
  <c r="K1015" i="1"/>
  <c r="J1015" i="1"/>
  <c r="I1015" i="1" a="1"/>
  <c r="I1015" i="1" s="1"/>
  <c r="G1015" i="1" a="1"/>
  <c r="G1015" i="1" s="1"/>
  <c r="F1015" i="1" a="1"/>
  <c r="F1015" i="1" s="1"/>
  <c r="M1014" i="1" a="1"/>
  <c r="M1014" i="1" s="1"/>
  <c r="Q1014" i="1" s="1"/>
  <c r="L1014" i="1"/>
  <c r="K1014" i="1"/>
  <c r="J1014" i="1"/>
  <c r="I1014" i="1" a="1"/>
  <c r="I1014" i="1" s="1"/>
  <c r="G1014" i="1" a="1"/>
  <c r="G1014" i="1" s="1"/>
  <c r="F1014" i="1" a="1"/>
  <c r="F1014" i="1" s="1"/>
  <c r="M1013" i="1" a="1"/>
  <c r="M1013" i="1" s="1"/>
  <c r="Q1013" i="1" s="1"/>
  <c r="L1013" i="1"/>
  <c r="K1013" i="1"/>
  <c r="J1013" i="1"/>
  <c r="I1013" i="1" a="1"/>
  <c r="I1013" i="1" s="1"/>
  <c r="G1013" i="1" a="1"/>
  <c r="G1013" i="1" s="1"/>
  <c r="F1013" i="1" a="1"/>
  <c r="F1013" i="1" s="1"/>
  <c r="M1012" i="1" a="1"/>
  <c r="M1012" i="1" s="1"/>
  <c r="Q1012" i="1" s="1"/>
  <c r="L1012" i="1"/>
  <c r="K1012" i="1"/>
  <c r="J1012" i="1"/>
  <c r="I1012" i="1" a="1"/>
  <c r="I1012" i="1" s="1"/>
  <c r="G1012" i="1" a="1"/>
  <c r="G1012" i="1" s="1"/>
  <c r="F1012" i="1" a="1"/>
  <c r="F1012" i="1" s="1"/>
  <c r="M1011" i="1" a="1"/>
  <c r="M1011" i="1" s="1"/>
  <c r="U1011" i="1" s="1" a="1"/>
  <c r="U1011" i="1" s="1"/>
  <c r="L1011" i="1"/>
  <c r="K1011" i="1"/>
  <c r="J1011" i="1"/>
  <c r="I1011" i="1" a="1"/>
  <c r="I1011" i="1" s="1"/>
  <c r="G1011" i="1" a="1"/>
  <c r="G1011" i="1" s="1"/>
  <c r="F1011" i="1" a="1"/>
  <c r="F1011" i="1" s="1"/>
  <c r="M1010" i="1" a="1"/>
  <c r="M1010" i="1" s="1"/>
  <c r="U1010" i="1" s="1" a="1"/>
  <c r="U1010" i="1" s="1"/>
  <c r="L1010" i="1"/>
  <c r="K1010" i="1"/>
  <c r="J1010" i="1"/>
  <c r="I1010" i="1" a="1"/>
  <c r="I1010" i="1" s="1"/>
  <c r="G1010" i="1" a="1"/>
  <c r="G1010" i="1" s="1"/>
  <c r="F1010" i="1" a="1"/>
  <c r="F1010" i="1" s="1"/>
  <c r="M1009" i="1" a="1"/>
  <c r="M1009" i="1" s="1"/>
  <c r="Q1009" i="1" s="1"/>
  <c r="L1009" i="1"/>
  <c r="K1009" i="1"/>
  <c r="J1009" i="1"/>
  <c r="I1009" i="1" a="1"/>
  <c r="I1009" i="1" s="1"/>
  <c r="G1009" i="1" a="1"/>
  <c r="G1009" i="1" s="1"/>
  <c r="F1009" i="1" a="1"/>
  <c r="F1009" i="1" s="1"/>
  <c r="M1008" i="1" a="1"/>
  <c r="M1008" i="1" s="1"/>
  <c r="L1008" i="1"/>
  <c r="K1008" i="1"/>
  <c r="J1008" i="1"/>
  <c r="I1008" i="1" a="1"/>
  <c r="I1008" i="1" s="1"/>
  <c r="G1008" i="1" a="1"/>
  <c r="G1008" i="1" s="1"/>
  <c r="F1008" i="1" a="1"/>
  <c r="F1008" i="1" s="1"/>
  <c r="M1007" i="1" a="1"/>
  <c r="M1007" i="1" s="1"/>
  <c r="Q1007" i="1" s="1"/>
  <c r="L1007" i="1"/>
  <c r="K1007" i="1"/>
  <c r="J1007" i="1"/>
  <c r="I1007" i="1" a="1"/>
  <c r="I1007" i="1" s="1"/>
  <c r="G1007" i="1" a="1"/>
  <c r="G1007" i="1" s="1"/>
  <c r="F1007" i="1" a="1"/>
  <c r="F1007" i="1" s="1"/>
  <c r="M1006" i="1" a="1"/>
  <c r="M1006" i="1" s="1"/>
  <c r="L1006" i="1"/>
  <c r="K1006" i="1"/>
  <c r="J1006" i="1"/>
  <c r="I1006" i="1" a="1"/>
  <c r="I1006" i="1" s="1"/>
  <c r="G1006" i="1" a="1"/>
  <c r="G1006" i="1" s="1"/>
  <c r="F1006" i="1" a="1"/>
  <c r="F1006" i="1" s="1"/>
  <c r="M1005" i="1" a="1"/>
  <c r="M1005" i="1" s="1"/>
  <c r="U1005" i="1" s="1" a="1"/>
  <c r="U1005" i="1" s="1"/>
  <c r="L1005" i="1"/>
  <c r="K1005" i="1"/>
  <c r="J1005" i="1"/>
  <c r="I1005" i="1"/>
  <c r="I1005" i="1" a="1"/>
  <c r="G1005" i="1" a="1"/>
  <c r="G1005" i="1" s="1"/>
  <c r="F1005" i="1" a="1"/>
  <c r="F1005" i="1" s="1"/>
  <c r="M1004" i="1" a="1"/>
  <c r="M1004" i="1" s="1"/>
  <c r="Q1004" i="1" s="1"/>
  <c r="L1004" i="1"/>
  <c r="K1004" i="1"/>
  <c r="J1004" i="1"/>
  <c r="I1004" i="1" a="1"/>
  <c r="I1004" i="1" s="1"/>
  <c r="G1004" i="1" a="1"/>
  <c r="G1004" i="1" s="1"/>
  <c r="F1004" i="1" a="1"/>
  <c r="F1004" i="1" s="1"/>
  <c r="M1003" i="1" a="1"/>
  <c r="M1003" i="1" s="1"/>
  <c r="Q1003" i="1" s="1"/>
  <c r="L1003" i="1"/>
  <c r="K1003" i="1"/>
  <c r="J1003" i="1"/>
  <c r="I1003" i="1" a="1"/>
  <c r="I1003" i="1" s="1"/>
  <c r="G1003" i="1" a="1"/>
  <c r="G1003" i="1" s="1"/>
  <c r="F1003" i="1" a="1"/>
  <c r="F1003" i="1" s="1"/>
  <c r="M1002" i="1" a="1"/>
  <c r="M1002" i="1" s="1"/>
  <c r="Q1002" i="1" s="1"/>
  <c r="L1002" i="1"/>
  <c r="K1002" i="1"/>
  <c r="J1002" i="1"/>
  <c r="I1002" i="1" a="1"/>
  <c r="I1002" i="1" s="1"/>
  <c r="G1002" i="1" a="1"/>
  <c r="G1002" i="1" s="1"/>
  <c r="F1002" i="1" a="1"/>
  <c r="F1002" i="1" s="1"/>
  <c r="M1001" i="1" a="1"/>
  <c r="M1001" i="1" s="1"/>
  <c r="Q1001" i="1" s="1"/>
  <c r="L1001" i="1"/>
  <c r="K1001" i="1"/>
  <c r="J1001" i="1"/>
  <c r="I1001" i="1"/>
  <c r="I1001" i="1" a="1"/>
  <c r="G1001" i="1" a="1"/>
  <c r="G1001" i="1" s="1"/>
  <c r="F1001" i="1" a="1"/>
  <c r="F1001" i="1" s="1"/>
  <c r="M1000" i="1" a="1"/>
  <c r="M1000" i="1" s="1"/>
  <c r="Q1000" i="1" s="1"/>
  <c r="L1000" i="1"/>
  <c r="K1000" i="1"/>
  <c r="J1000" i="1"/>
  <c r="I1000" i="1" a="1"/>
  <c r="I1000" i="1" s="1"/>
  <c r="G1000" i="1" a="1"/>
  <c r="G1000" i="1" s="1"/>
  <c r="F1000" i="1" a="1"/>
  <c r="F1000" i="1" s="1"/>
  <c r="M999" i="1" a="1"/>
  <c r="M999" i="1" s="1"/>
  <c r="Q999" i="1" s="1"/>
  <c r="L999" i="1"/>
  <c r="K999" i="1"/>
  <c r="J999" i="1"/>
  <c r="I999" i="1" a="1"/>
  <c r="I999" i="1" s="1"/>
  <c r="G999" i="1" a="1"/>
  <c r="G999" i="1" s="1"/>
  <c r="F999" i="1" a="1"/>
  <c r="F999" i="1" s="1"/>
  <c r="M998" i="1" a="1"/>
  <c r="M998" i="1" s="1"/>
  <c r="Q998" i="1" s="1"/>
  <c r="L998" i="1"/>
  <c r="K998" i="1"/>
  <c r="J998" i="1"/>
  <c r="I998" i="1" a="1"/>
  <c r="I998" i="1" s="1"/>
  <c r="G998" i="1" a="1"/>
  <c r="G998" i="1" s="1"/>
  <c r="F998" i="1" a="1"/>
  <c r="F998" i="1" s="1"/>
  <c r="M997" i="1" a="1"/>
  <c r="M997" i="1" s="1"/>
  <c r="O997" i="1" s="1" a="1"/>
  <c r="O997" i="1" s="1"/>
  <c r="L997" i="1"/>
  <c r="K997" i="1"/>
  <c r="J997" i="1"/>
  <c r="I997" i="1" a="1"/>
  <c r="I997" i="1" s="1"/>
  <c r="G997" i="1" a="1"/>
  <c r="G997" i="1" s="1"/>
  <c r="F997" i="1" a="1"/>
  <c r="F997" i="1" s="1"/>
  <c r="M996" i="1" a="1"/>
  <c r="M996" i="1" s="1"/>
  <c r="L996" i="1"/>
  <c r="K996" i="1"/>
  <c r="J996" i="1"/>
  <c r="I996" i="1" a="1"/>
  <c r="I996" i="1" s="1"/>
  <c r="G996" i="1" a="1"/>
  <c r="G996" i="1" s="1"/>
  <c r="F996" i="1" a="1"/>
  <c r="F996" i="1" s="1"/>
  <c r="M995" i="1" a="1"/>
  <c r="M995" i="1" s="1"/>
  <c r="O995" i="1" s="1" a="1"/>
  <c r="O995" i="1" s="1"/>
  <c r="L995" i="1"/>
  <c r="K995" i="1"/>
  <c r="J995" i="1"/>
  <c r="I995" i="1" a="1"/>
  <c r="I995" i="1" s="1"/>
  <c r="G995" i="1" a="1"/>
  <c r="G995" i="1" s="1"/>
  <c r="F995" i="1" a="1"/>
  <c r="F995" i="1" s="1"/>
  <c r="M994" i="1" a="1"/>
  <c r="M994" i="1" s="1"/>
  <c r="Q994" i="1" s="1"/>
  <c r="L994" i="1"/>
  <c r="K994" i="1"/>
  <c r="J994" i="1"/>
  <c r="I994" i="1"/>
  <c r="I994" i="1" a="1"/>
  <c r="G994" i="1" a="1"/>
  <c r="G994" i="1" s="1"/>
  <c r="F994" i="1" a="1"/>
  <c r="F994" i="1" s="1"/>
  <c r="M993" i="1" a="1"/>
  <c r="M993" i="1" s="1"/>
  <c r="Q993" i="1" s="1"/>
  <c r="L993" i="1"/>
  <c r="K993" i="1"/>
  <c r="J993" i="1"/>
  <c r="I993" i="1" a="1"/>
  <c r="I993" i="1" s="1"/>
  <c r="G993" i="1" a="1"/>
  <c r="G993" i="1" s="1"/>
  <c r="F993" i="1" a="1"/>
  <c r="F993" i="1" s="1"/>
  <c r="M992" i="1" a="1"/>
  <c r="M992" i="1" s="1"/>
  <c r="Q992" i="1" s="1"/>
  <c r="L992" i="1"/>
  <c r="K992" i="1"/>
  <c r="J992" i="1"/>
  <c r="I992" i="1" a="1"/>
  <c r="I992" i="1" s="1"/>
  <c r="G992" i="1" a="1"/>
  <c r="G992" i="1" s="1"/>
  <c r="F992" i="1" a="1"/>
  <c r="F992" i="1" s="1"/>
  <c r="M991" i="1" a="1"/>
  <c r="M991" i="1" s="1"/>
  <c r="T991" i="1" s="1" a="1"/>
  <c r="T991" i="1" s="1"/>
  <c r="L991" i="1"/>
  <c r="K991" i="1"/>
  <c r="J991" i="1"/>
  <c r="I991" i="1" a="1"/>
  <c r="I991" i="1" s="1"/>
  <c r="G991" i="1" a="1"/>
  <c r="G991" i="1" s="1"/>
  <c r="F991" i="1" a="1"/>
  <c r="F991" i="1" s="1"/>
  <c r="M990" i="1" a="1"/>
  <c r="M990" i="1" s="1"/>
  <c r="Q990" i="1" s="1"/>
  <c r="L990" i="1"/>
  <c r="K990" i="1"/>
  <c r="J990" i="1"/>
  <c r="I990" i="1" a="1"/>
  <c r="I990" i="1" s="1"/>
  <c r="G990" i="1" a="1"/>
  <c r="G990" i="1" s="1"/>
  <c r="F990" i="1" a="1"/>
  <c r="F990" i="1" s="1"/>
  <c r="M989" i="1" a="1"/>
  <c r="M989" i="1" s="1"/>
  <c r="Q989" i="1" s="1"/>
  <c r="L989" i="1"/>
  <c r="K989" i="1"/>
  <c r="J989" i="1"/>
  <c r="I989" i="1" a="1"/>
  <c r="I989" i="1" s="1"/>
  <c r="G989" i="1" a="1"/>
  <c r="G989" i="1" s="1"/>
  <c r="F989" i="1" a="1"/>
  <c r="F989" i="1" s="1"/>
  <c r="M988" i="1" a="1"/>
  <c r="M988" i="1" s="1"/>
  <c r="Q988" i="1" s="1"/>
  <c r="L988" i="1"/>
  <c r="K988" i="1"/>
  <c r="J988" i="1"/>
  <c r="I988" i="1" a="1"/>
  <c r="I988" i="1" s="1"/>
  <c r="G988" i="1" a="1"/>
  <c r="G988" i="1" s="1"/>
  <c r="F988" i="1" a="1"/>
  <c r="F988" i="1" s="1"/>
  <c r="M987" i="1" a="1"/>
  <c r="M987" i="1" s="1"/>
  <c r="U987" i="1" s="1" a="1"/>
  <c r="U987" i="1" s="1"/>
  <c r="L987" i="1"/>
  <c r="K987" i="1"/>
  <c r="J987" i="1"/>
  <c r="I987" i="1" a="1"/>
  <c r="I987" i="1" s="1"/>
  <c r="G987" i="1" a="1"/>
  <c r="G987" i="1" s="1"/>
  <c r="F987" i="1" a="1"/>
  <c r="F987" i="1" s="1"/>
  <c r="M986" i="1" a="1"/>
  <c r="M986" i="1" s="1"/>
  <c r="Q986" i="1" s="1"/>
  <c r="L986" i="1"/>
  <c r="K986" i="1"/>
  <c r="J986" i="1"/>
  <c r="I986" i="1" a="1"/>
  <c r="I986" i="1" s="1"/>
  <c r="G986" i="1" a="1"/>
  <c r="G986" i="1" s="1"/>
  <c r="F986" i="1" a="1"/>
  <c r="F986" i="1" s="1"/>
  <c r="M985" i="1" a="1"/>
  <c r="M985" i="1" s="1"/>
  <c r="Q985" i="1" s="1"/>
  <c r="L985" i="1"/>
  <c r="K985" i="1"/>
  <c r="J985" i="1"/>
  <c r="I985" i="1" a="1"/>
  <c r="I985" i="1" s="1"/>
  <c r="G985" i="1" a="1"/>
  <c r="G985" i="1" s="1"/>
  <c r="F985" i="1" a="1"/>
  <c r="F985" i="1" s="1"/>
  <c r="M984" i="1" a="1"/>
  <c r="M984" i="1" s="1"/>
  <c r="L984" i="1"/>
  <c r="K984" i="1"/>
  <c r="J984" i="1"/>
  <c r="I984" i="1" a="1"/>
  <c r="I984" i="1" s="1"/>
  <c r="G984" i="1" a="1"/>
  <c r="G984" i="1" s="1"/>
  <c r="F984" i="1" a="1"/>
  <c r="F984" i="1" s="1"/>
  <c r="M983" i="1" a="1"/>
  <c r="M983" i="1" s="1"/>
  <c r="Q983" i="1" s="1"/>
  <c r="L983" i="1"/>
  <c r="K983" i="1"/>
  <c r="J983" i="1"/>
  <c r="I983" i="1" a="1"/>
  <c r="I983" i="1" s="1"/>
  <c r="G983" i="1" a="1"/>
  <c r="G983" i="1" s="1"/>
  <c r="F983" i="1" a="1"/>
  <c r="F983" i="1" s="1"/>
  <c r="M982" i="1" a="1"/>
  <c r="M982" i="1" s="1"/>
  <c r="L982" i="1"/>
  <c r="K982" i="1"/>
  <c r="J982" i="1"/>
  <c r="I982" i="1" a="1"/>
  <c r="I982" i="1" s="1"/>
  <c r="G982" i="1" a="1"/>
  <c r="G982" i="1" s="1"/>
  <c r="F982" i="1" a="1"/>
  <c r="F982" i="1" s="1"/>
  <c r="M981" i="1" a="1"/>
  <c r="M981" i="1" s="1"/>
  <c r="U981" i="1" s="1" a="1"/>
  <c r="U981" i="1" s="1"/>
  <c r="L981" i="1"/>
  <c r="K981" i="1"/>
  <c r="J981" i="1"/>
  <c r="I981" i="1"/>
  <c r="I981" i="1" a="1"/>
  <c r="G981" i="1" a="1"/>
  <c r="G981" i="1" s="1"/>
  <c r="F981" i="1" a="1"/>
  <c r="F981" i="1" s="1"/>
  <c r="M980" i="1" a="1"/>
  <c r="M980" i="1" s="1"/>
  <c r="Q980" i="1" s="1"/>
  <c r="L980" i="1"/>
  <c r="K980" i="1"/>
  <c r="J980" i="1"/>
  <c r="I980" i="1" a="1"/>
  <c r="I980" i="1" s="1"/>
  <c r="G980" i="1" a="1"/>
  <c r="G980" i="1" s="1"/>
  <c r="F980" i="1" a="1"/>
  <c r="F980" i="1" s="1"/>
  <c r="M979" i="1" a="1"/>
  <c r="M979" i="1" s="1"/>
  <c r="Q979" i="1" s="1"/>
  <c r="L979" i="1"/>
  <c r="K979" i="1"/>
  <c r="J979" i="1"/>
  <c r="I979" i="1" a="1"/>
  <c r="I979" i="1" s="1"/>
  <c r="G979" i="1" a="1"/>
  <c r="G979" i="1" s="1"/>
  <c r="F979" i="1" a="1"/>
  <c r="F979" i="1" s="1"/>
  <c r="M978" i="1" a="1"/>
  <c r="M978" i="1" s="1"/>
  <c r="Q978" i="1" s="1"/>
  <c r="L978" i="1"/>
  <c r="K978" i="1"/>
  <c r="J978" i="1"/>
  <c r="I978" i="1" a="1"/>
  <c r="I978" i="1" s="1"/>
  <c r="G978" i="1" a="1"/>
  <c r="G978" i="1" s="1"/>
  <c r="F978" i="1" a="1"/>
  <c r="F978" i="1" s="1"/>
  <c r="M977" i="1" a="1"/>
  <c r="M977" i="1" s="1"/>
  <c r="Q977" i="1" s="1"/>
  <c r="L977" i="1"/>
  <c r="K977" i="1"/>
  <c r="J977" i="1"/>
  <c r="I977" i="1" a="1"/>
  <c r="I977" i="1" s="1"/>
  <c r="G977" i="1" a="1"/>
  <c r="G977" i="1" s="1"/>
  <c r="F977" i="1" a="1"/>
  <c r="F977" i="1" s="1"/>
  <c r="M976" i="1" a="1"/>
  <c r="M976" i="1" s="1"/>
  <c r="Q976" i="1" s="1"/>
  <c r="L976" i="1"/>
  <c r="K976" i="1"/>
  <c r="J976" i="1"/>
  <c r="I976" i="1" a="1"/>
  <c r="I976" i="1" s="1"/>
  <c r="G976" i="1" a="1"/>
  <c r="G976" i="1" s="1"/>
  <c r="F976" i="1" a="1"/>
  <c r="F976" i="1" s="1"/>
  <c r="M975" i="1" a="1"/>
  <c r="M975" i="1" s="1"/>
  <c r="Q975" i="1" s="1"/>
  <c r="L975" i="1"/>
  <c r="K975" i="1"/>
  <c r="J975" i="1"/>
  <c r="I975" i="1" a="1"/>
  <c r="I975" i="1" s="1"/>
  <c r="G975" i="1" a="1"/>
  <c r="G975" i="1" s="1"/>
  <c r="F975" i="1" a="1"/>
  <c r="F975" i="1" s="1"/>
  <c r="M974" i="1" a="1"/>
  <c r="M974" i="1" s="1"/>
  <c r="Q974" i="1" s="1"/>
  <c r="L974" i="1"/>
  <c r="K974" i="1"/>
  <c r="J974" i="1"/>
  <c r="I974" i="1" a="1"/>
  <c r="I974" i="1" s="1"/>
  <c r="G974" i="1" a="1"/>
  <c r="G974" i="1" s="1"/>
  <c r="F974" i="1" a="1"/>
  <c r="F974" i="1" s="1"/>
  <c r="M973" i="1" a="1"/>
  <c r="M973" i="1" s="1"/>
  <c r="Q973" i="1" s="1"/>
  <c r="L973" i="1"/>
  <c r="K973" i="1"/>
  <c r="J973" i="1"/>
  <c r="I973" i="1" a="1"/>
  <c r="I973" i="1" s="1"/>
  <c r="G973" i="1" a="1"/>
  <c r="G973" i="1" s="1"/>
  <c r="F973" i="1" a="1"/>
  <c r="F973" i="1" s="1"/>
  <c r="M972" i="1" a="1"/>
  <c r="M972" i="1" s="1"/>
  <c r="Q972" i="1" s="1"/>
  <c r="L972" i="1"/>
  <c r="K972" i="1"/>
  <c r="J972" i="1"/>
  <c r="I972" i="1" a="1"/>
  <c r="I972" i="1" s="1"/>
  <c r="G972" i="1" a="1"/>
  <c r="G972" i="1" s="1"/>
  <c r="F972" i="1" a="1"/>
  <c r="F972" i="1" s="1"/>
  <c r="O971" i="1" a="1"/>
  <c r="O971" i="1" s="1"/>
  <c r="M971" i="1" a="1"/>
  <c r="M971" i="1" s="1"/>
  <c r="Q971" i="1" s="1"/>
  <c r="L971" i="1"/>
  <c r="K971" i="1"/>
  <c r="J971" i="1"/>
  <c r="I971" i="1" a="1"/>
  <c r="I971" i="1" s="1"/>
  <c r="G971" i="1" a="1"/>
  <c r="G971" i="1" s="1"/>
  <c r="F971" i="1" a="1"/>
  <c r="F971" i="1" s="1"/>
  <c r="M970" i="1" a="1"/>
  <c r="M970" i="1" s="1"/>
  <c r="L970" i="1"/>
  <c r="K970" i="1"/>
  <c r="J970" i="1"/>
  <c r="I970" i="1" a="1"/>
  <c r="I970" i="1" s="1"/>
  <c r="G970" i="1" a="1"/>
  <c r="G970" i="1" s="1"/>
  <c r="F970" i="1" a="1"/>
  <c r="F970" i="1" s="1"/>
  <c r="M969" i="1" a="1"/>
  <c r="M969" i="1" s="1"/>
  <c r="Q969" i="1" s="1"/>
  <c r="L969" i="1"/>
  <c r="K969" i="1"/>
  <c r="J969" i="1"/>
  <c r="I969" i="1" a="1"/>
  <c r="I969" i="1" s="1"/>
  <c r="G969" i="1" a="1"/>
  <c r="G969" i="1" s="1"/>
  <c r="F969" i="1" a="1"/>
  <c r="F969" i="1" s="1"/>
  <c r="M968" i="1" a="1"/>
  <c r="M968" i="1" s="1"/>
  <c r="Q968" i="1" s="1"/>
  <c r="L968" i="1"/>
  <c r="K968" i="1"/>
  <c r="J968" i="1"/>
  <c r="I968" i="1" a="1"/>
  <c r="I968" i="1" s="1"/>
  <c r="G968" i="1" a="1"/>
  <c r="G968" i="1" s="1"/>
  <c r="F968" i="1" a="1"/>
  <c r="F968" i="1" s="1"/>
  <c r="M967" i="1" a="1"/>
  <c r="M967" i="1" s="1"/>
  <c r="Q967" i="1" s="1"/>
  <c r="L967" i="1"/>
  <c r="K967" i="1"/>
  <c r="J967" i="1"/>
  <c r="I967" i="1" a="1"/>
  <c r="I967" i="1" s="1"/>
  <c r="G967" i="1" a="1"/>
  <c r="G967" i="1" s="1"/>
  <c r="F967" i="1" a="1"/>
  <c r="F967" i="1" s="1"/>
  <c r="M966" i="1" a="1"/>
  <c r="M966" i="1" s="1"/>
  <c r="Q966" i="1" s="1"/>
  <c r="L966" i="1"/>
  <c r="K966" i="1"/>
  <c r="J966" i="1"/>
  <c r="I966" i="1" a="1"/>
  <c r="I966" i="1" s="1"/>
  <c r="G966" i="1" a="1"/>
  <c r="G966" i="1" s="1"/>
  <c r="F966" i="1" a="1"/>
  <c r="F966" i="1" s="1"/>
  <c r="M965" i="1"/>
  <c r="S965" i="1" s="1" a="1"/>
  <c r="S965" i="1" s="1"/>
  <c r="M965" i="1" a="1"/>
  <c r="L965" i="1"/>
  <c r="K965" i="1"/>
  <c r="J965" i="1"/>
  <c r="I965" i="1" a="1"/>
  <c r="I965" i="1" s="1"/>
  <c r="G965" i="1" a="1"/>
  <c r="G965" i="1" s="1"/>
  <c r="F965" i="1" a="1"/>
  <c r="F965" i="1" s="1"/>
  <c r="M964" i="1" a="1"/>
  <c r="M964" i="1" s="1"/>
  <c r="Q964" i="1" s="1"/>
  <c r="L964" i="1"/>
  <c r="K964" i="1"/>
  <c r="J964" i="1"/>
  <c r="I964" i="1" a="1"/>
  <c r="I964" i="1" s="1"/>
  <c r="G964" i="1" a="1"/>
  <c r="G964" i="1" s="1"/>
  <c r="F964" i="1" a="1"/>
  <c r="F964" i="1" s="1"/>
  <c r="M963" i="1" a="1"/>
  <c r="M963" i="1" s="1"/>
  <c r="U963" i="1" s="1" a="1"/>
  <c r="U963" i="1" s="1"/>
  <c r="L963" i="1"/>
  <c r="K963" i="1"/>
  <c r="J963" i="1"/>
  <c r="I963" i="1" a="1"/>
  <c r="I963" i="1" s="1"/>
  <c r="G963" i="1" a="1"/>
  <c r="G963" i="1" s="1"/>
  <c r="F963" i="1" a="1"/>
  <c r="F963" i="1" s="1"/>
  <c r="M962" i="1" a="1"/>
  <c r="M962" i="1" s="1"/>
  <c r="Q962" i="1" s="1"/>
  <c r="L962" i="1"/>
  <c r="K962" i="1"/>
  <c r="J962" i="1"/>
  <c r="I962" i="1" a="1"/>
  <c r="I962" i="1" s="1"/>
  <c r="G962" i="1" a="1"/>
  <c r="G962" i="1" s="1"/>
  <c r="F962" i="1" a="1"/>
  <c r="F962" i="1" s="1"/>
  <c r="M961" i="1" a="1"/>
  <c r="M961" i="1" s="1"/>
  <c r="Q961" i="1" s="1"/>
  <c r="L961" i="1"/>
  <c r="K961" i="1"/>
  <c r="J961" i="1"/>
  <c r="I961" i="1" a="1"/>
  <c r="I961" i="1" s="1"/>
  <c r="G961" i="1" a="1"/>
  <c r="G961" i="1" s="1"/>
  <c r="F961" i="1" a="1"/>
  <c r="F961" i="1" s="1"/>
  <c r="M960" i="1" a="1"/>
  <c r="M960" i="1" s="1"/>
  <c r="L960" i="1"/>
  <c r="K960" i="1"/>
  <c r="J960" i="1"/>
  <c r="I960" i="1" a="1"/>
  <c r="I960" i="1" s="1"/>
  <c r="G960" i="1" a="1"/>
  <c r="G960" i="1" s="1"/>
  <c r="F960" i="1" a="1"/>
  <c r="F960" i="1" s="1"/>
  <c r="M959" i="1" a="1"/>
  <c r="M959" i="1" s="1"/>
  <c r="Q959" i="1" s="1"/>
  <c r="L959" i="1"/>
  <c r="K959" i="1"/>
  <c r="J959" i="1"/>
  <c r="I959" i="1" a="1"/>
  <c r="I959" i="1" s="1"/>
  <c r="G959" i="1" a="1"/>
  <c r="G959" i="1" s="1"/>
  <c r="F959" i="1" a="1"/>
  <c r="F959" i="1" s="1"/>
  <c r="M958" i="1" a="1"/>
  <c r="M958" i="1" s="1"/>
  <c r="Q958" i="1" s="1"/>
  <c r="L958" i="1"/>
  <c r="K958" i="1"/>
  <c r="J958" i="1"/>
  <c r="I958" i="1" a="1"/>
  <c r="I958" i="1" s="1"/>
  <c r="G958" i="1" a="1"/>
  <c r="G958" i="1" s="1"/>
  <c r="F958" i="1" a="1"/>
  <c r="F958" i="1" s="1"/>
  <c r="M957" i="1" a="1"/>
  <c r="M957" i="1" s="1"/>
  <c r="U957" i="1" s="1" a="1"/>
  <c r="U957" i="1" s="1"/>
  <c r="L957" i="1"/>
  <c r="K957" i="1"/>
  <c r="J957" i="1"/>
  <c r="I957" i="1" a="1"/>
  <c r="I957" i="1" s="1"/>
  <c r="G957" i="1" a="1"/>
  <c r="G957" i="1" s="1"/>
  <c r="F957" i="1" a="1"/>
  <c r="F957" i="1" s="1"/>
  <c r="M956" i="1" a="1"/>
  <c r="M956" i="1" s="1"/>
  <c r="Q956" i="1" s="1"/>
  <c r="L956" i="1"/>
  <c r="K956" i="1"/>
  <c r="J956" i="1"/>
  <c r="I956" i="1" a="1"/>
  <c r="I956" i="1" s="1"/>
  <c r="G956" i="1" a="1"/>
  <c r="G956" i="1" s="1"/>
  <c r="F956" i="1" a="1"/>
  <c r="F956" i="1" s="1"/>
  <c r="M955" i="1" a="1"/>
  <c r="M955" i="1" s="1"/>
  <c r="Q955" i="1" s="1"/>
  <c r="L955" i="1"/>
  <c r="K955" i="1"/>
  <c r="J955" i="1"/>
  <c r="I955" i="1" a="1"/>
  <c r="I955" i="1" s="1"/>
  <c r="G955" i="1" a="1"/>
  <c r="G955" i="1" s="1"/>
  <c r="F955" i="1" a="1"/>
  <c r="F955" i="1" s="1"/>
  <c r="M954" i="1" a="1"/>
  <c r="M954" i="1" s="1"/>
  <c r="U954" i="1" s="1" a="1"/>
  <c r="U954" i="1" s="1"/>
  <c r="L954" i="1"/>
  <c r="K954" i="1"/>
  <c r="J954" i="1"/>
  <c r="I954" i="1" a="1"/>
  <c r="I954" i="1" s="1"/>
  <c r="G954" i="1" a="1"/>
  <c r="G954" i="1" s="1"/>
  <c r="F954" i="1" a="1"/>
  <c r="F954" i="1" s="1"/>
  <c r="M953" i="1" a="1"/>
  <c r="M953" i="1" s="1"/>
  <c r="Q953" i="1" s="1"/>
  <c r="L953" i="1"/>
  <c r="K953" i="1"/>
  <c r="J953" i="1"/>
  <c r="I953" i="1" a="1"/>
  <c r="I953" i="1" s="1"/>
  <c r="G953" i="1" a="1"/>
  <c r="G953" i="1" s="1"/>
  <c r="F953" i="1" a="1"/>
  <c r="F953" i="1" s="1"/>
  <c r="M952" i="1" a="1"/>
  <c r="M952" i="1" s="1"/>
  <c r="Q952" i="1" s="1"/>
  <c r="L952" i="1"/>
  <c r="K952" i="1"/>
  <c r="J952" i="1"/>
  <c r="I952" i="1" a="1"/>
  <c r="I952" i="1" s="1"/>
  <c r="G952" i="1" a="1"/>
  <c r="G952" i="1" s="1"/>
  <c r="F952" i="1" a="1"/>
  <c r="F952" i="1" s="1"/>
  <c r="M951" i="1" a="1"/>
  <c r="M951" i="1" s="1"/>
  <c r="Q951" i="1" s="1"/>
  <c r="L951" i="1"/>
  <c r="K951" i="1"/>
  <c r="J951" i="1"/>
  <c r="I951" i="1" a="1"/>
  <c r="I951" i="1" s="1"/>
  <c r="G951" i="1" a="1"/>
  <c r="G951" i="1" s="1"/>
  <c r="F951" i="1" a="1"/>
  <c r="F951" i="1" s="1"/>
  <c r="M950" i="1" a="1"/>
  <c r="M950" i="1" s="1"/>
  <c r="Q950" i="1" s="1"/>
  <c r="L950" i="1"/>
  <c r="K950" i="1"/>
  <c r="J950" i="1"/>
  <c r="I950" i="1" a="1"/>
  <c r="I950" i="1" s="1"/>
  <c r="G950" i="1" a="1"/>
  <c r="G950" i="1" s="1"/>
  <c r="F950" i="1" a="1"/>
  <c r="F950" i="1" s="1"/>
  <c r="M949" i="1" a="1"/>
  <c r="M949" i="1" s="1"/>
  <c r="L949" i="1"/>
  <c r="K949" i="1"/>
  <c r="J949" i="1"/>
  <c r="I949" i="1" a="1"/>
  <c r="I949" i="1" s="1"/>
  <c r="G949" i="1" a="1"/>
  <c r="G949" i="1" s="1"/>
  <c r="F949" i="1" a="1"/>
  <c r="F949" i="1" s="1"/>
  <c r="M948" i="1" a="1"/>
  <c r="M948" i="1" s="1"/>
  <c r="Q948" i="1" s="1"/>
  <c r="L948" i="1"/>
  <c r="K948" i="1"/>
  <c r="J948" i="1"/>
  <c r="I948" i="1" a="1"/>
  <c r="I948" i="1" s="1"/>
  <c r="G948" i="1" a="1"/>
  <c r="G948" i="1" s="1"/>
  <c r="F948" i="1" a="1"/>
  <c r="F948" i="1" s="1"/>
  <c r="M947" i="1" a="1"/>
  <c r="M947" i="1" s="1"/>
  <c r="P947" i="1" s="1"/>
  <c r="L947" i="1"/>
  <c r="K947" i="1"/>
  <c r="J947" i="1"/>
  <c r="I947" i="1" a="1"/>
  <c r="I947" i="1" s="1"/>
  <c r="G947" i="1" a="1"/>
  <c r="G947" i="1" s="1"/>
  <c r="F947" i="1" a="1"/>
  <c r="F947" i="1" s="1"/>
  <c r="M946" i="1" a="1"/>
  <c r="M946" i="1" s="1"/>
  <c r="P946" i="1" s="1"/>
  <c r="L946" i="1"/>
  <c r="K946" i="1"/>
  <c r="J946" i="1"/>
  <c r="I946" i="1" a="1"/>
  <c r="I946" i="1" s="1"/>
  <c r="G946" i="1" a="1"/>
  <c r="G946" i="1" s="1"/>
  <c r="F946" i="1" a="1"/>
  <c r="F946" i="1" s="1"/>
  <c r="M945" i="1" a="1"/>
  <c r="M945" i="1" s="1"/>
  <c r="Q945" i="1" s="1"/>
  <c r="L945" i="1"/>
  <c r="K945" i="1"/>
  <c r="J945" i="1"/>
  <c r="I945" i="1" a="1"/>
  <c r="I945" i="1" s="1"/>
  <c r="G945" i="1" a="1"/>
  <c r="G945" i="1" s="1"/>
  <c r="F945" i="1" a="1"/>
  <c r="F945" i="1" s="1"/>
  <c r="M944" i="1" a="1"/>
  <c r="M944" i="1" s="1"/>
  <c r="L944" i="1"/>
  <c r="K944" i="1"/>
  <c r="J944" i="1"/>
  <c r="I944" i="1" a="1"/>
  <c r="I944" i="1" s="1"/>
  <c r="G944" i="1" a="1"/>
  <c r="G944" i="1" s="1"/>
  <c r="F944" i="1" a="1"/>
  <c r="F944" i="1" s="1"/>
  <c r="M943" i="1" a="1"/>
  <c r="M943" i="1" s="1"/>
  <c r="T943" i="1" s="1" a="1"/>
  <c r="T943" i="1" s="1"/>
  <c r="L943" i="1"/>
  <c r="K943" i="1"/>
  <c r="J943" i="1"/>
  <c r="I943" i="1" a="1"/>
  <c r="I943" i="1" s="1"/>
  <c r="G943" i="1" a="1"/>
  <c r="G943" i="1" s="1"/>
  <c r="F943" i="1" a="1"/>
  <c r="F943" i="1" s="1"/>
  <c r="M942" i="1" a="1"/>
  <c r="M942" i="1" s="1"/>
  <c r="T942" i="1" s="1" a="1"/>
  <c r="T942" i="1" s="1"/>
  <c r="L942" i="1"/>
  <c r="K942" i="1"/>
  <c r="J942" i="1"/>
  <c r="I942" i="1" a="1"/>
  <c r="I942" i="1" s="1"/>
  <c r="G942" i="1" a="1"/>
  <c r="G942" i="1" s="1"/>
  <c r="F942" i="1" a="1"/>
  <c r="F942" i="1" s="1"/>
  <c r="M941" i="1" a="1"/>
  <c r="M941" i="1" s="1"/>
  <c r="S941" i="1" s="1" a="1"/>
  <c r="S941" i="1" s="1"/>
  <c r="L941" i="1"/>
  <c r="K941" i="1"/>
  <c r="J941" i="1"/>
  <c r="I941" i="1" a="1"/>
  <c r="I941" i="1" s="1"/>
  <c r="G941" i="1" a="1"/>
  <c r="G941" i="1" s="1"/>
  <c r="F941" i="1" a="1"/>
  <c r="F941" i="1" s="1"/>
  <c r="M940" i="1" a="1"/>
  <c r="M940" i="1" s="1"/>
  <c r="U940" i="1" s="1" a="1"/>
  <c r="U940" i="1" s="1"/>
  <c r="L940" i="1"/>
  <c r="K940" i="1"/>
  <c r="J940" i="1"/>
  <c r="I940" i="1" a="1"/>
  <c r="I940" i="1" s="1"/>
  <c r="G940" i="1" a="1"/>
  <c r="G940" i="1" s="1"/>
  <c r="F940" i="1" a="1"/>
  <c r="F940" i="1" s="1"/>
  <c r="M939" i="1" a="1"/>
  <c r="M939" i="1" s="1"/>
  <c r="U939" i="1" s="1" a="1"/>
  <c r="U939" i="1" s="1"/>
  <c r="L939" i="1"/>
  <c r="K939" i="1"/>
  <c r="J939" i="1"/>
  <c r="I939" i="1" a="1"/>
  <c r="I939" i="1" s="1"/>
  <c r="G939" i="1" a="1"/>
  <c r="G939" i="1" s="1"/>
  <c r="F939" i="1" a="1"/>
  <c r="F939" i="1" s="1"/>
  <c r="M938" i="1" a="1"/>
  <c r="M938" i="1" s="1"/>
  <c r="Q938" i="1" s="1"/>
  <c r="L938" i="1"/>
  <c r="K938" i="1"/>
  <c r="J938" i="1"/>
  <c r="I938" i="1" a="1"/>
  <c r="I938" i="1" s="1"/>
  <c r="G938" i="1" a="1"/>
  <c r="G938" i="1" s="1"/>
  <c r="F938" i="1" a="1"/>
  <c r="F938" i="1" s="1"/>
  <c r="M937" i="1" a="1"/>
  <c r="M937" i="1" s="1"/>
  <c r="Q937" i="1" s="1"/>
  <c r="L937" i="1"/>
  <c r="K937" i="1"/>
  <c r="J937" i="1"/>
  <c r="I937" i="1" a="1"/>
  <c r="I937" i="1" s="1"/>
  <c r="G937" i="1" a="1"/>
  <c r="G937" i="1" s="1"/>
  <c r="F937" i="1" a="1"/>
  <c r="F937" i="1" s="1"/>
  <c r="M936" i="1" a="1"/>
  <c r="M936" i="1" s="1"/>
  <c r="L936" i="1"/>
  <c r="K936" i="1"/>
  <c r="J936" i="1"/>
  <c r="I936" i="1" a="1"/>
  <c r="I936" i="1" s="1"/>
  <c r="G936" i="1" a="1"/>
  <c r="G936" i="1" s="1"/>
  <c r="F936" i="1" a="1"/>
  <c r="F936" i="1" s="1"/>
  <c r="M935" i="1" a="1"/>
  <c r="M935" i="1" s="1"/>
  <c r="Q935" i="1" s="1"/>
  <c r="L935" i="1"/>
  <c r="K935" i="1"/>
  <c r="J935" i="1"/>
  <c r="I935" i="1" a="1"/>
  <c r="I935" i="1" s="1"/>
  <c r="G935" i="1" a="1"/>
  <c r="G935" i="1" s="1"/>
  <c r="F935" i="1" a="1"/>
  <c r="F935" i="1" s="1"/>
  <c r="M934" i="1" a="1"/>
  <c r="M934" i="1" s="1"/>
  <c r="Q934" i="1" s="1"/>
  <c r="L934" i="1"/>
  <c r="K934" i="1"/>
  <c r="J934" i="1"/>
  <c r="I934" i="1" a="1"/>
  <c r="I934" i="1" s="1"/>
  <c r="G934" i="1" a="1"/>
  <c r="G934" i="1" s="1"/>
  <c r="F934" i="1" a="1"/>
  <c r="F934" i="1" s="1"/>
  <c r="M933" i="1" a="1"/>
  <c r="M933" i="1" s="1"/>
  <c r="Q933" i="1" s="1"/>
  <c r="L933" i="1"/>
  <c r="K933" i="1"/>
  <c r="J933" i="1"/>
  <c r="I933" i="1" a="1"/>
  <c r="I933" i="1" s="1"/>
  <c r="G933" i="1" a="1"/>
  <c r="G933" i="1" s="1"/>
  <c r="F933" i="1" a="1"/>
  <c r="F933" i="1" s="1"/>
  <c r="M932" i="1" a="1"/>
  <c r="M932" i="1" s="1"/>
  <c r="L932" i="1"/>
  <c r="K932" i="1"/>
  <c r="J932" i="1"/>
  <c r="I932" i="1" a="1"/>
  <c r="I932" i="1" s="1"/>
  <c r="G932" i="1" a="1"/>
  <c r="G932" i="1" s="1"/>
  <c r="F932" i="1" a="1"/>
  <c r="F932" i="1" s="1"/>
  <c r="M931" i="1" a="1"/>
  <c r="M931" i="1" s="1"/>
  <c r="Q931" i="1" s="1"/>
  <c r="L931" i="1"/>
  <c r="K931" i="1"/>
  <c r="J931" i="1"/>
  <c r="I931" i="1" a="1"/>
  <c r="I931" i="1" s="1"/>
  <c r="G931" i="1" a="1"/>
  <c r="G931" i="1" s="1"/>
  <c r="F931" i="1" a="1"/>
  <c r="F931" i="1" s="1"/>
  <c r="M930" i="1" a="1"/>
  <c r="M930" i="1" s="1"/>
  <c r="O930" i="1" s="1" a="1"/>
  <c r="O930" i="1" s="1"/>
  <c r="L930" i="1"/>
  <c r="K930" i="1"/>
  <c r="J930" i="1"/>
  <c r="I930" i="1" a="1"/>
  <c r="I930" i="1" s="1"/>
  <c r="G930" i="1" a="1"/>
  <c r="G930" i="1" s="1"/>
  <c r="F930" i="1" a="1"/>
  <c r="F930" i="1" s="1"/>
  <c r="M929" i="1" a="1"/>
  <c r="M929" i="1" s="1"/>
  <c r="Q929" i="1" s="1"/>
  <c r="L929" i="1"/>
  <c r="K929" i="1"/>
  <c r="J929" i="1"/>
  <c r="I929" i="1" a="1"/>
  <c r="I929" i="1" s="1"/>
  <c r="G929" i="1" a="1"/>
  <c r="G929" i="1" s="1"/>
  <c r="F929" i="1" a="1"/>
  <c r="F929" i="1" s="1"/>
  <c r="M928" i="1" a="1"/>
  <c r="M928" i="1" s="1"/>
  <c r="Q928" i="1" s="1"/>
  <c r="L928" i="1"/>
  <c r="K928" i="1"/>
  <c r="J928" i="1"/>
  <c r="I928" i="1" a="1"/>
  <c r="I928" i="1" s="1"/>
  <c r="G928" i="1" a="1"/>
  <c r="G928" i="1" s="1"/>
  <c r="F928" i="1" a="1"/>
  <c r="F928" i="1" s="1"/>
  <c r="M927" i="1" a="1"/>
  <c r="M927" i="1" s="1"/>
  <c r="L927" i="1"/>
  <c r="K927" i="1"/>
  <c r="J927" i="1"/>
  <c r="I927" i="1" a="1"/>
  <c r="I927" i="1" s="1"/>
  <c r="G927" i="1" a="1"/>
  <c r="G927" i="1" s="1"/>
  <c r="F927" i="1" a="1"/>
  <c r="F927" i="1" s="1"/>
  <c r="M926" i="1" a="1"/>
  <c r="M926" i="1" s="1"/>
  <c r="Q926" i="1" s="1"/>
  <c r="L926" i="1"/>
  <c r="K926" i="1"/>
  <c r="J926" i="1"/>
  <c r="I926" i="1" a="1"/>
  <c r="I926" i="1" s="1"/>
  <c r="G926" i="1" a="1"/>
  <c r="G926" i="1" s="1"/>
  <c r="F926" i="1" a="1"/>
  <c r="F926" i="1" s="1"/>
  <c r="M925" i="1" a="1"/>
  <c r="M925" i="1" s="1"/>
  <c r="U925" i="1" s="1" a="1"/>
  <c r="U925" i="1" s="1"/>
  <c r="L925" i="1"/>
  <c r="K925" i="1"/>
  <c r="J925" i="1"/>
  <c r="I925" i="1" a="1"/>
  <c r="I925" i="1" s="1"/>
  <c r="G925" i="1" a="1"/>
  <c r="G925" i="1" s="1"/>
  <c r="F925" i="1" a="1"/>
  <c r="F925" i="1" s="1"/>
  <c r="S924" i="1" a="1"/>
  <c r="S924" i="1" s="1"/>
  <c r="M924" i="1" a="1"/>
  <c r="M924" i="1" s="1"/>
  <c r="L924" i="1"/>
  <c r="K924" i="1"/>
  <c r="J924" i="1"/>
  <c r="I924" i="1" a="1"/>
  <c r="I924" i="1" s="1"/>
  <c r="G924" i="1" a="1"/>
  <c r="G924" i="1" s="1"/>
  <c r="F924" i="1" a="1"/>
  <c r="F924" i="1" s="1"/>
  <c r="M923" i="1" a="1"/>
  <c r="M923" i="1" s="1"/>
  <c r="L923" i="1"/>
  <c r="K923" i="1"/>
  <c r="J923" i="1"/>
  <c r="I923" i="1" a="1"/>
  <c r="I923" i="1" s="1"/>
  <c r="G923" i="1" a="1"/>
  <c r="G923" i="1" s="1"/>
  <c r="F923" i="1" a="1"/>
  <c r="F923" i="1" s="1"/>
  <c r="M922" i="1" a="1"/>
  <c r="M922" i="1" s="1"/>
  <c r="Q922" i="1" s="1"/>
  <c r="L922" i="1"/>
  <c r="K922" i="1"/>
  <c r="J922" i="1"/>
  <c r="I922" i="1" a="1"/>
  <c r="I922" i="1" s="1"/>
  <c r="G922" i="1" a="1"/>
  <c r="G922" i="1" s="1"/>
  <c r="F922" i="1" a="1"/>
  <c r="F922" i="1" s="1"/>
  <c r="M921" i="1" a="1"/>
  <c r="M921" i="1" s="1"/>
  <c r="Q921" i="1" s="1"/>
  <c r="L921" i="1"/>
  <c r="K921" i="1"/>
  <c r="J921" i="1"/>
  <c r="I921" i="1" a="1"/>
  <c r="I921" i="1" s="1"/>
  <c r="G921" i="1" a="1"/>
  <c r="G921" i="1" s="1"/>
  <c r="F921" i="1" a="1"/>
  <c r="F921" i="1" s="1"/>
  <c r="M920" i="1" a="1"/>
  <c r="M920" i="1" s="1"/>
  <c r="Q920" i="1" s="1"/>
  <c r="L920" i="1"/>
  <c r="K920" i="1"/>
  <c r="J920" i="1"/>
  <c r="I920" i="1" a="1"/>
  <c r="I920" i="1" s="1"/>
  <c r="G920" i="1" a="1"/>
  <c r="G920" i="1" s="1"/>
  <c r="F920" i="1" a="1"/>
  <c r="F920" i="1" s="1"/>
  <c r="M919" i="1" a="1"/>
  <c r="M919" i="1" s="1"/>
  <c r="U919" i="1" s="1" a="1"/>
  <c r="U919" i="1" s="1"/>
  <c r="L919" i="1"/>
  <c r="K919" i="1"/>
  <c r="J919" i="1"/>
  <c r="I919" i="1" a="1"/>
  <c r="I919" i="1" s="1"/>
  <c r="G919" i="1" a="1"/>
  <c r="G919" i="1" s="1"/>
  <c r="F919" i="1" a="1"/>
  <c r="F919" i="1" s="1"/>
  <c r="M918" i="1" a="1"/>
  <c r="M918" i="1" s="1"/>
  <c r="Q918" i="1" s="1"/>
  <c r="L918" i="1"/>
  <c r="K918" i="1"/>
  <c r="J918" i="1"/>
  <c r="I918" i="1" a="1"/>
  <c r="I918" i="1" s="1"/>
  <c r="G918" i="1" a="1"/>
  <c r="G918" i="1" s="1"/>
  <c r="F918" i="1" a="1"/>
  <c r="F918" i="1" s="1"/>
  <c r="M917" i="1" a="1"/>
  <c r="M917" i="1" s="1"/>
  <c r="O917" i="1" s="1" a="1"/>
  <c r="O917" i="1" s="1"/>
  <c r="L917" i="1"/>
  <c r="K917" i="1"/>
  <c r="J917" i="1"/>
  <c r="I917" i="1" a="1"/>
  <c r="I917" i="1" s="1"/>
  <c r="G917" i="1" a="1"/>
  <c r="G917" i="1" s="1"/>
  <c r="F917" i="1" a="1"/>
  <c r="F917" i="1" s="1"/>
  <c r="M916" i="1" a="1"/>
  <c r="M916" i="1" s="1"/>
  <c r="Q916" i="1" s="1"/>
  <c r="L916" i="1"/>
  <c r="K916" i="1"/>
  <c r="J916" i="1"/>
  <c r="I916" i="1" a="1"/>
  <c r="I916" i="1" s="1"/>
  <c r="G916" i="1" a="1"/>
  <c r="G916" i="1" s="1"/>
  <c r="F916" i="1" a="1"/>
  <c r="F916" i="1" s="1"/>
  <c r="M915" i="1" a="1"/>
  <c r="M915" i="1" s="1"/>
  <c r="Q915" i="1" s="1"/>
  <c r="L915" i="1"/>
  <c r="K915" i="1"/>
  <c r="J915" i="1"/>
  <c r="I915" i="1"/>
  <c r="I915" i="1" a="1"/>
  <c r="G915" i="1" a="1"/>
  <c r="G915" i="1" s="1"/>
  <c r="F915" i="1" a="1"/>
  <c r="F915" i="1" s="1"/>
  <c r="M914" i="1" a="1"/>
  <c r="M914" i="1" s="1"/>
  <c r="Q914" i="1" s="1"/>
  <c r="L914" i="1"/>
  <c r="K914" i="1"/>
  <c r="J914" i="1"/>
  <c r="I914" i="1" a="1"/>
  <c r="I914" i="1" s="1"/>
  <c r="G914" i="1" a="1"/>
  <c r="G914" i="1" s="1"/>
  <c r="F914" i="1" a="1"/>
  <c r="F914" i="1" s="1"/>
  <c r="M913" i="1" a="1"/>
  <c r="M913" i="1" s="1"/>
  <c r="Q913" i="1" s="1"/>
  <c r="L913" i="1"/>
  <c r="K913" i="1"/>
  <c r="J913" i="1"/>
  <c r="I913" i="1" a="1"/>
  <c r="I913" i="1" s="1"/>
  <c r="G913" i="1" a="1"/>
  <c r="G913" i="1" s="1"/>
  <c r="F913" i="1" a="1"/>
  <c r="F913" i="1" s="1"/>
  <c r="M912" i="1" a="1"/>
  <c r="M912" i="1" s="1"/>
  <c r="L912" i="1"/>
  <c r="K912" i="1"/>
  <c r="J912" i="1"/>
  <c r="I912" i="1" a="1"/>
  <c r="I912" i="1" s="1"/>
  <c r="G912" i="1" a="1"/>
  <c r="G912" i="1" s="1"/>
  <c r="F912" i="1" a="1"/>
  <c r="F912" i="1" s="1"/>
  <c r="M911" i="1" a="1"/>
  <c r="M911" i="1" s="1"/>
  <c r="Q911" i="1" s="1"/>
  <c r="L911" i="1"/>
  <c r="K911" i="1"/>
  <c r="J911" i="1"/>
  <c r="I911" i="1" a="1"/>
  <c r="I911" i="1" s="1"/>
  <c r="G911" i="1" a="1"/>
  <c r="G911" i="1" s="1"/>
  <c r="F911" i="1" a="1"/>
  <c r="F911" i="1" s="1"/>
  <c r="M910" i="1" a="1"/>
  <c r="M910" i="1" s="1"/>
  <c r="Q910" i="1" s="1"/>
  <c r="L910" i="1"/>
  <c r="K910" i="1"/>
  <c r="J910" i="1"/>
  <c r="I910" i="1" a="1"/>
  <c r="I910" i="1" s="1"/>
  <c r="G910" i="1" a="1"/>
  <c r="G910" i="1" s="1"/>
  <c r="F910" i="1" a="1"/>
  <c r="F910" i="1" s="1"/>
  <c r="M909" i="1" a="1"/>
  <c r="M909" i="1" s="1"/>
  <c r="L909" i="1"/>
  <c r="K909" i="1"/>
  <c r="J909" i="1"/>
  <c r="I909" i="1" a="1"/>
  <c r="I909" i="1" s="1"/>
  <c r="G909" i="1" a="1"/>
  <c r="G909" i="1" s="1"/>
  <c r="F909" i="1" a="1"/>
  <c r="F909" i="1" s="1"/>
  <c r="M908" i="1" a="1"/>
  <c r="M908" i="1" s="1"/>
  <c r="L908" i="1"/>
  <c r="K908" i="1"/>
  <c r="J908" i="1"/>
  <c r="I908" i="1" a="1"/>
  <c r="I908" i="1" s="1"/>
  <c r="G908" i="1" a="1"/>
  <c r="G908" i="1" s="1"/>
  <c r="F908" i="1" a="1"/>
  <c r="F908" i="1" s="1"/>
  <c r="M907" i="1" a="1"/>
  <c r="M907" i="1" s="1"/>
  <c r="P907" i="1" s="1"/>
  <c r="L907" i="1"/>
  <c r="K907" i="1"/>
  <c r="J907" i="1"/>
  <c r="I907" i="1" a="1"/>
  <c r="I907" i="1" s="1"/>
  <c r="G907" i="1" a="1"/>
  <c r="G907" i="1" s="1"/>
  <c r="F907" i="1" a="1"/>
  <c r="F907" i="1" s="1"/>
  <c r="M906" i="1" a="1"/>
  <c r="M906" i="1" s="1"/>
  <c r="L906" i="1"/>
  <c r="K906" i="1"/>
  <c r="J906" i="1"/>
  <c r="I906" i="1" a="1"/>
  <c r="I906" i="1" s="1"/>
  <c r="G906" i="1" a="1"/>
  <c r="G906" i="1" s="1"/>
  <c r="F906" i="1" a="1"/>
  <c r="F906" i="1" s="1"/>
  <c r="M905" i="1" a="1"/>
  <c r="M905" i="1" s="1"/>
  <c r="Q905" i="1" s="1"/>
  <c r="L905" i="1"/>
  <c r="K905" i="1"/>
  <c r="J905" i="1"/>
  <c r="I905" i="1"/>
  <c r="I905" i="1" a="1"/>
  <c r="G905" i="1" a="1"/>
  <c r="G905" i="1" s="1"/>
  <c r="F905" i="1" a="1"/>
  <c r="F905" i="1" s="1"/>
  <c r="M904" i="1" a="1"/>
  <c r="M904" i="1" s="1"/>
  <c r="Q904" i="1" s="1"/>
  <c r="L904" i="1"/>
  <c r="K904" i="1"/>
  <c r="J904" i="1"/>
  <c r="I904" i="1" a="1"/>
  <c r="I904" i="1" s="1"/>
  <c r="G904" i="1" a="1"/>
  <c r="G904" i="1" s="1"/>
  <c r="F904" i="1" a="1"/>
  <c r="F904" i="1" s="1"/>
  <c r="M903" i="1" a="1"/>
  <c r="M903" i="1" s="1"/>
  <c r="S903" i="1" s="1" a="1"/>
  <c r="S903" i="1" s="1"/>
  <c r="L903" i="1"/>
  <c r="K903" i="1"/>
  <c r="J903" i="1"/>
  <c r="I903" i="1"/>
  <c r="I903" i="1" a="1"/>
  <c r="G903" i="1" a="1"/>
  <c r="G903" i="1" s="1"/>
  <c r="F903" i="1" a="1"/>
  <c r="F903" i="1" s="1"/>
  <c r="M902" i="1" a="1"/>
  <c r="M902" i="1" s="1"/>
  <c r="Q902" i="1" s="1"/>
  <c r="L902" i="1"/>
  <c r="K902" i="1"/>
  <c r="J902" i="1"/>
  <c r="I902" i="1" a="1"/>
  <c r="I902" i="1" s="1"/>
  <c r="G902" i="1" a="1"/>
  <c r="G902" i="1" s="1"/>
  <c r="F902" i="1" a="1"/>
  <c r="F902" i="1" s="1"/>
  <c r="M901" i="1" a="1"/>
  <c r="M901" i="1" s="1"/>
  <c r="Q901" i="1" s="1"/>
  <c r="L901" i="1"/>
  <c r="K901" i="1"/>
  <c r="J901" i="1"/>
  <c r="I901" i="1" a="1"/>
  <c r="I901" i="1" s="1"/>
  <c r="G901" i="1" a="1"/>
  <c r="G901" i="1" s="1"/>
  <c r="F901" i="1" a="1"/>
  <c r="F901" i="1" s="1"/>
  <c r="M900" i="1" a="1"/>
  <c r="M900" i="1" s="1"/>
  <c r="S900" i="1" s="1" a="1"/>
  <c r="S900" i="1" s="1"/>
  <c r="L900" i="1"/>
  <c r="K900" i="1"/>
  <c r="J900" i="1"/>
  <c r="I900" i="1" a="1"/>
  <c r="I900" i="1" s="1"/>
  <c r="G900" i="1" a="1"/>
  <c r="G900" i="1" s="1"/>
  <c r="F900" i="1" a="1"/>
  <c r="F900" i="1" s="1"/>
  <c r="M899" i="1" a="1"/>
  <c r="M899" i="1" s="1"/>
  <c r="Q899" i="1" s="1"/>
  <c r="L899" i="1"/>
  <c r="K899" i="1"/>
  <c r="J899" i="1"/>
  <c r="I899" i="1" a="1"/>
  <c r="I899" i="1" s="1"/>
  <c r="G899" i="1" a="1"/>
  <c r="G899" i="1" s="1"/>
  <c r="F899" i="1" a="1"/>
  <c r="F899" i="1" s="1"/>
  <c r="M898" i="1" a="1"/>
  <c r="M898" i="1" s="1"/>
  <c r="T898" i="1" s="1" a="1"/>
  <c r="T898" i="1" s="1"/>
  <c r="L898" i="1"/>
  <c r="K898" i="1"/>
  <c r="J898" i="1"/>
  <c r="I898" i="1" a="1"/>
  <c r="I898" i="1" s="1"/>
  <c r="G898" i="1" a="1"/>
  <c r="G898" i="1" s="1"/>
  <c r="F898" i="1" a="1"/>
  <c r="F898" i="1" s="1"/>
  <c r="M897" i="1" a="1"/>
  <c r="M897" i="1" s="1"/>
  <c r="Q897" i="1" s="1"/>
  <c r="L897" i="1"/>
  <c r="K897" i="1"/>
  <c r="J897" i="1"/>
  <c r="I897" i="1" a="1"/>
  <c r="I897" i="1" s="1"/>
  <c r="G897" i="1" a="1"/>
  <c r="G897" i="1" s="1"/>
  <c r="F897" i="1" a="1"/>
  <c r="F897" i="1" s="1"/>
  <c r="M896" i="1" a="1"/>
  <c r="M896" i="1" s="1"/>
  <c r="Q896" i="1" s="1"/>
  <c r="L896" i="1"/>
  <c r="K896" i="1"/>
  <c r="J896" i="1"/>
  <c r="I896" i="1" a="1"/>
  <c r="I896" i="1" s="1"/>
  <c r="G896" i="1" a="1"/>
  <c r="G896" i="1" s="1"/>
  <c r="F896" i="1" a="1"/>
  <c r="F896" i="1" s="1"/>
  <c r="M895" i="1" a="1"/>
  <c r="M895" i="1" s="1"/>
  <c r="Q895" i="1" s="1"/>
  <c r="L895" i="1"/>
  <c r="K895" i="1"/>
  <c r="J895" i="1"/>
  <c r="I895" i="1" a="1"/>
  <c r="I895" i="1" s="1"/>
  <c r="G895" i="1" a="1"/>
  <c r="G895" i="1" s="1"/>
  <c r="F895" i="1" a="1"/>
  <c r="F895" i="1" s="1"/>
  <c r="M894" i="1" a="1"/>
  <c r="M894" i="1" s="1"/>
  <c r="Q894" i="1" s="1"/>
  <c r="L894" i="1"/>
  <c r="K894" i="1"/>
  <c r="J894" i="1"/>
  <c r="I894" i="1" a="1"/>
  <c r="I894" i="1" s="1"/>
  <c r="G894" i="1" a="1"/>
  <c r="G894" i="1" s="1"/>
  <c r="F894" i="1" a="1"/>
  <c r="F894" i="1" s="1"/>
  <c r="M893" i="1" a="1"/>
  <c r="M893" i="1" s="1"/>
  <c r="Q893" i="1" s="1"/>
  <c r="L893" i="1"/>
  <c r="K893" i="1"/>
  <c r="J893" i="1"/>
  <c r="I893" i="1" a="1"/>
  <c r="I893" i="1" s="1"/>
  <c r="G893" i="1" a="1"/>
  <c r="G893" i="1" s="1"/>
  <c r="F893" i="1" a="1"/>
  <c r="F893" i="1" s="1"/>
  <c r="M892" i="1" a="1"/>
  <c r="M892" i="1" s="1"/>
  <c r="U892" i="1" s="1" a="1"/>
  <c r="U892" i="1" s="1"/>
  <c r="L892" i="1"/>
  <c r="K892" i="1"/>
  <c r="J892" i="1"/>
  <c r="I892" i="1" a="1"/>
  <c r="I892" i="1" s="1"/>
  <c r="G892" i="1" a="1"/>
  <c r="G892" i="1" s="1"/>
  <c r="F892" i="1" a="1"/>
  <c r="F892" i="1" s="1"/>
  <c r="M891" i="1" a="1"/>
  <c r="M891" i="1" s="1"/>
  <c r="Q891" i="1" s="1"/>
  <c r="L891" i="1"/>
  <c r="K891" i="1"/>
  <c r="J891" i="1"/>
  <c r="I891" i="1" a="1"/>
  <c r="I891" i="1" s="1"/>
  <c r="G891" i="1" a="1"/>
  <c r="G891" i="1" s="1"/>
  <c r="F891" i="1" a="1"/>
  <c r="F891" i="1" s="1"/>
  <c r="M890" i="1" a="1"/>
  <c r="M890" i="1" s="1"/>
  <c r="Q890" i="1" s="1"/>
  <c r="L890" i="1"/>
  <c r="K890" i="1"/>
  <c r="J890" i="1"/>
  <c r="I890" i="1" a="1"/>
  <c r="I890" i="1" s="1"/>
  <c r="G890" i="1" a="1"/>
  <c r="G890" i="1" s="1"/>
  <c r="F890" i="1" a="1"/>
  <c r="F890" i="1" s="1"/>
  <c r="M889" i="1" a="1"/>
  <c r="M889" i="1" s="1"/>
  <c r="Q889" i="1" s="1"/>
  <c r="L889" i="1"/>
  <c r="K889" i="1"/>
  <c r="J889" i="1"/>
  <c r="I889" i="1" a="1"/>
  <c r="I889" i="1" s="1"/>
  <c r="G889" i="1" a="1"/>
  <c r="G889" i="1" s="1"/>
  <c r="F889" i="1" a="1"/>
  <c r="F889" i="1" s="1"/>
  <c r="M888" i="1" a="1"/>
  <c r="M888" i="1" s="1"/>
  <c r="L888" i="1"/>
  <c r="K888" i="1"/>
  <c r="J888" i="1"/>
  <c r="I888" i="1" a="1"/>
  <c r="I888" i="1" s="1"/>
  <c r="G888" i="1" a="1"/>
  <c r="G888" i="1" s="1"/>
  <c r="F888" i="1" a="1"/>
  <c r="F888" i="1" s="1"/>
  <c r="M887" i="1" a="1"/>
  <c r="M887" i="1" s="1"/>
  <c r="Q887" i="1" s="1"/>
  <c r="L887" i="1"/>
  <c r="K887" i="1"/>
  <c r="J887" i="1"/>
  <c r="I887" i="1" a="1"/>
  <c r="I887" i="1" s="1"/>
  <c r="G887" i="1" a="1"/>
  <c r="G887" i="1" s="1"/>
  <c r="F887" i="1" a="1"/>
  <c r="F887" i="1" s="1"/>
  <c r="M886" i="1" a="1"/>
  <c r="M886" i="1" s="1"/>
  <c r="L886" i="1"/>
  <c r="K886" i="1"/>
  <c r="J886" i="1"/>
  <c r="I886" i="1" a="1"/>
  <c r="I886" i="1" s="1"/>
  <c r="G886" i="1" a="1"/>
  <c r="G886" i="1" s="1"/>
  <c r="F886" i="1" a="1"/>
  <c r="F886" i="1" s="1"/>
  <c r="M885" i="1" a="1"/>
  <c r="M885" i="1" s="1"/>
  <c r="Q885" i="1" s="1"/>
  <c r="L885" i="1"/>
  <c r="K885" i="1"/>
  <c r="J885" i="1"/>
  <c r="I885" i="1" a="1"/>
  <c r="I885" i="1" s="1"/>
  <c r="G885" i="1" a="1"/>
  <c r="G885" i="1" s="1"/>
  <c r="F885" i="1" a="1"/>
  <c r="F885" i="1" s="1"/>
  <c r="M884" i="1" a="1"/>
  <c r="M884" i="1" s="1"/>
  <c r="U884" i="1" s="1" a="1"/>
  <c r="U884" i="1" s="1"/>
  <c r="L884" i="1"/>
  <c r="K884" i="1"/>
  <c r="J884" i="1"/>
  <c r="I884" i="1" a="1"/>
  <c r="I884" i="1" s="1"/>
  <c r="G884" i="1" a="1"/>
  <c r="G884" i="1" s="1"/>
  <c r="F884" i="1" a="1"/>
  <c r="F884" i="1" s="1"/>
  <c r="M883" i="1" a="1"/>
  <c r="M883" i="1" s="1"/>
  <c r="Q883" i="1" s="1"/>
  <c r="L883" i="1"/>
  <c r="K883" i="1"/>
  <c r="J883" i="1"/>
  <c r="I883" i="1" a="1"/>
  <c r="I883" i="1" s="1"/>
  <c r="G883" i="1" a="1"/>
  <c r="G883" i="1" s="1"/>
  <c r="F883" i="1" a="1"/>
  <c r="F883" i="1" s="1"/>
  <c r="M882" i="1"/>
  <c r="M882" i="1" a="1"/>
  <c r="L882" i="1"/>
  <c r="K882" i="1"/>
  <c r="J882" i="1"/>
  <c r="I882" i="1" a="1"/>
  <c r="I882" i="1" s="1"/>
  <c r="G882" i="1" a="1"/>
  <c r="G882" i="1" s="1"/>
  <c r="F882" i="1" a="1"/>
  <c r="F882" i="1" s="1"/>
  <c r="M881" i="1" a="1"/>
  <c r="M881" i="1" s="1"/>
  <c r="S881" i="1" s="1" a="1"/>
  <c r="S881" i="1" s="1"/>
  <c r="L881" i="1"/>
  <c r="K881" i="1"/>
  <c r="J881" i="1"/>
  <c r="I881" i="1" a="1"/>
  <c r="I881" i="1" s="1"/>
  <c r="G881" i="1" a="1"/>
  <c r="G881" i="1" s="1"/>
  <c r="F881" i="1" a="1"/>
  <c r="F881" i="1" s="1"/>
  <c r="M880" i="1" a="1"/>
  <c r="M880" i="1" s="1"/>
  <c r="T880" i="1" s="1" a="1"/>
  <c r="T880" i="1" s="1"/>
  <c r="L880" i="1"/>
  <c r="K880" i="1"/>
  <c r="J880" i="1"/>
  <c r="I880" i="1" a="1"/>
  <c r="I880" i="1" s="1"/>
  <c r="G880" i="1" a="1"/>
  <c r="G880" i="1" s="1"/>
  <c r="F880" i="1" a="1"/>
  <c r="F880" i="1" s="1"/>
  <c r="M879" i="1" a="1"/>
  <c r="M879" i="1" s="1"/>
  <c r="T879" i="1" s="1" a="1"/>
  <c r="T879" i="1" s="1"/>
  <c r="L879" i="1"/>
  <c r="K879" i="1"/>
  <c r="J879" i="1"/>
  <c r="I879" i="1" a="1"/>
  <c r="I879" i="1" s="1"/>
  <c r="G879" i="1" a="1"/>
  <c r="G879" i="1" s="1"/>
  <c r="F879" i="1" a="1"/>
  <c r="F879" i="1" s="1"/>
  <c r="M878" i="1" a="1"/>
  <c r="M878" i="1" s="1"/>
  <c r="Q878" i="1" s="1"/>
  <c r="L878" i="1"/>
  <c r="K878" i="1"/>
  <c r="J878" i="1"/>
  <c r="I878" i="1" a="1"/>
  <c r="I878" i="1" s="1"/>
  <c r="G878" i="1" a="1"/>
  <c r="G878" i="1" s="1"/>
  <c r="F878" i="1" a="1"/>
  <c r="F878" i="1" s="1"/>
  <c r="M877" i="1" a="1"/>
  <c r="M877" i="1" s="1"/>
  <c r="T877" i="1" s="1" a="1"/>
  <c r="T877" i="1" s="1"/>
  <c r="L877" i="1"/>
  <c r="K877" i="1"/>
  <c r="J877" i="1"/>
  <c r="I877" i="1" a="1"/>
  <c r="I877" i="1" s="1"/>
  <c r="G877" i="1" a="1"/>
  <c r="G877" i="1" s="1"/>
  <c r="F877" i="1" a="1"/>
  <c r="F877" i="1" s="1"/>
  <c r="M876" i="1" a="1"/>
  <c r="M876" i="1" s="1"/>
  <c r="Q876" i="1" s="1"/>
  <c r="L876" i="1"/>
  <c r="K876" i="1"/>
  <c r="J876" i="1"/>
  <c r="I876" i="1" a="1"/>
  <c r="I876" i="1" s="1"/>
  <c r="G876" i="1" a="1"/>
  <c r="G876" i="1" s="1"/>
  <c r="F876" i="1" a="1"/>
  <c r="F876" i="1" s="1"/>
  <c r="M875" i="1" a="1"/>
  <c r="M875" i="1" s="1"/>
  <c r="U875" i="1" s="1" a="1"/>
  <c r="U875" i="1" s="1"/>
  <c r="L875" i="1"/>
  <c r="K875" i="1"/>
  <c r="J875" i="1"/>
  <c r="I875" i="1" a="1"/>
  <c r="I875" i="1" s="1"/>
  <c r="G875" i="1" a="1"/>
  <c r="G875" i="1" s="1"/>
  <c r="F875" i="1" a="1"/>
  <c r="F875" i="1" s="1"/>
  <c r="M874" i="1" a="1"/>
  <c r="M874" i="1" s="1"/>
  <c r="L874" i="1"/>
  <c r="K874" i="1"/>
  <c r="J874" i="1"/>
  <c r="I874" i="1" a="1"/>
  <c r="I874" i="1" s="1"/>
  <c r="G874" i="1" a="1"/>
  <c r="G874" i="1" s="1"/>
  <c r="F874" i="1" a="1"/>
  <c r="F874" i="1" s="1"/>
  <c r="M873" i="1" a="1"/>
  <c r="M873" i="1" s="1"/>
  <c r="Q873" i="1" s="1"/>
  <c r="L873" i="1"/>
  <c r="K873" i="1"/>
  <c r="J873" i="1"/>
  <c r="I873" i="1" a="1"/>
  <c r="I873" i="1" s="1"/>
  <c r="G873" i="1" a="1"/>
  <c r="G873" i="1" s="1"/>
  <c r="F873" i="1" a="1"/>
  <c r="F873" i="1" s="1"/>
  <c r="M872" i="1" a="1"/>
  <c r="M872" i="1" s="1"/>
  <c r="Q872" i="1" s="1"/>
  <c r="L872" i="1"/>
  <c r="K872" i="1"/>
  <c r="J872" i="1"/>
  <c r="I872" i="1"/>
  <c r="I872" i="1" a="1"/>
  <c r="G872" i="1" a="1"/>
  <c r="G872" i="1" s="1"/>
  <c r="F872" i="1" a="1"/>
  <c r="F872" i="1" s="1"/>
  <c r="M871" i="1" a="1"/>
  <c r="M871" i="1" s="1"/>
  <c r="Q871" i="1" s="1"/>
  <c r="L871" i="1"/>
  <c r="K871" i="1"/>
  <c r="J871" i="1"/>
  <c r="I871" i="1" a="1"/>
  <c r="I871" i="1" s="1"/>
  <c r="G871" i="1" a="1"/>
  <c r="G871" i="1" s="1"/>
  <c r="F871" i="1" a="1"/>
  <c r="F871" i="1" s="1"/>
  <c r="M870" i="1" a="1"/>
  <c r="M870" i="1" s="1"/>
  <c r="Q870" i="1" s="1"/>
  <c r="L870" i="1"/>
  <c r="K870" i="1"/>
  <c r="J870" i="1"/>
  <c r="I870" i="1" a="1"/>
  <c r="I870" i="1" s="1"/>
  <c r="G870" i="1" a="1"/>
  <c r="G870" i="1" s="1"/>
  <c r="F870" i="1" a="1"/>
  <c r="F870" i="1" s="1"/>
  <c r="M869" i="1" a="1"/>
  <c r="M869" i="1" s="1"/>
  <c r="Q869" i="1" s="1"/>
  <c r="L869" i="1"/>
  <c r="K869" i="1"/>
  <c r="J869" i="1"/>
  <c r="I869" i="1" a="1"/>
  <c r="I869" i="1" s="1"/>
  <c r="G869" i="1" a="1"/>
  <c r="G869" i="1" s="1"/>
  <c r="F869" i="1" a="1"/>
  <c r="F869" i="1" s="1"/>
  <c r="M868" i="1" a="1"/>
  <c r="M868" i="1" s="1"/>
  <c r="Q868" i="1" s="1"/>
  <c r="L868" i="1"/>
  <c r="K868" i="1"/>
  <c r="J868" i="1"/>
  <c r="I868" i="1" a="1"/>
  <c r="I868" i="1" s="1"/>
  <c r="G868" i="1" a="1"/>
  <c r="G868" i="1" s="1"/>
  <c r="F868" i="1" a="1"/>
  <c r="F868" i="1" s="1"/>
  <c r="M867" i="1" a="1"/>
  <c r="M867" i="1" s="1"/>
  <c r="P867" i="1" s="1"/>
  <c r="L867" i="1"/>
  <c r="K867" i="1"/>
  <c r="J867" i="1"/>
  <c r="I867" i="1" a="1"/>
  <c r="I867" i="1" s="1"/>
  <c r="G867" i="1" a="1"/>
  <c r="G867" i="1" s="1"/>
  <c r="F867" i="1" a="1"/>
  <c r="F867" i="1" s="1"/>
  <c r="M866" i="1" a="1"/>
  <c r="M866" i="1" s="1"/>
  <c r="Q866" i="1" s="1"/>
  <c r="L866" i="1"/>
  <c r="K866" i="1"/>
  <c r="J866" i="1"/>
  <c r="I866" i="1" a="1"/>
  <c r="I866" i="1" s="1"/>
  <c r="G866" i="1" a="1"/>
  <c r="G866" i="1" s="1"/>
  <c r="F866" i="1" a="1"/>
  <c r="F866" i="1" s="1"/>
  <c r="M865" i="1" a="1"/>
  <c r="M865" i="1" s="1"/>
  <c r="Q865" i="1" s="1"/>
  <c r="L865" i="1"/>
  <c r="K865" i="1"/>
  <c r="J865" i="1"/>
  <c r="I865" i="1" a="1"/>
  <c r="I865" i="1" s="1"/>
  <c r="G865" i="1" a="1"/>
  <c r="G865" i="1" s="1"/>
  <c r="F865" i="1" a="1"/>
  <c r="F865" i="1" s="1"/>
  <c r="M864" i="1" a="1"/>
  <c r="M864" i="1" s="1"/>
  <c r="L864" i="1"/>
  <c r="K864" i="1"/>
  <c r="J864" i="1"/>
  <c r="I864" i="1" a="1"/>
  <c r="I864" i="1" s="1"/>
  <c r="G864" i="1" a="1"/>
  <c r="G864" i="1" s="1"/>
  <c r="F864" i="1" a="1"/>
  <c r="F864" i="1" s="1"/>
  <c r="M863" i="1" a="1"/>
  <c r="M863" i="1" s="1"/>
  <c r="Q863" i="1" s="1"/>
  <c r="L863" i="1"/>
  <c r="K863" i="1"/>
  <c r="J863" i="1"/>
  <c r="I863" i="1" a="1"/>
  <c r="I863" i="1" s="1"/>
  <c r="G863" i="1" a="1"/>
  <c r="G863" i="1" s="1"/>
  <c r="F863" i="1" a="1"/>
  <c r="F863" i="1" s="1"/>
  <c r="M862" i="1" a="1"/>
  <c r="M862" i="1" s="1"/>
  <c r="O862" i="1" s="1" a="1"/>
  <c r="O862" i="1" s="1"/>
  <c r="L862" i="1"/>
  <c r="K862" i="1"/>
  <c r="J862" i="1"/>
  <c r="I862" i="1" a="1"/>
  <c r="I862" i="1" s="1"/>
  <c r="G862" i="1" a="1"/>
  <c r="G862" i="1" s="1"/>
  <c r="F862" i="1" a="1"/>
  <c r="F862" i="1" s="1"/>
  <c r="M861" i="1" a="1"/>
  <c r="M861" i="1" s="1"/>
  <c r="S861" i="1" s="1" a="1"/>
  <c r="S861" i="1" s="1"/>
  <c r="L861" i="1"/>
  <c r="K861" i="1"/>
  <c r="J861" i="1"/>
  <c r="I861" i="1" a="1"/>
  <c r="I861" i="1" s="1"/>
  <c r="G861" i="1" a="1"/>
  <c r="G861" i="1" s="1"/>
  <c r="F861" i="1" a="1"/>
  <c r="F861" i="1" s="1"/>
  <c r="M860" i="1" a="1"/>
  <c r="M860" i="1" s="1"/>
  <c r="Q860" i="1" s="1"/>
  <c r="L860" i="1"/>
  <c r="K860" i="1"/>
  <c r="J860" i="1"/>
  <c r="I860" i="1" a="1"/>
  <c r="I860" i="1" s="1"/>
  <c r="G860" i="1" a="1"/>
  <c r="G860" i="1" s="1"/>
  <c r="F860" i="1" a="1"/>
  <c r="F860" i="1" s="1"/>
  <c r="M859" i="1" a="1"/>
  <c r="M859" i="1" s="1"/>
  <c r="O859" i="1" s="1" a="1"/>
  <c r="O859" i="1" s="1"/>
  <c r="L859" i="1"/>
  <c r="K859" i="1"/>
  <c r="J859" i="1"/>
  <c r="I859" i="1" a="1"/>
  <c r="I859" i="1" s="1"/>
  <c r="G859" i="1" a="1"/>
  <c r="G859" i="1" s="1"/>
  <c r="F859" i="1" a="1"/>
  <c r="F859" i="1" s="1"/>
  <c r="M858" i="1" a="1"/>
  <c r="M858" i="1" s="1"/>
  <c r="L858" i="1"/>
  <c r="K858" i="1"/>
  <c r="J858" i="1"/>
  <c r="I858" i="1" a="1"/>
  <c r="I858" i="1" s="1"/>
  <c r="G858" i="1" a="1"/>
  <c r="G858" i="1" s="1"/>
  <c r="F858" i="1" a="1"/>
  <c r="F858" i="1" s="1"/>
  <c r="M857" i="1" a="1"/>
  <c r="M857" i="1" s="1"/>
  <c r="P857" i="1" s="1"/>
  <c r="L857" i="1"/>
  <c r="K857" i="1"/>
  <c r="J857" i="1"/>
  <c r="I857" i="1" a="1"/>
  <c r="I857" i="1" s="1"/>
  <c r="G857" i="1" a="1"/>
  <c r="G857" i="1" s="1"/>
  <c r="F857" i="1" a="1"/>
  <c r="F857" i="1" s="1"/>
  <c r="M856" i="1" a="1"/>
  <c r="M856" i="1" s="1"/>
  <c r="T856" i="1" s="1" a="1"/>
  <c r="T856" i="1" s="1"/>
  <c r="L856" i="1"/>
  <c r="K856" i="1"/>
  <c r="J856" i="1"/>
  <c r="I856" i="1" a="1"/>
  <c r="I856" i="1" s="1"/>
  <c r="G856" i="1" a="1"/>
  <c r="G856" i="1" s="1"/>
  <c r="F856" i="1" a="1"/>
  <c r="F856" i="1" s="1"/>
  <c r="M855" i="1" a="1"/>
  <c r="M855" i="1" s="1"/>
  <c r="T855" i="1" s="1" a="1"/>
  <c r="T855" i="1" s="1"/>
  <c r="L855" i="1"/>
  <c r="K855" i="1"/>
  <c r="J855" i="1"/>
  <c r="I855" i="1" a="1"/>
  <c r="I855" i="1" s="1"/>
  <c r="G855" i="1" a="1"/>
  <c r="G855" i="1" s="1"/>
  <c r="F855" i="1" a="1"/>
  <c r="F855" i="1" s="1"/>
  <c r="M854" i="1" a="1"/>
  <c r="M854" i="1" s="1"/>
  <c r="Q854" i="1" s="1"/>
  <c r="L854" i="1"/>
  <c r="K854" i="1"/>
  <c r="J854" i="1"/>
  <c r="I854" i="1"/>
  <c r="I854" i="1" a="1"/>
  <c r="G854" i="1" a="1"/>
  <c r="G854" i="1" s="1"/>
  <c r="F854" i="1" a="1"/>
  <c r="F854" i="1" s="1"/>
  <c r="M853" i="1" a="1"/>
  <c r="M853" i="1" s="1"/>
  <c r="Q853" i="1" s="1"/>
  <c r="L853" i="1"/>
  <c r="K853" i="1"/>
  <c r="J853" i="1"/>
  <c r="I853" i="1" a="1"/>
  <c r="I853" i="1" s="1"/>
  <c r="G853" i="1" a="1"/>
  <c r="G853" i="1" s="1"/>
  <c r="F853" i="1" a="1"/>
  <c r="F853" i="1" s="1"/>
  <c r="M852" i="1"/>
  <c r="M852" i="1" a="1"/>
  <c r="L852" i="1"/>
  <c r="K852" i="1"/>
  <c r="J852" i="1"/>
  <c r="I852" i="1" a="1"/>
  <c r="I852" i="1" s="1"/>
  <c r="G852" i="1" a="1"/>
  <c r="G852" i="1" s="1"/>
  <c r="F852" i="1" a="1"/>
  <c r="F852" i="1" s="1"/>
  <c r="M851" i="1" a="1"/>
  <c r="M851" i="1" s="1"/>
  <c r="L851" i="1"/>
  <c r="K851" i="1"/>
  <c r="J851" i="1"/>
  <c r="I851" i="1" a="1"/>
  <c r="I851" i="1" s="1"/>
  <c r="G851" i="1" a="1"/>
  <c r="G851" i="1" s="1"/>
  <c r="F851" i="1" a="1"/>
  <c r="F851" i="1" s="1"/>
  <c r="M850" i="1" a="1"/>
  <c r="M850" i="1" s="1"/>
  <c r="Q850" i="1" s="1"/>
  <c r="L850" i="1"/>
  <c r="K850" i="1"/>
  <c r="J850" i="1"/>
  <c r="I850" i="1" a="1"/>
  <c r="I850" i="1" s="1"/>
  <c r="G850" i="1" a="1"/>
  <c r="G850" i="1" s="1"/>
  <c r="F850" i="1" a="1"/>
  <c r="F850" i="1" s="1"/>
  <c r="M849" i="1" a="1"/>
  <c r="M849" i="1" s="1"/>
  <c r="Q849" i="1" s="1"/>
  <c r="L849" i="1"/>
  <c r="K849" i="1"/>
  <c r="J849" i="1"/>
  <c r="I849" i="1" a="1"/>
  <c r="I849" i="1" s="1"/>
  <c r="G849" i="1" a="1"/>
  <c r="G849" i="1" s="1"/>
  <c r="F849" i="1" a="1"/>
  <c r="F849" i="1" s="1"/>
  <c r="M848" i="1" a="1"/>
  <c r="M848" i="1" s="1"/>
  <c r="P848" i="1" s="1"/>
  <c r="L848" i="1"/>
  <c r="K848" i="1"/>
  <c r="J848" i="1"/>
  <c r="I848" i="1" a="1"/>
  <c r="I848" i="1" s="1"/>
  <c r="G848" i="1" a="1"/>
  <c r="G848" i="1" s="1"/>
  <c r="F848" i="1" a="1"/>
  <c r="F848" i="1" s="1"/>
  <c r="M847" i="1" a="1"/>
  <c r="M847" i="1" s="1"/>
  <c r="P847" i="1" s="1"/>
  <c r="L847" i="1"/>
  <c r="K847" i="1"/>
  <c r="J847" i="1"/>
  <c r="I847" i="1" a="1"/>
  <c r="I847" i="1" s="1"/>
  <c r="G847" i="1" a="1"/>
  <c r="G847" i="1" s="1"/>
  <c r="F847" i="1" a="1"/>
  <c r="F847" i="1" s="1"/>
  <c r="M846" i="1" a="1"/>
  <c r="M846" i="1" s="1"/>
  <c r="Q846" i="1" s="1"/>
  <c r="L846" i="1"/>
  <c r="K846" i="1"/>
  <c r="J846" i="1"/>
  <c r="I846" i="1" a="1"/>
  <c r="I846" i="1" s="1"/>
  <c r="G846" i="1" a="1"/>
  <c r="G846" i="1" s="1"/>
  <c r="F846" i="1" a="1"/>
  <c r="F846" i="1" s="1"/>
  <c r="M845" i="1" a="1"/>
  <c r="M845" i="1" s="1"/>
  <c r="S845" i="1" s="1" a="1"/>
  <c r="S845" i="1" s="1"/>
  <c r="L845" i="1"/>
  <c r="K845" i="1"/>
  <c r="J845" i="1"/>
  <c r="I845" i="1" a="1"/>
  <c r="I845" i="1" s="1"/>
  <c r="G845" i="1" a="1"/>
  <c r="G845" i="1" s="1"/>
  <c r="F845" i="1" a="1"/>
  <c r="F845" i="1" s="1"/>
  <c r="M844" i="1" a="1"/>
  <c r="M844" i="1" s="1"/>
  <c r="T844" i="1" s="1" a="1"/>
  <c r="T844" i="1" s="1"/>
  <c r="L844" i="1"/>
  <c r="K844" i="1"/>
  <c r="J844" i="1"/>
  <c r="I844" i="1" a="1"/>
  <c r="I844" i="1" s="1"/>
  <c r="G844" i="1" a="1"/>
  <c r="G844" i="1" s="1"/>
  <c r="F844" i="1" a="1"/>
  <c r="F844" i="1" s="1"/>
  <c r="M843" i="1" a="1"/>
  <c r="M843" i="1" s="1"/>
  <c r="Q843" i="1" s="1"/>
  <c r="L843" i="1"/>
  <c r="K843" i="1"/>
  <c r="J843" i="1"/>
  <c r="I843" i="1"/>
  <c r="I843" i="1" a="1"/>
  <c r="G843" i="1" a="1"/>
  <c r="G843" i="1" s="1"/>
  <c r="F843" i="1" a="1"/>
  <c r="F843" i="1" s="1"/>
  <c r="M842" i="1" a="1"/>
  <c r="M842" i="1" s="1"/>
  <c r="Q842" i="1" s="1"/>
  <c r="L842" i="1"/>
  <c r="K842" i="1"/>
  <c r="J842" i="1"/>
  <c r="I842" i="1" a="1"/>
  <c r="I842" i="1" s="1"/>
  <c r="G842" i="1" a="1"/>
  <c r="G842" i="1" s="1"/>
  <c r="F842" i="1" a="1"/>
  <c r="F842" i="1" s="1"/>
  <c r="M841" i="1" a="1"/>
  <c r="M841" i="1" s="1"/>
  <c r="L841" i="1"/>
  <c r="K841" i="1"/>
  <c r="J841" i="1"/>
  <c r="I841" i="1" a="1"/>
  <c r="I841" i="1" s="1"/>
  <c r="G841" i="1" a="1"/>
  <c r="G841" i="1" s="1"/>
  <c r="F841" i="1" a="1"/>
  <c r="F841" i="1" s="1"/>
  <c r="M840" i="1" a="1"/>
  <c r="M840" i="1" s="1"/>
  <c r="L840" i="1"/>
  <c r="K840" i="1"/>
  <c r="J840" i="1"/>
  <c r="I840" i="1" a="1"/>
  <c r="I840" i="1" s="1"/>
  <c r="G840" i="1" a="1"/>
  <c r="G840" i="1" s="1"/>
  <c r="F840" i="1" a="1"/>
  <c r="F840" i="1" s="1"/>
  <c r="M839" i="1" a="1"/>
  <c r="M839" i="1" s="1"/>
  <c r="Q839" i="1" s="1"/>
  <c r="L839" i="1"/>
  <c r="K839" i="1"/>
  <c r="J839" i="1"/>
  <c r="I839" i="1" a="1"/>
  <c r="I839" i="1" s="1"/>
  <c r="G839" i="1" a="1"/>
  <c r="G839" i="1" s="1"/>
  <c r="F839" i="1" a="1"/>
  <c r="F839" i="1" s="1"/>
  <c r="M838" i="1" a="1"/>
  <c r="M838" i="1" s="1"/>
  <c r="L838" i="1"/>
  <c r="K838" i="1"/>
  <c r="J838" i="1"/>
  <c r="I838" i="1" a="1"/>
  <c r="I838" i="1" s="1"/>
  <c r="G838" i="1" a="1"/>
  <c r="G838" i="1" s="1"/>
  <c r="F838" i="1" a="1"/>
  <c r="F838" i="1" s="1"/>
  <c r="M837" i="1" a="1"/>
  <c r="M837" i="1" s="1"/>
  <c r="Q837" i="1" s="1"/>
  <c r="L837" i="1"/>
  <c r="K837" i="1"/>
  <c r="J837" i="1"/>
  <c r="I837" i="1" a="1"/>
  <c r="I837" i="1" s="1"/>
  <c r="G837" i="1" a="1"/>
  <c r="G837" i="1" s="1"/>
  <c r="F837" i="1" a="1"/>
  <c r="F837" i="1" s="1"/>
  <c r="M836" i="1" a="1"/>
  <c r="M836" i="1" s="1"/>
  <c r="P836" i="1" s="1"/>
  <c r="L836" i="1"/>
  <c r="K836" i="1"/>
  <c r="J836" i="1"/>
  <c r="I836" i="1" a="1"/>
  <c r="I836" i="1" s="1"/>
  <c r="G836" i="1" a="1"/>
  <c r="G836" i="1" s="1"/>
  <c r="F836" i="1" a="1"/>
  <c r="F836" i="1" s="1"/>
  <c r="M835" i="1" a="1"/>
  <c r="M835" i="1" s="1"/>
  <c r="P835" i="1" s="1"/>
  <c r="L835" i="1"/>
  <c r="K835" i="1"/>
  <c r="J835" i="1"/>
  <c r="I835" i="1" a="1"/>
  <c r="I835" i="1" s="1"/>
  <c r="G835" i="1" a="1"/>
  <c r="G835" i="1" s="1"/>
  <c r="F835" i="1" a="1"/>
  <c r="F835" i="1" s="1"/>
  <c r="M834" i="1" a="1"/>
  <c r="M834" i="1" s="1"/>
  <c r="L834" i="1"/>
  <c r="K834" i="1"/>
  <c r="J834" i="1"/>
  <c r="I834" i="1" a="1"/>
  <c r="I834" i="1" s="1"/>
  <c r="G834" i="1" a="1"/>
  <c r="G834" i="1" s="1"/>
  <c r="F834" i="1" a="1"/>
  <c r="F834" i="1" s="1"/>
  <c r="P833" i="1"/>
  <c r="M833" i="1" a="1"/>
  <c r="M833" i="1" s="1"/>
  <c r="T833" i="1" s="1" a="1"/>
  <c r="T833" i="1" s="1"/>
  <c r="L833" i="1"/>
  <c r="K833" i="1"/>
  <c r="J833" i="1"/>
  <c r="I833" i="1" a="1"/>
  <c r="I833" i="1" s="1"/>
  <c r="G833" i="1" a="1"/>
  <c r="G833" i="1" s="1"/>
  <c r="F833" i="1" a="1"/>
  <c r="F833" i="1" s="1"/>
  <c r="M832" i="1" a="1"/>
  <c r="M832" i="1" s="1"/>
  <c r="T832" i="1" s="1" a="1"/>
  <c r="T832" i="1" s="1"/>
  <c r="L832" i="1"/>
  <c r="K832" i="1"/>
  <c r="J832" i="1"/>
  <c r="I832" i="1" a="1"/>
  <c r="I832" i="1" s="1"/>
  <c r="G832" i="1" a="1"/>
  <c r="G832" i="1" s="1"/>
  <c r="F832" i="1" a="1"/>
  <c r="F832" i="1" s="1"/>
  <c r="M831" i="1" a="1"/>
  <c r="M831" i="1" s="1"/>
  <c r="O831" i="1" s="1" a="1"/>
  <c r="O831" i="1" s="1"/>
  <c r="L831" i="1"/>
  <c r="K831" i="1"/>
  <c r="J831" i="1"/>
  <c r="I831" i="1" a="1"/>
  <c r="I831" i="1" s="1"/>
  <c r="G831" i="1" a="1"/>
  <c r="G831" i="1" s="1"/>
  <c r="F831" i="1" a="1"/>
  <c r="F831" i="1" s="1"/>
  <c r="M830" i="1" a="1"/>
  <c r="M830" i="1" s="1"/>
  <c r="Q830" i="1" s="1"/>
  <c r="L830" i="1"/>
  <c r="K830" i="1"/>
  <c r="J830" i="1"/>
  <c r="I830" i="1" a="1"/>
  <c r="I830" i="1" s="1"/>
  <c r="G830" i="1" a="1"/>
  <c r="G830" i="1" s="1"/>
  <c r="F830" i="1" a="1"/>
  <c r="F830" i="1" s="1"/>
  <c r="M829" i="1" a="1"/>
  <c r="M829" i="1" s="1"/>
  <c r="Q829" i="1" s="1"/>
  <c r="L829" i="1"/>
  <c r="K829" i="1"/>
  <c r="J829" i="1"/>
  <c r="I829" i="1" a="1"/>
  <c r="I829" i="1" s="1"/>
  <c r="G829" i="1" a="1"/>
  <c r="G829" i="1" s="1"/>
  <c r="F829" i="1" a="1"/>
  <c r="F829" i="1" s="1"/>
  <c r="M828" i="1" a="1"/>
  <c r="M828" i="1" s="1"/>
  <c r="Q828" i="1" s="1"/>
  <c r="L828" i="1"/>
  <c r="K828" i="1"/>
  <c r="J828" i="1"/>
  <c r="I828" i="1" a="1"/>
  <c r="I828" i="1" s="1"/>
  <c r="G828" i="1" a="1"/>
  <c r="G828" i="1" s="1"/>
  <c r="F828" i="1" a="1"/>
  <c r="F828" i="1" s="1"/>
  <c r="M827" i="1" a="1"/>
  <c r="M827" i="1" s="1"/>
  <c r="L827" i="1"/>
  <c r="K827" i="1"/>
  <c r="J827" i="1"/>
  <c r="I827" i="1" a="1"/>
  <c r="I827" i="1" s="1"/>
  <c r="G827" i="1" a="1"/>
  <c r="G827" i="1" s="1"/>
  <c r="F827" i="1" a="1"/>
  <c r="F827" i="1" s="1"/>
  <c r="M826" i="1" a="1"/>
  <c r="M826" i="1" s="1"/>
  <c r="Q826" i="1" s="1"/>
  <c r="L826" i="1"/>
  <c r="K826" i="1"/>
  <c r="J826" i="1"/>
  <c r="I826" i="1" a="1"/>
  <c r="I826" i="1" s="1"/>
  <c r="G826" i="1" a="1"/>
  <c r="G826" i="1" s="1"/>
  <c r="F826" i="1" a="1"/>
  <c r="F826" i="1" s="1"/>
  <c r="M825" i="1" a="1"/>
  <c r="M825" i="1" s="1"/>
  <c r="L825" i="1"/>
  <c r="K825" i="1"/>
  <c r="J825" i="1"/>
  <c r="I825" i="1" a="1"/>
  <c r="I825" i="1" s="1"/>
  <c r="G825" i="1" a="1"/>
  <c r="G825" i="1" s="1"/>
  <c r="F825" i="1" a="1"/>
  <c r="F825" i="1" s="1"/>
  <c r="M824" i="1" a="1"/>
  <c r="M824" i="1" s="1"/>
  <c r="L824" i="1"/>
  <c r="K824" i="1"/>
  <c r="J824" i="1"/>
  <c r="I824" i="1" a="1"/>
  <c r="I824" i="1" s="1"/>
  <c r="G824" i="1" a="1"/>
  <c r="G824" i="1" s="1"/>
  <c r="F824" i="1" a="1"/>
  <c r="F824" i="1" s="1"/>
  <c r="M823" i="1" a="1"/>
  <c r="M823" i="1" s="1"/>
  <c r="Q823" i="1" s="1"/>
  <c r="L823" i="1"/>
  <c r="K823" i="1"/>
  <c r="J823" i="1"/>
  <c r="I823" i="1" a="1"/>
  <c r="I823" i="1" s="1"/>
  <c r="G823" i="1" a="1"/>
  <c r="G823" i="1" s="1"/>
  <c r="F823" i="1" a="1"/>
  <c r="F823" i="1" s="1"/>
  <c r="M822" i="1" a="1"/>
  <c r="M822" i="1" s="1"/>
  <c r="P822" i="1" s="1"/>
  <c r="L822" i="1"/>
  <c r="K822" i="1"/>
  <c r="J822" i="1"/>
  <c r="I822" i="1" a="1"/>
  <c r="I822" i="1" s="1"/>
  <c r="G822" i="1" a="1"/>
  <c r="G822" i="1" s="1"/>
  <c r="F822" i="1" a="1"/>
  <c r="F822" i="1" s="1"/>
  <c r="M821" i="1" a="1"/>
  <c r="M821" i="1" s="1"/>
  <c r="T821" i="1" s="1" a="1"/>
  <c r="T821" i="1" s="1"/>
  <c r="L821" i="1"/>
  <c r="K821" i="1"/>
  <c r="J821" i="1"/>
  <c r="I821" i="1" a="1"/>
  <c r="I821" i="1" s="1"/>
  <c r="G821" i="1" a="1"/>
  <c r="G821" i="1" s="1"/>
  <c r="F821" i="1" a="1"/>
  <c r="F821" i="1" s="1"/>
  <c r="M820" i="1"/>
  <c r="M820" i="1" a="1"/>
  <c r="L820" i="1"/>
  <c r="K820" i="1"/>
  <c r="J820" i="1"/>
  <c r="I820" i="1" a="1"/>
  <c r="I820" i="1" s="1"/>
  <c r="G820" i="1" a="1"/>
  <c r="G820" i="1" s="1"/>
  <c r="F820" i="1" a="1"/>
  <c r="F820" i="1" s="1"/>
  <c r="M819" i="1" a="1"/>
  <c r="M819" i="1" s="1"/>
  <c r="U819" i="1" s="1" a="1"/>
  <c r="U819" i="1" s="1"/>
  <c r="L819" i="1"/>
  <c r="K819" i="1"/>
  <c r="J819" i="1"/>
  <c r="I819" i="1" a="1"/>
  <c r="I819" i="1" s="1"/>
  <c r="G819" i="1" a="1"/>
  <c r="G819" i="1" s="1"/>
  <c r="F819" i="1" a="1"/>
  <c r="F819" i="1" s="1"/>
  <c r="M818" i="1" a="1"/>
  <c r="M818" i="1" s="1"/>
  <c r="U818" i="1" s="1" a="1"/>
  <c r="U818" i="1" s="1"/>
  <c r="L818" i="1"/>
  <c r="K818" i="1"/>
  <c r="J818" i="1"/>
  <c r="I818" i="1" a="1"/>
  <c r="I818" i="1" s="1"/>
  <c r="G818" i="1" a="1"/>
  <c r="G818" i="1" s="1"/>
  <c r="F818" i="1" a="1"/>
  <c r="F818" i="1" s="1"/>
  <c r="M817" i="1" a="1"/>
  <c r="M817" i="1" s="1"/>
  <c r="L817" i="1"/>
  <c r="K817" i="1"/>
  <c r="J817" i="1"/>
  <c r="I817" i="1" a="1"/>
  <c r="I817" i="1" s="1"/>
  <c r="G817" i="1" a="1"/>
  <c r="G817" i="1" s="1"/>
  <c r="F817" i="1" a="1"/>
  <c r="F817" i="1" s="1"/>
  <c r="M816" i="1" a="1"/>
  <c r="M816" i="1" s="1"/>
  <c r="L816" i="1"/>
  <c r="K816" i="1"/>
  <c r="J816" i="1"/>
  <c r="I816" i="1" a="1"/>
  <c r="I816" i="1" s="1"/>
  <c r="G816" i="1" a="1"/>
  <c r="G816" i="1" s="1"/>
  <c r="F816" i="1" a="1"/>
  <c r="F816" i="1" s="1"/>
  <c r="M815" i="1" a="1"/>
  <c r="M815" i="1" s="1"/>
  <c r="Q815" i="1" s="1"/>
  <c r="L815" i="1"/>
  <c r="K815" i="1"/>
  <c r="J815" i="1"/>
  <c r="I815" i="1"/>
  <c r="I815" i="1" a="1"/>
  <c r="G815" i="1" a="1"/>
  <c r="G815" i="1" s="1"/>
  <c r="F815" i="1" a="1"/>
  <c r="F815" i="1" s="1"/>
  <c r="M814" i="1" a="1"/>
  <c r="M814" i="1" s="1"/>
  <c r="L814" i="1"/>
  <c r="K814" i="1"/>
  <c r="J814" i="1"/>
  <c r="I814" i="1" a="1"/>
  <c r="I814" i="1" s="1"/>
  <c r="G814" i="1" a="1"/>
  <c r="G814" i="1" s="1"/>
  <c r="F814" i="1" a="1"/>
  <c r="F814" i="1" s="1"/>
  <c r="M813" i="1" a="1"/>
  <c r="M813" i="1" s="1"/>
  <c r="U813" i="1" s="1" a="1"/>
  <c r="U813" i="1" s="1"/>
  <c r="L813" i="1"/>
  <c r="K813" i="1"/>
  <c r="J813" i="1"/>
  <c r="I813" i="1" a="1"/>
  <c r="I813" i="1" s="1"/>
  <c r="G813" i="1" a="1"/>
  <c r="G813" i="1" s="1"/>
  <c r="F813" i="1" a="1"/>
  <c r="F813" i="1" s="1"/>
  <c r="M812" i="1" a="1"/>
  <c r="M812" i="1" s="1"/>
  <c r="L812" i="1"/>
  <c r="K812" i="1"/>
  <c r="J812" i="1"/>
  <c r="I812" i="1" a="1"/>
  <c r="I812" i="1" s="1"/>
  <c r="G812" i="1" a="1"/>
  <c r="G812" i="1" s="1"/>
  <c r="F812" i="1" a="1"/>
  <c r="F812" i="1" s="1"/>
  <c r="M811" i="1" a="1"/>
  <c r="M811" i="1" s="1"/>
  <c r="U811" i="1" s="1" a="1"/>
  <c r="U811" i="1" s="1"/>
  <c r="L811" i="1"/>
  <c r="K811" i="1"/>
  <c r="J811" i="1"/>
  <c r="I811" i="1"/>
  <c r="I811" i="1" a="1"/>
  <c r="G811" i="1" a="1"/>
  <c r="G811" i="1" s="1"/>
  <c r="F811" i="1" a="1"/>
  <c r="F811" i="1" s="1"/>
  <c r="M810" i="1" a="1"/>
  <c r="M810" i="1" s="1"/>
  <c r="Q810" i="1" s="1"/>
  <c r="L810" i="1"/>
  <c r="K810" i="1"/>
  <c r="J810" i="1"/>
  <c r="I810" i="1" a="1"/>
  <c r="I810" i="1" s="1"/>
  <c r="G810" i="1" a="1"/>
  <c r="G810" i="1" s="1"/>
  <c r="F810" i="1" a="1"/>
  <c r="F810" i="1" s="1"/>
  <c r="M809" i="1" a="1"/>
  <c r="M809" i="1" s="1"/>
  <c r="P809" i="1" s="1"/>
  <c r="L809" i="1"/>
  <c r="K809" i="1"/>
  <c r="J809" i="1"/>
  <c r="I809" i="1" a="1"/>
  <c r="I809" i="1" s="1"/>
  <c r="G809" i="1" a="1"/>
  <c r="G809" i="1" s="1"/>
  <c r="F809" i="1" a="1"/>
  <c r="F809" i="1" s="1"/>
  <c r="M808" i="1" a="1"/>
  <c r="M808" i="1" s="1"/>
  <c r="Q808" i="1" s="1"/>
  <c r="L808" i="1"/>
  <c r="K808" i="1"/>
  <c r="J808" i="1"/>
  <c r="I808" i="1" a="1"/>
  <c r="I808" i="1" s="1"/>
  <c r="G808" i="1" a="1"/>
  <c r="G808" i="1" s="1"/>
  <c r="F808" i="1" a="1"/>
  <c r="F808" i="1" s="1"/>
  <c r="M807" i="1" a="1"/>
  <c r="M807" i="1" s="1"/>
  <c r="Q807" i="1" s="1"/>
  <c r="L807" i="1"/>
  <c r="K807" i="1"/>
  <c r="J807" i="1"/>
  <c r="I807" i="1" a="1"/>
  <c r="I807" i="1" s="1"/>
  <c r="G807" i="1" a="1"/>
  <c r="G807" i="1" s="1"/>
  <c r="F807" i="1" a="1"/>
  <c r="F807" i="1" s="1"/>
  <c r="M806" i="1" a="1"/>
  <c r="M806" i="1" s="1"/>
  <c r="L806" i="1"/>
  <c r="K806" i="1"/>
  <c r="J806" i="1"/>
  <c r="I806" i="1" a="1"/>
  <c r="I806" i="1" s="1"/>
  <c r="G806" i="1" a="1"/>
  <c r="G806" i="1" s="1"/>
  <c r="F806" i="1" a="1"/>
  <c r="F806" i="1" s="1"/>
  <c r="M805" i="1" a="1"/>
  <c r="M805" i="1" s="1"/>
  <c r="Q805" i="1" s="1"/>
  <c r="L805" i="1"/>
  <c r="K805" i="1"/>
  <c r="J805" i="1"/>
  <c r="I805" i="1" a="1"/>
  <c r="I805" i="1" s="1"/>
  <c r="G805" i="1" a="1"/>
  <c r="G805" i="1" s="1"/>
  <c r="F805" i="1" a="1"/>
  <c r="F805" i="1" s="1"/>
  <c r="M804" i="1" a="1"/>
  <c r="M804" i="1" s="1"/>
  <c r="Q804" i="1" s="1"/>
  <c r="L804" i="1"/>
  <c r="K804" i="1"/>
  <c r="J804" i="1"/>
  <c r="I804" i="1" a="1"/>
  <c r="I804" i="1" s="1"/>
  <c r="G804" i="1" a="1"/>
  <c r="G804" i="1" s="1"/>
  <c r="F804" i="1" a="1"/>
  <c r="F804" i="1" s="1"/>
  <c r="M803" i="1" a="1"/>
  <c r="M803" i="1" s="1"/>
  <c r="Q803" i="1" s="1"/>
  <c r="L803" i="1"/>
  <c r="K803" i="1"/>
  <c r="J803" i="1"/>
  <c r="I803" i="1" a="1"/>
  <c r="I803" i="1" s="1"/>
  <c r="G803" i="1" a="1"/>
  <c r="G803" i="1" s="1"/>
  <c r="F803" i="1" a="1"/>
  <c r="F803" i="1" s="1"/>
  <c r="M802" i="1" a="1"/>
  <c r="M802" i="1" s="1"/>
  <c r="Q802" i="1" s="1"/>
  <c r="L802" i="1"/>
  <c r="K802" i="1"/>
  <c r="J802" i="1"/>
  <c r="I802" i="1" a="1"/>
  <c r="I802" i="1" s="1"/>
  <c r="G802" i="1" a="1"/>
  <c r="G802" i="1" s="1"/>
  <c r="F802" i="1" a="1"/>
  <c r="F802" i="1" s="1"/>
  <c r="M801" i="1" a="1"/>
  <c r="M801" i="1" s="1"/>
  <c r="Q801" i="1" s="1"/>
  <c r="L801" i="1"/>
  <c r="K801" i="1"/>
  <c r="J801" i="1"/>
  <c r="I801" i="1" a="1"/>
  <c r="I801" i="1" s="1"/>
  <c r="G801" i="1" a="1"/>
  <c r="G801" i="1" s="1"/>
  <c r="F801" i="1" a="1"/>
  <c r="F801" i="1" s="1"/>
  <c r="M800" i="1" a="1"/>
  <c r="M800" i="1" s="1"/>
  <c r="Q800" i="1" s="1"/>
  <c r="L800" i="1"/>
  <c r="K800" i="1"/>
  <c r="J800" i="1"/>
  <c r="I800" i="1"/>
  <c r="I800" i="1" a="1"/>
  <c r="G800" i="1" a="1"/>
  <c r="G800" i="1" s="1"/>
  <c r="F800" i="1" a="1"/>
  <c r="F800" i="1" s="1"/>
  <c r="M799" i="1" a="1"/>
  <c r="M799" i="1" s="1"/>
  <c r="Q799" i="1" s="1"/>
  <c r="L799" i="1"/>
  <c r="K799" i="1"/>
  <c r="J799" i="1"/>
  <c r="I799" i="1" a="1"/>
  <c r="I799" i="1" s="1"/>
  <c r="G799" i="1" a="1"/>
  <c r="G799" i="1" s="1"/>
  <c r="F799" i="1" a="1"/>
  <c r="F799" i="1" s="1"/>
  <c r="M798" i="1" a="1"/>
  <c r="M798" i="1" s="1"/>
  <c r="Q798" i="1" s="1"/>
  <c r="L798" i="1"/>
  <c r="K798" i="1"/>
  <c r="J798" i="1"/>
  <c r="I798" i="1" a="1"/>
  <c r="I798" i="1" s="1"/>
  <c r="G798" i="1" a="1"/>
  <c r="G798" i="1" s="1"/>
  <c r="F798" i="1" a="1"/>
  <c r="F798" i="1" s="1"/>
  <c r="M797" i="1" a="1"/>
  <c r="M797" i="1" s="1"/>
  <c r="Q797" i="1" s="1"/>
  <c r="L797" i="1"/>
  <c r="K797" i="1"/>
  <c r="J797" i="1"/>
  <c r="I797" i="1" a="1"/>
  <c r="I797" i="1" s="1"/>
  <c r="G797" i="1" a="1"/>
  <c r="G797" i="1" s="1"/>
  <c r="F797" i="1" a="1"/>
  <c r="F797" i="1" s="1"/>
  <c r="M796" i="1" a="1"/>
  <c r="M796" i="1" s="1"/>
  <c r="U796" i="1" s="1" a="1"/>
  <c r="U796" i="1" s="1"/>
  <c r="L796" i="1"/>
  <c r="K796" i="1"/>
  <c r="J796" i="1"/>
  <c r="I796" i="1" a="1"/>
  <c r="I796" i="1" s="1"/>
  <c r="G796" i="1" a="1"/>
  <c r="G796" i="1" s="1"/>
  <c r="F796" i="1" a="1"/>
  <c r="F796" i="1" s="1"/>
  <c r="M795" i="1" a="1"/>
  <c r="M795" i="1" s="1"/>
  <c r="Q795" i="1" s="1"/>
  <c r="L795" i="1"/>
  <c r="K795" i="1"/>
  <c r="J795" i="1"/>
  <c r="I795" i="1"/>
  <c r="I795" i="1" a="1"/>
  <c r="G795" i="1" a="1"/>
  <c r="G795" i="1" s="1"/>
  <c r="F795" i="1" a="1"/>
  <c r="F795" i="1" s="1"/>
  <c r="M794" i="1" a="1"/>
  <c r="M794" i="1" s="1"/>
  <c r="Q794" i="1" s="1"/>
  <c r="L794" i="1"/>
  <c r="K794" i="1"/>
  <c r="J794" i="1"/>
  <c r="I794" i="1"/>
  <c r="I794" i="1" a="1"/>
  <c r="G794" i="1" a="1"/>
  <c r="G794" i="1" s="1"/>
  <c r="F794" i="1" a="1"/>
  <c r="F794" i="1" s="1"/>
  <c r="M793" i="1" a="1"/>
  <c r="M793" i="1" s="1"/>
  <c r="Q793" i="1" s="1"/>
  <c r="L793" i="1"/>
  <c r="K793" i="1"/>
  <c r="J793" i="1"/>
  <c r="I793" i="1" a="1"/>
  <c r="I793" i="1" s="1"/>
  <c r="G793" i="1" a="1"/>
  <c r="G793" i="1" s="1"/>
  <c r="F793" i="1" a="1"/>
  <c r="F793" i="1" s="1"/>
  <c r="M792" i="1" a="1"/>
  <c r="M792" i="1" s="1"/>
  <c r="P792" i="1" s="1"/>
  <c r="L792" i="1"/>
  <c r="K792" i="1"/>
  <c r="J792" i="1"/>
  <c r="I792" i="1" a="1"/>
  <c r="I792" i="1" s="1"/>
  <c r="G792" i="1" a="1"/>
  <c r="G792" i="1" s="1"/>
  <c r="F792" i="1" a="1"/>
  <c r="F792" i="1" s="1"/>
  <c r="M791" i="1" a="1"/>
  <c r="M791" i="1" s="1"/>
  <c r="Q791" i="1" s="1"/>
  <c r="L791" i="1"/>
  <c r="K791" i="1"/>
  <c r="J791" i="1"/>
  <c r="I791" i="1" a="1"/>
  <c r="I791" i="1" s="1"/>
  <c r="G791" i="1" a="1"/>
  <c r="G791" i="1" s="1"/>
  <c r="F791" i="1" a="1"/>
  <c r="F791" i="1" s="1"/>
  <c r="M790" i="1" a="1"/>
  <c r="M790" i="1" s="1"/>
  <c r="T790" i="1" s="1" a="1"/>
  <c r="T790" i="1" s="1"/>
  <c r="L790" i="1"/>
  <c r="K790" i="1"/>
  <c r="J790" i="1"/>
  <c r="I790" i="1" a="1"/>
  <c r="I790" i="1" s="1"/>
  <c r="G790" i="1" a="1"/>
  <c r="G790" i="1" s="1"/>
  <c r="F790" i="1" a="1"/>
  <c r="F790" i="1" s="1"/>
  <c r="M789" i="1" a="1"/>
  <c r="M789" i="1" s="1"/>
  <c r="Q789" i="1" s="1"/>
  <c r="L789" i="1"/>
  <c r="K789" i="1"/>
  <c r="J789" i="1"/>
  <c r="I789" i="1" a="1"/>
  <c r="I789" i="1" s="1"/>
  <c r="G789" i="1" a="1"/>
  <c r="G789" i="1" s="1"/>
  <c r="F789" i="1" a="1"/>
  <c r="F789" i="1" s="1"/>
  <c r="M788" i="1" a="1"/>
  <c r="M788" i="1" s="1"/>
  <c r="U788" i="1" s="1" a="1"/>
  <c r="U788" i="1" s="1"/>
  <c r="L788" i="1"/>
  <c r="K788" i="1"/>
  <c r="J788" i="1"/>
  <c r="I788" i="1" a="1"/>
  <c r="I788" i="1" s="1"/>
  <c r="G788" i="1" a="1"/>
  <c r="G788" i="1" s="1"/>
  <c r="F788" i="1" a="1"/>
  <c r="F788" i="1" s="1"/>
  <c r="M787" i="1" a="1"/>
  <c r="M787" i="1" s="1"/>
  <c r="O787" i="1" s="1" a="1"/>
  <c r="O787" i="1" s="1"/>
  <c r="L787" i="1"/>
  <c r="K787" i="1"/>
  <c r="J787" i="1"/>
  <c r="I787" i="1"/>
  <c r="I787" i="1" a="1"/>
  <c r="G787" i="1" a="1"/>
  <c r="G787" i="1" s="1"/>
  <c r="F787" i="1" a="1"/>
  <c r="F787" i="1" s="1"/>
  <c r="M786" i="1" a="1"/>
  <c r="M786" i="1" s="1"/>
  <c r="T786" i="1" s="1" a="1"/>
  <c r="T786" i="1" s="1"/>
  <c r="L786" i="1"/>
  <c r="K786" i="1"/>
  <c r="J786" i="1"/>
  <c r="I786" i="1" a="1"/>
  <c r="I786" i="1" s="1"/>
  <c r="G786" i="1" a="1"/>
  <c r="G786" i="1" s="1"/>
  <c r="F786" i="1" a="1"/>
  <c r="F786" i="1" s="1"/>
  <c r="M785" i="1" a="1"/>
  <c r="M785" i="1" s="1"/>
  <c r="Q785" i="1" s="1"/>
  <c r="L785" i="1"/>
  <c r="K785" i="1"/>
  <c r="J785" i="1"/>
  <c r="I785" i="1" a="1"/>
  <c r="I785" i="1" s="1"/>
  <c r="G785" i="1" a="1"/>
  <c r="G785" i="1" s="1"/>
  <c r="F785" i="1" a="1"/>
  <c r="F785" i="1" s="1"/>
  <c r="M784" i="1" a="1"/>
  <c r="M784" i="1" s="1"/>
  <c r="L784" i="1"/>
  <c r="K784" i="1"/>
  <c r="J784" i="1"/>
  <c r="I784" i="1" a="1"/>
  <c r="I784" i="1" s="1"/>
  <c r="G784" i="1" a="1"/>
  <c r="G784" i="1" s="1"/>
  <c r="F784" i="1" a="1"/>
  <c r="F784" i="1" s="1"/>
  <c r="M783" i="1" a="1"/>
  <c r="M783" i="1" s="1"/>
  <c r="Q783" i="1" s="1"/>
  <c r="L783" i="1"/>
  <c r="K783" i="1"/>
  <c r="J783" i="1"/>
  <c r="I783" i="1" a="1"/>
  <c r="I783" i="1" s="1"/>
  <c r="G783" i="1" a="1"/>
  <c r="G783" i="1" s="1"/>
  <c r="F783" i="1" a="1"/>
  <c r="F783" i="1" s="1"/>
  <c r="M782" i="1" a="1"/>
  <c r="M782" i="1" s="1"/>
  <c r="U782" i="1" s="1" a="1"/>
  <c r="U782" i="1" s="1"/>
  <c r="L782" i="1"/>
  <c r="K782" i="1"/>
  <c r="J782" i="1"/>
  <c r="I782" i="1" a="1"/>
  <c r="I782" i="1" s="1"/>
  <c r="G782" i="1" a="1"/>
  <c r="G782" i="1" s="1"/>
  <c r="F782" i="1" a="1"/>
  <c r="F782" i="1" s="1"/>
  <c r="M781" i="1" a="1"/>
  <c r="M781" i="1" s="1"/>
  <c r="Q781" i="1" s="1"/>
  <c r="L781" i="1"/>
  <c r="K781" i="1"/>
  <c r="J781" i="1"/>
  <c r="I781" i="1" a="1"/>
  <c r="I781" i="1" s="1"/>
  <c r="G781" i="1" a="1"/>
  <c r="G781" i="1" s="1"/>
  <c r="F781" i="1" a="1"/>
  <c r="F781" i="1" s="1"/>
  <c r="M780" i="1" a="1"/>
  <c r="M780" i="1" s="1"/>
  <c r="Q780" i="1" s="1"/>
  <c r="L780" i="1"/>
  <c r="K780" i="1"/>
  <c r="J780" i="1"/>
  <c r="I780" i="1" a="1"/>
  <c r="I780" i="1" s="1"/>
  <c r="G780" i="1" a="1"/>
  <c r="G780" i="1" s="1"/>
  <c r="F780" i="1" a="1"/>
  <c r="F780" i="1" s="1"/>
  <c r="M779" i="1" a="1"/>
  <c r="M779" i="1" s="1"/>
  <c r="Q779" i="1" s="1"/>
  <c r="L779" i="1"/>
  <c r="K779" i="1"/>
  <c r="J779" i="1"/>
  <c r="I779" i="1" a="1"/>
  <c r="I779" i="1" s="1"/>
  <c r="G779" i="1" a="1"/>
  <c r="G779" i="1" s="1"/>
  <c r="F779" i="1" a="1"/>
  <c r="F779" i="1" s="1"/>
  <c r="M778" i="1" a="1"/>
  <c r="M778" i="1" s="1"/>
  <c r="Q778" i="1" s="1"/>
  <c r="L778" i="1"/>
  <c r="K778" i="1"/>
  <c r="J778" i="1"/>
  <c r="I778" i="1" a="1"/>
  <c r="I778" i="1" s="1"/>
  <c r="G778" i="1" a="1"/>
  <c r="G778" i="1" s="1"/>
  <c r="F778" i="1" a="1"/>
  <c r="F778" i="1" s="1"/>
  <c r="M777" i="1" a="1"/>
  <c r="M777" i="1" s="1"/>
  <c r="Q777" i="1" s="1"/>
  <c r="L777" i="1"/>
  <c r="K777" i="1"/>
  <c r="J777" i="1"/>
  <c r="I777" i="1" a="1"/>
  <c r="I777" i="1" s="1"/>
  <c r="G777" i="1" a="1"/>
  <c r="G777" i="1" s="1"/>
  <c r="F777" i="1" a="1"/>
  <c r="F777" i="1" s="1"/>
  <c r="M776" i="1" a="1"/>
  <c r="M776" i="1" s="1"/>
  <c r="Q776" i="1" s="1"/>
  <c r="L776" i="1"/>
  <c r="K776" i="1"/>
  <c r="J776" i="1"/>
  <c r="I776" i="1" a="1"/>
  <c r="I776" i="1" s="1"/>
  <c r="G776" i="1" a="1"/>
  <c r="G776" i="1" s="1"/>
  <c r="F776" i="1" a="1"/>
  <c r="F776" i="1" s="1"/>
  <c r="M775" i="1" a="1"/>
  <c r="M775" i="1" s="1"/>
  <c r="Q775" i="1" s="1"/>
  <c r="L775" i="1"/>
  <c r="K775" i="1"/>
  <c r="J775" i="1"/>
  <c r="I775" i="1" a="1"/>
  <c r="I775" i="1" s="1"/>
  <c r="G775" i="1" a="1"/>
  <c r="G775" i="1" s="1"/>
  <c r="F775" i="1" a="1"/>
  <c r="F775" i="1" s="1"/>
  <c r="M774" i="1" a="1"/>
  <c r="M774" i="1" s="1"/>
  <c r="Q774" i="1" s="1"/>
  <c r="L774" i="1"/>
  <c r="K774" i="1"/>
  <c r="J774" i="1"/>
  <c r="I774" i="1" a="1"/>
  <c r="I774" i="1" s="1"/>
  <c r="G774" i="1" a="1"/>
  <c r="G774" i="1" s="1"/>
  <c r="F774" i="1" a="1"/>
  <c r="F774" i="1" s="1"/>
  <c r="M773" i="1" a="1"/>
  <c r="M773" i="1" s="1"/>
  <c r="Q773" i="1" s="1"/>
  <c r="L773" i="1"/>
  <c r="K773" i="1"/>
  <c r="J773" i="1"/>
  <c r="I773" i="1" a="1"/>
  <c r="I773" i="1" s="1"/>
  <c r="G773" i="1" a="1"/>
  <c r="G773" i="1" s="1"/>
  <c r="F773" i="1" a="1"/>
  <c r="F773" i="1" s="1"/>
  <c r="M772" i="1" a="1"/>
  <c r="M772" i="1" s="1"/>
  <c r="L772" i="1"/>
  <c r="K772" i="1"/>
  <c r="J772" i="1"/>
  <c r="I772" i="1" a="1"/>
  <c r="I772" i="1" s="1"/>
  <c r="G772" i="1" a="1"/>
  <c r="G772" i="1" s="1"/>
  <c r="F772" i="1" a="1"/>
  <c r="F772" i="1" s="1"/>
  <c r="M771" i="1" a="1"/>
  <c r="M771" i="1" s="1"/>
  <c r="L771" i="1"/>
  <c r="K771" i="1"/>
  <c r="J771" i="1"/>
  <c r="I771" i="1" a="1"/>
  <c r="I771" i="1" s="1"/>
  <c r="G771" i="1" a="1"/>
  <c r="G771" i="1" s="1"/>
  <c r="F771" i="1" a="1"/>
  <c r="F771" i="1" s="1"/>
  <c r="M770" i="1" a="1"/>
  <c r="M770" i="1" s="1"/>
  <c r="Q770" i="1" s="1"/>
  <c r="L770" i="1"/>
  <c r="K770" i="1"/>
  <c r="J770" i="1"/>
  <c r="I770" i="1" a="1"/>
  <c r="I770" i="1" s="1"/>
  <c r="G770" i="1" a="1"/>
  <c r="G770" i="1" s="1"/>
  <c r="F770" i="1" a="1"/>
  <c r="F770" i="1" s="1"/>
  <c r="M769" i="1" a="1"/>
  <c r="M769" i="1" s="1"/>
  <c r="Q769" i="1" s="1"/>
  <c r="L769" i="1"/>
  <c r="K769" i="1"/>
  <c r="J769" i="1"/>
  <c r="I769" i="1" a="1"/>
  <c r="I769" i="1" s="1"/>
  <c r="G769" i="1" a="1"/>
  <c r="G769" i="1" s="1"/>
  <c r="F769" i="1" a="1"/>
  <c r="F769" i="1" s="1"/>
  <c r="M768" i="1" a="1"/>
  <c r="M768" i="1" s="1"/>
  <c r="P768" i="1" s="1"/>
  <c r="L768" i="1"/>
  <c r="K768" i="1"/>
  <c r="J768" i="1"/>
  <c r="I768" i="1" a="1"/>
  <c r="I768" i="1" s="1"/>
  <c r="G768" i="1" a="1"/>
  <c r="G768" i="1" s="1"/>
  <c r="F768" i="1" a="1"/>
  <c r="F768" i="1" s="1"/>
  <c r="M767" i="1" a="1"/>
  <c r="M767" i="1" s="1"/>
  <c r="T767" i="1" s="1" a="1"/>
  <c r="T767" i="1" s="1"/>
  <c r="L767" i="1"/>
  <c r="K767" i="1"/>
  <c r="J767" i="1"/>
  <c r="I767" i="1" a="1"/>
  <c r="I767" i="1" s="1"/>
  <c r="G767" i="1" a="1"/>
  <c r="G767" i="1" s="1"/>
  <c r="F767" i="1" a="1"/>
  <c r="F767" i="1" s="1"/>
  <c r="M766" i="1" a="1"/>
  <c r="M766" i="1" s="1"/>
  <c r="T766" i="1" s="1" a="1"/>
  <c r="T766" i="1" s="1"/>
  <c r="L766" i="1"/>
  <c r="K766" i="1"/>
  <c r="J766" i="1"/>
  <c r="I766" i="1" a="1"/>
  <c r="I766" i="1" s="1"/>
  <c r="G766" i="1" a="1"/>
  <c r="G766" i="1" s="1"/>
  <c r="F766" i="1" a="1"/>
  <c r="F766" i="1" s="1"/>
  <c r="M765" i="1" a="1"/>
  <c r="M765" i="1" s="1"/>
  <c r="Q765" i="1" s="1"/>
  <c r="L765" i="1"/>
  <c r="K765" i="1"/>
  <c r="J765" i="1"/>
  <c r="I765" i="1" a="1"/>
  <c r="I765" i="1" s="1"/>
  <c r="G765" i="1" a="1"/>
  <c r="G765" i="1" s="1"/>
  <c r="F765" i="1" a="1"/>
  <c r="F765" i="1" s="1"/>
  <c r="M764" i="1" a="1"/>
  <c r="M764" i="1" s="1"/>
  <c r="T764" i="1" s="1" a="1"/>
  <c r="T764" i="1" s="1"/>
  <c r="L764" i="1"/>
  <c r="K764" i="1"/>
  <c r="J764" i="1"/>
  <c r="I764" i="1" a="1"/>
  <c r="I764" i="1" s="1"/>
  <c r="G764" i="1" a="1"/>
  <c r="G764" i="1" s="1"/>
  <c r="F764" i="1" a="1"/>
  <c r="F764" i="1" s="1"/>
  <c r="M763" i="1" a="1"/>
  <c r="M763" i="1" s="1"/>
  <c r="Q763" i="1" s="1"/>
  <c r="L763" i="1"/>
  <c r="K763" i="1"/>
  <c r="J763" i="1"/>
  <c r="I763" i="1" a="1"/>
  <c r="I763" i="1" s="1"/>
  <c r="G763" i="1" a="1"/>
  <c r="G763" i="1" s="1"/>
  <c r="F763" i="1" a="1"/>
  <c r="F763" i="1" s="1"/>
  <c r="M762" i="1" a="1"/>
  <c r="M762" i="1" s="1"/>
  <c r="U762" i="1" s="1" a="1"/>
  <c r="U762" i="1" s="1"/>
  <c r="L762" i="1"/>
  <c r="K762" i="1"/>
  <c r="J762" i="1"/>
  <c r="I762" i="1" a="1"/>
  <c r="I762" i="1" s="1"/>
  <c r="G762" i="1" a="1"/>
  <c r="G762" i="1" s="1"/>
  <c r="F762" i="1" a="1"/>
  <c r="F762" i="1" s="1"/>
  <c r="M761" i="1" a="1"/>
  <c r="M761" i="1" s="1"/>
  <c r="P761" i="1" s="1"/>
  <c r="L761" i="1"/>
  <c r="K761" i="1"/>
  <c r="J761" i="1"/>
  <c r="I761" i="1" a="1"/>
  <c r="I761" i="1" s="1"/>
  <c r="G761" i="1" a="1"/>
  <c r="G761" i="1" s="1"/>
  <c r="F761" i="1" a="1"/>
  <c r="F761" i="1" s="1"/>
  <c r="M760" i="1" a="1"/>
  <c r="M760" i="1" s="1"/>
  <c r="T760" i="1" s="1" a="1"/>
  <c r="T760" i="1" s="1"/>
  <c r="L760" i="1"/>
  <c r="K760" i="1"/>
  <c r="J760" i="1"/>
  <c r="I760" i="1" a="1"/>
  <c r="I760" i="1" s="1"/>
  <c r="G760" i="1" a="1"/>
  <c r="G760" i="1" s="1"/>
  <c r="F760" i="1" a="1"/>
  <c r="F760" i="1" s="1"/>
  <c r="M759" i="1" a="1"/>
  <c r="M759" i="1" s="1"/>
  <c r="Q759" i="1" s="1"/>
  <c r="L759" i="1"/>
  <c r="K759" i="1"/>
  <c r="J759" i="1"/>
  <c r="I759" i="1" a="1"/>
  <c r="I759" i="1" s="1"/>
  <c r="G759" i="1" a="1"/>
  <c r="G759" i="1" s="1"/>
  <c r="F759" i="1" a="1"/>
  <c r="F759" i="1" s="1"/>
  <c r="M758" i="1" a="1"/>
  <c r="M758" i="1" s="1"/>
  <c r="P758" i="1" s="1"/>
  <c r="L758" i="1"/>
  <c r="K758" i="1"/>
  <c r="J758" i="1"/>
  <c r="I758" i="1" a="1"/>
  <c r="I758" i="1" s="1"/>
  <c r="G758" i="1" a="1"/>
  <c r="G758" i="1" s="1"/>
  <c r="F758" i="1" a="1"/>
  <c r="F758" i="1" s="1"/>
  <c r="M757" i="1" a="1"/>
  <c r="M757" i="1" s="1"/>
  <c r="U757" i="1" s="1" a="1"/>
  <c r="U757" i="1" s="1"/>
  <c r="L757" i="1"/>
  <c r="K757" i="1"/>
  <c r="J757" i="1"/>
  <c r="I757" i="1" a="1"/>
  <c r="I757" i="1" s="1"/>
  <c r="G757" i="1" a="1"/>
  <c r="G757" i="1" s="1"/>
  <c r="F757" i="1" a="1"/>
  <c r="F757" i="1" s="1"/>
  <c r="M756" i="1" a="1"/>
  <c r="M756" i="1" s="1"/>
  <c r="S756" i="1" s="1" a="1"/>
  <c r="S756" i="1" s="1"/>
  <c r="L756" i="1"/>
  <c r="K756" i="1"/>
  <c r="J756" i="1"/>
  <c r="I756" i="1"/>
  <c r="I756" i="1" a="1"/>
  <c r="G756" i="1" a="1"/>
  <c r="G756" i="1" s="1"/>
  <c r="F756" i="1" a="1"/>
  <c r="F756" i="1" s="1"/>
  <c r="M755" i="1" a="1"/>
  <c r="M755" i="1" s="1"/>
  <c r="O755" i="1" s="1" a="1"/>
  <c r="O755" i="1" s="1"/>
  <c r="L755" i="1"/>
  <c r="K755" i="1"/>
  <c r="J755" i="1"/>
  <c r="I755" i="1"/>
  <c r="I755" i="1" a="1"/>
  <c r="G755" i="1" a="1"/>
  <c r="G755" i="1" s="1"/>
  <c r="F755" i="1" a="1"/>
  <c r="F755" i="1" s="1"/>
  <c r="M754" i="1" a="1"/>
  <c r="M754" i="1" s="1"/>
  <c r="T754" i="1" s="1" a="1"/>
  <c r="T754" i="1" s="1"/>
  <c r="L754" i="1"/>
  <c r="K754" i="1"/>
  <c r="J754" i="1"/>
  <c r="I754" i="1" a="1"/>
  <c r="I754" i="1" s="1"/>
  <c r="G754" i="1" a="1"/>
  <c r="G754" i="1" s="1"/>
  <c r="F754" i="1" a="1"/>
  <c r="F754" i="1" s="1"/>
  <c r="M753" i="1" a="1"/>
  <c r="M753" i="1" s="1"/>
  <c r="U753" i="1" s="1" a="1"/>
  <c r="U753" i="1" s="1"/>
  <c r="L753" i="1"/>
  <c r="K753" i="1"/>
  <c r="J753" i="1"/>
  <c r="I753" i="1" a="1"/>
  <c r="I753" i="1" s="1"/>
  <c r="G753" i="1" a="1"/>
  <c r="G753" i="1" s="1"/>
  <c r="F753" i="1" a="1"/>
  <c r="F753" i="1" s="1"/>
  <c r="M752" i="1" a="1"/>
  <c r="M752" i="1" s="1"/>
  <c r="Q752" i="1" s="1"/>
  <c r="L752" i="1"/>
  <c r="K752" i="1"/>
  <c r="J752" i="1"/>
  <c r="I752" i="1" a="1"/>
  <c r="I752" i="1" s="1"/>
  <c r="G752" i="1" a="1"/>
  <c r="G752" i="1" s="1"/>
  <c r="F752" i="1" a="1"/>
  <c r="F752" i="1" s="1"/>
  <c r="M751" i="1" a="1"/>
  <c r="M751" i="1" s="1"/>
  <c r="S751" i="1" s="1" a="1"/>
  <c r="S751" i="1" s="1"/>
  <c r="L751" i="1"/>
  <c r="K751" i="1"/>
  <c r="J751" i="1"/>
  <c r="I751" i="1" a="1"/>
  <c r="I751" i="1" s="1"/>
  <c r="G751" i="1" a="1"/>
  <c r="G751" i="1" s="1"/>
  <c r="F751" i="1" a="1"/>
  <c r="F751" i="1" s="1"/>
  <c r="M750" i="1" a="1"/>
  <c r="M750" i="1" s="1"/>
  <c r="Q750" i="1" s="1"/>
  <c r="L750" i="1"/>
  <c r="K750" i="1"/>
  <c r="J750" i="1"/>
  <c r="I750" i="1" a="1"/>
  <c r="I750" i="1" s="1"/>
  <c r="G750" i="1" a="1"/>
  <c r="G750" i="1" s="1"/>
  <c r="F750" i="1" a="1"/>
  <c r="F750" i="1" s="1"/>
  <c r="M749" i="1" a="1"/>
  <c r="M749" i="1" s="1"/>
  <c r="Q749" i="1" s="1"/>
  <c r="L749" i="1"/>
  <c r="K749" i="1"/>
  <c r="J749" i="1"/>
  <c r="I749" i="1" a="1"/>
  <c r="I749" i="1" s="1"/>
  <c r="G749" i="1" a="1"/>
  <c r="G749" i="1" s="1"/>
  <c r="F749" i="1" a="1"/>
  <c r="F749" i="1" s="1"/>
  <c r="M748" i="1" a="1"/>
  <c r="M748" i="1" s="1"/>
  <c r="Q748" i="1" s="1"/>
  <c r="L748" i="1"/>
  <c r="K748" i="1"/>
  <c r="J748" i="1"/>
  <c r="I748" i="1" a="1"/>
  <c r="I748" i="1" s="1"/>
  <c r="G748" i="1" a="1"/>
  <c r="G748" i="1" s="1"/>
  <c r="F748" i="1" a="1"/>
  <c r="F748" i="1" s="1"/>
  <c r="M747" i="1" a="1"/>
  <c r="M747" i="1" s="1"/>
  <c r="U747" i="1" s="1" a="1"/>
  <c r="U747" i="1" s="1"/>
  <c r="L747" i="1"/>
  <c r="K747" i="1"/>
  <c r="J747" i="1"/>
  <c r="I747" i="1" a="1"/>
  <c r="I747" i="1" s="1"/>
  <c r="G747" i="1" a="1"/>
  <c r="G747" i="1" s="1"/>
  <c r="F747" i="1" a="1"/>
  <c r="F747" i="1" s="1"/>
  <c r="M746" i="1" a="1"/>
  <c r="M746" i="1" s="1"/>
  <c r="T746" i="1" s="1" a="1"/>
  <c r="T746" i="1" s="1"/>
  <c r="L746" i="1"/>
  <c r="K746" i="1"/>
  <c r="J746" i="1"/>
  <c r="I746" i="1" a="1"/>
  <c r="I746" i="1" s="1"/>
  <c r="G746" i="1" a="1"/>
  <c r="G746" i="1" s="1"/>
  <c r="F746" i="1" a="1"/>
  <c r="F746" i="1" s="1"/>
  <c r="M745" i="1" a="1"/>
  <c r="M745" i="1" s="1"/>
  <c r="O745" i="1" s="1" a="1"/>
  <c r="O745" i="1" s="1"/>
  <c r="L745" i="1"/>
  <c r="K745" i="1"/>
  <c r="J745" i="1"/>
  <c r="I745" i="1" a="1"/>
  <c r="I745" i="1" s="1"/>
  <c r="G745" i="1" a="1"/>
  <c r="G745" i="1" s="1"/>
  <c r="F745" i="1" a="1"/>
  <c r="F745" i="1" s="1"/>
  <c r="U744" i="1" a="1"/>
  <c r="U744" i="1" s="1"/>
  <c r="M744" i="1" a="1"/>
  <c r="M744" i="1" s="1"/>
  <c r="L744" i="1"/>
  <c r="K744" i="1"/>
  <c r="J744" i="1"/>
  <c r="I744" i="1"/>
  <c r="I744" i="1" a="1"/>
  <c r="G744" i="1" a="1"/>
  <c r="G744" i="1" s="1"/>
  <c r="F744" i="1" a="1"/>
  <c r="F744" i="1" s="1"/>
  <c r="M743" i="1" a="1"/>
  <c r="M743" i="1" s="1"/>
  <c r="Q743" i="1" s="1"/>
  <c r="L743" i="1"/>
  <c r="K743" i="1"/>
  <c r="J743" i="1"/>
  <c r="I743" i="1" a="1"/>
  <c r="I743" i="1" s="1"/>
  <c r="G743" i="1" a="1"/>
  <c r="G743" i="1" s="1"/>
  <c r="F743" i="1" a="1"/>
  <c r="F743" i="1" s="1"/>
  <c r="M742" i="1" a="1"/>
  <c r="M742" i="1" s="1"/>
  <c r="L742" i="1"/>
  <c r="K742" i="1"/>
  <c r="J742" i="1"/>
  <c r="I742" i="1" a="1"/>
  <c r="I742" i="1" s="1"/>
  <c r="G742" i="1" a="1"/>
  <c r="G742" i="1" s="1"/>
  <c r="F742" i="1" a="1"/>
  <c r="F742" i="1" s="1"/>
  <c r="M741" i="1" a="1"/>
  <c r="M741" i="1" s="1"/>
  <c r="Q741" i="1" s="1"/>
  <c r="L741" i="1"/>
  <c r="K741" i="1"/>
  <c r="J741" i="1"/>
  <c r="I741" i="1" a="1"/>
  <c r="I741" i="1" s="1"/>
  <c r="G741" i="1" a="1"/>
  <c r="G741" i="1" s="1"/>
  <c r="F741" i="1" a="1"/>
  <c r="F741" i="1" s="1"/>
  <c r="M740" i="1" a="1"/>
  <c r="M740" i="1" s="1"/>
  <c r="Q740" i="1" s="1"/>
  <c r="L740" i="1"/>
  <c r="K740" i="1"/>
  <c r="J740" i="1"/>
  <c r="I740" i="1" a="1"/>
  <c r="I740" i="1" s="1"/>
  <c r="G740" i="1" a="1"/>
  <c r="G740" i="1" s="1"/>
  <c r="F740" i="1" a="1"/>
  <c r="F740" i="1" s="1"/>
  <c r="M739" i="1" a="1"/>
  <c r="M739" i="1" s="1"/>
  <c r="Q739" i="1" s="1"/>
  <c r="L739" i="1"/>
  <c r="K739" i="1"/>
  <c r="J739" i="1"/>
  <c r="I739" i="1"/>
  <c r="I739" i="1" a="1"/>
  <c r="G739" i="1" a="1"/>
  <c r="G739" i="1" s="1"/>
  <c r="F739" i="1" a="1"/>
  <c r="F739" i="1" s="1"/>
  <c r="M738" i="1" a="1"/>
  <c r="M738" i="1" s="1"/>
  <c r="U738" i="1" s="1" a="1"/>
  <c r="U738" i="1" s="1"/>
  <c r="L738" i="1"/>
  <c r="K738" i="1"/>
  <c r="J738" i="1"/>
  <c r="I738" i="1" a="1"/>
  <c r="I738" i="1" s="1"/>
  <c r="G738" i="1" a="1"/>
  <c r="G738" i="1" s="1"/>
  <c r="F738" i="1" a="1"/>
  <c r="F738" i="1" s="1"/>
  <c r="M737" i="1" a="1"/>
  <c r="M737" i="1" s="1"/>
  <c r="L737" i="1"/>
  <c r="K737" i="1"/>
  <c r="J737" i="1"/>
  <c r="I737" i="1" a="1"/>
  <c r="I737" i="1" s="1"/>
  <c r="G737" i="1" a="1"/>
  <c r="G737" i="1" s="1"/>
  <c r="F737" i="1" a="1"/>
  <c r="F737" i="1" s="1"/>
  <c r="M736" i="1" a="1"/>
  <c r="M736" i="1" s="1"/>
  <c r="Q736" i="1" s="1"/>
  <c r="L736" i="1"/>
  <c r="K736" i="1"/>
  <c r="J736" i="1"/>
  <c r="I736" i="1" a="1"/>
  <c r="I736" i="1" s="1"/>
  <c r="G736" i="1" a="1"/>
  <c r="G736" i="1" s="1"/>
  <c r="F736" i="1" a="1"/>
  <c r="F736" i="1" s="1"/>
  <c r="M735" i="1" a="1"/>
  <c r="M735" i="1" s="1"/>
  <c r="S735" i="1" s="1" a="1"/>
  <c r="S735" i="1" s="1"/>
  <c r="L735" i="1"/>
  <c r="K735" i="1"/>
  <c r="J735" i="1"/>
  <c r="I735" i="1" a="1"/>
  <c r="I735" i="1" s="1"/>
  <c r="G735" i="1" a="1"/>
  <c r="G735" i="1" s="1"/>
  <c r="F735" i="1" a="1"/>
  <c r="F735" i="1" s="1"/>
  <c r="M734" i="1" a="1"/>
  <c r="M734" i="1" s="1"/>
  <c r="S734" i="1" s="1" a="1"/>
  <c r="S734" i="1" s="1"/>
  <c r="L734" i="1"/>
  <c r="K734" i="1"/>
  <c r="J734" i="1"/>
  <c r="I734" i="1" a="1"/>
  <c r="I734" i="1" s="1"/>
  <c r="G734" i="1" a="1"/>
  <c r="G734" i="1" s="1"/>
  <c r="F734" i="1" a="1"/>
  <c r="F734" i="1" s="1"/>
  <c r="M733" i="1" a="1"/>
  <c r="M733" i="1" s="1"/>
  <c r="Q733" i="1" s="1"/>
  <c r="L733" i="1"/>
  <c r="K733" i="1"/>
  <c r="J733" i="1"/>
  <c r="I733" i="1" a="1"/>
  <c r="I733" i="1" s="1"/>
  <c r="G733" i="1" a="1"/>
  <c r="G733" i="1" s="1"/>
  <c r="F733" i="1" a="1"/>
  <c r="F733" i="1" s="1"/>
  <c r="M732" i="1" a="1"/>
  <c r="M732" i="1" s="1"/>
  <c r="Q732" i="1" s="1"/>
  <c r="L732" i="1"/>
  <c r="K732" i="1"/>
  <c r="J732" i="1"/>
  <c r="I732" i="1" a="1"/>
  <c r="I732" i="1" s="1"/>
  <c r="G732" i="1" a="1"/>
  <c r="G732" i="1" s="1"/>
  <c r="F732" i="1" a="1"/>
  <c r="F732" i="1" s="1"/>
  <c r="M731" i="1"/>
  <c r="T731" i="1" s="1" a="1"/>
  <c r="T731" i="1" s="1"/>
  <c r="M731" i="1" a="1"/>
  <c r="L731" i="1"/>
  <c r="K731" i="1"/>
  <c r="J731" i="1"/>
  <c r="I731" i="1" a="1"/>
  <c r="I731" i="1" s="1"/>
  <c r="G731" i="1" a="1"/>
  <c r="G731" i="1" s="1"/>
  <c r="F731" i="1" a="1"/>
  <c r="F731" i="1" s="1"/>
  <c r="M730" i="1" a="1"/>
  <c r="M730" i="1" s="1"/>
  <c r="U730" i="1" s="1" a="1"/>
  <c r="U730" i="1" s="1"/>
  <c r="L730" i="1"/>
  <c r="K730" i="1"/>
  <c r="J730" i="1"/>
  <c r="I730" i="1" a="1"/>
  <c r="I730" i="1" s="1"/>
  <c r="G730" i="1" a="1"/>
  <c r="G730" i="1" s="1"/>
  <c r="F730" i="1" a="1"/>
  <c r="F730" i="1" s="1"/>
  <c r="M729" i="1" a="1"/>
  <c r="M729" i="1" s="1"/>
  <c r="T729" i="1" s="1" a="1"/>
  <c r="T729" i="1" s="1"/>
  <c r="L729" i="1"/>
  <c r="K729" i="1"/>
  <c r="J729" i="1"/>
  <c r="I729" i="1" a="1"/>
  <c r="I729" i="1" s="1"/>
  <c r="G729" i="1" a="1"/>
  <c r="G729" i="1" s="1"/>
  <c r="F729" i="1" a="1"/>
  <c r="F729" i="1" s="1"/>
  <c r="M728" i="1" a="1"/>
  <c r="M728" i="1" s="1"/>
  <c r="Q728" i="1" s="1"/>
  <c r="L728" i="1"/>
  <c r="K728" i="1"/>
  <c r="J728" i="1"/>
  <c r="I728" i="1" a="1"/>
  <c r="I728" i="1" s="1"/>
  <c r="G728" i="1" a="1"/>
  <c r="G728" i="1" s="1"/>
  <c r="F728" i="1" a="1"/>
  <c r="F728" i="1" s="1"/>
  <c r="M727" i="1" a="1"/>
  <c r="M727" i="1" s="1"/>
  <c r="U727" i="1" s="1" a="1"/>
  <c r="U727" i="1" s="1"/>
  <c r="L727" i="1"/>
  <c r="K727" i="1"/>
  <c r="J727" i="1"/>
  <c r="I727" i="1" a="1"/>
  <c r="I727" i="1" s="1"/>
  <c r="G727" i="1" a="1"/>
  <c r="G727" i="1" s="1"/>
  <c r="F727" i="1" a="1"/>
  <c r="F727" i="1" s="1"/>
  <c r="M726" i="1" a="1"/>
  <c r="M726" i="1" s="1"/>
  <c r="Q726" i="1" s="1"/>
  <c r="L726" i="1"/>
  <c r="K726" i="1"/>
  <c r="J726" i="1"/>
  <c r="I726" i="1" a="1"/>
  <c r="I726" i="1" s="1"/>
  <c r="G726" i="1" a="1"/>
  <c r="G726" i="1" s="1"/>
  <c r="F726" i="1" a="1"/>
  <c r="F726" i="1" s="1"/>
  <c r="M725" i="1" a="1"/>
  <c r="M725" i="1" s="1"/>
  <c r="L725" i="1"/>
  <c r="K725" i="1"/>
  <c r="J725" i="1"/>
  <c r="I725" i="1" a="1"/>
  <c r="I725" i="1" s="1"/>
  <c r="G725" i="1" a="1"/>
  <c r="G725" i="1" s="1"/>
  <c r="F725" i="1" a="1"/>
  <c r="F725" i="1" s="1"/>
  <c r="M724" i="1" a="1"/>
  <c r="M724" i="1" s="1"/>
  <c r="L724" i="1"/>
  <c r="K724" i="1"/>
  <c r="J724" i="1"/>
  <c r="I724" i="1" a="1"/>
  <c r="I724" i="1" s="1"/>
  <c r="G724" i="1" a="1"/>
  <c r="G724" i="1" s="1"/>
  <c r="F724" i="1" a="1"/>
  <c r="F724" i="1" s="1"/>
  <c r="M723" i="1" a="1"/>
  <c r="M723" i="1" s="1"/>
  <c r="O723" i="1" s="1" a="1"/>
  <c r="O723" i="1" s="1"/>
  <c r="L723" i="1"/>
  <c r="K723" i="1"/>
  <c r="J723" i="1"/>
  <c r="I723" i="1" a="1"/>
  <c r="I723" i="1" s="1"/>
  <c r="G723" i="1" a="1"/>
  <c r="G723" i="1" s="1"/>
  <c r="F723" i="1" a="1"/>
  <c r="F723" i="1" s="1"/>
  <c r="M722" i="1" a="1"/>
  <c r="M722" i="1" s="1"/>
  <c r="P722" i="1" s="1"/>
  <c r="L722" i="1"/>
  <c r="K722" i="1"/>
  <c r="J722" i="1"/>
  <c r="I722" i="1" a="1"/>
  <c r="I722" i="1" s="1"/>
  <c r="G722" i="1" a="1"/>
  <c r="G722" i="1" s="1"/>
  <c r="F722" i="1" a="1"/>
  <c r="F722" i="1" s="1"/>
  <c r="M721" i="1" a="1"/>
  <c r="M721" i="1" s="1"/>
  <c r="Q721" i="1" s="1"/>
  <c r="L721" i="1"/>
  <c r="K721" i="1"/>
  <c r="J721" i="1"/>
  <c r="I721" i="1"/>
  <c r="I721" i="1" a="1"/>
  <c r="G721" i="1" a="1"/>
  <c r="G721" i="1" s="1"/>
  <c r="F721" i="1" a="1"/>
  <c r="F721" i="1" s="1"/>
  <c r="M720" i="1" a="1"/>
  <c r="M720" i="1" s="1"/>
  <c r="L720" i="1"/>
  <c r="K720" i="1"/>
  <c r="J720" i="1"/>
  <c r="I720" i="1" a="1"/>
  <c r="I720" i="1" s="1"/>
  <c r="G720" i="1" a="1"/>
  <c r="G720" i="1" s="1"/>
  <c r="F720" i="1" a="1"/>
  <c r="F720" i="1" s="1"/>
  <c r="M719" i="1" a="1"/>
  <c r="M719" i="1" s="1"/>
  <c r="Q719" i="1" s="1"/>
  <c r="L719" i="1"/>
  <c r="K719" i="1"/>
  <c r="J719" i="1"/>
  <c r="I719" i="1" a="1"/>
  <c r="I719" i="1" s="1"/>
  <c r="G719" i="1" a="1"/>
  <c r="G719" i="1" s="1"/>
  <c r="F719" i="1" a="1"/>
  <c r="F719" i="1" s="1"/>
  <c r="M718" i="1" a="1"/>
  <c r="M718" i="1" s="1"/>
  <c r="Q718" i="1" s="1"/>
  <c r="L718" i="1"/>
  <c r="K718" i="1"/>
  <c r="J718" i="1"/>
  <c r="I718" i="1" a="1"/>
  <c r="I718" i="1" s="1"/>
  <c r="G718" i="1" a="1"/>
  <c r="G718" i="1" s="1"/>
  <c r="F718" i="1" a="1"/>
  <c r="F718" i="1" s="1"/>
  <c r="M717" i="1" a="1"/>
  <c r="M717" i="1" s="1"/>
  <c r="Q717" i="1" s="1"/>
  <c r="L717" i="1"/>
  <c r="K717" i="1"/>
  <c r="J717" i="1"/>
  <c r="I717" i="1" a="1"/>
  <c r="I717" i="1" s="1"/>
  <c r="G717" i="1" a="1"/>
  <c r="G717" i="1" s="1"/>
  <c r="F717" i="1" a="1"/>
  <c r="F717" i="1" s="1"/>
  <c r="M716" i="1" a="1"/>
  <c r="M716" i="1" s="1"/>
  <c r="Q716" i="1" s="1"/>
  <c r="L716" i="1"/>
  <c r="K716" i="1"/>
  <c r="J716" i="1"/>
  <c r="I716" i="1" a="1"/>
  <c r="I716" i="1" s="1"/>
  <c r="G716" i="1" a="1"/>
  <c r="G716" i="1" s="1"/>
  <c r="F716" i="1" a="1"/>
  <c r="F716" i="1" s="1"/>
  <c r="M715" i="1" a="1"/>
  <c r="M715" i="1" s="1"/>
  <c r="U715" i="1" s="1" a="1"/>
  <c r="U715" i="1" s="1"/>
  <c r="L715" i="1"/>
  <c r="K715" i="1"/>
  <c r="J715" i="1"/>
  <c r="I715" i="1" a="1"/>
  <c r="I715" i="1" s="1"/>
  <c r="G715" i="1" a="1"/>
  <c r="G715" i="1" s="1"/>
  <c r="F715" i="1" a="1"/>
  <c r="F715" i="1" s="1"/>
  <c r="M714" i="1" a="1"/>
  <c r="M714" i="1" s="1"/>
  <c r="L714" i="1"/>
  <c r="K714" i="1"/>
  <c r="J714" i="1"/>
  <c r="I714" i="1" a="1"/>
  <c r="I714" i="1" s="1"/>
  <c r="G714" i="1" a="1"/>
  <c r="G714" i="1" s="1"/>
  <c r="F714" i="1" a="1"/>
  <c r="F714" i="1" s="1"/>
  <c r="M713" i="1" a="1"/>
  <c r="M713" i="1" s="1"/>
  <c r="L713" i="1"/>
  <c r="K713" i="1"/>
  <c r="J713" i="1"/>
  <c r="I713" i="1" a="1"/>
  <c r="I713" i="1" s="1"/>
  <c r="G713" i="1" a="1"/>
  <c r="G713" i="1" s="1"/>
  <c r="F713" i="1" a="1"/>
  <c r="F713" i="1" s="1"/>
  <c r="M712" i="1" a="1"/>
  <c r="M712" i="1" s="1"/>
  <c r="Q712" i="1" s="1"/>
  <c r="L712" i="1"/>
  <c r="K712" i="1"/>
  <c r="J712" i="1"/>
  <c r="I712" i="1"/>
  <c r="I712" i="1" a="1"/>
  <c r="G712" i="1" a="1"/>
  <c r="G712" i="1" s="1"/>
  <c r="F712" i="1" a="1"/>
  <c r="F712" i="1" s="1"/>
  <c r="M711" i="1" a="1"/>
  <c r="M711" i="1" s="1"/>
  <c r="Q711" i="1" s="1"/>
  <c r="L711" i="1"/>
  <c r="K711" i="1"/>
  <c r="J711" i="1"/>
  <c r="I711" i="1" a="1"/>
  <c r="I711" i="1" s="1"/>
  <c r="G711" i="1" a="1"/>
  <c r="G711" i="1" s="1"/>
  <c r="F711" i="1" a="1"/>
  <c r="F711" i="1" s="1"/>
  <c r="M710" i="1" a="1"/>
  <c r="M710" i="1" s="1"/>
  <c r="L710" i="1"/>
  <c r="K710" i="1"/>
  <c r="J710" i="1"/>
  <c r="I710" i="1" a="1"/>
  <c r="I710" i="1" s="1"/>
  <c r="G710" i="1" a="1"/>
  <c r="G710" i="1" s="1"/>
  <c r="F710" i="1" a="1"/>
  <c r="F710" i="1" s="1"/>
  <c r="M709" i="1" a="1"/>
  <c r="M709" i="1" s="1"/>
  <c r="Q709" i="1" s="1"/>
  <c r="L709" i="1"/>
  <c r="K709" i="1"/>
  <c r="J709" i="1"/>
  <c r="I709" i="1"/>
  <c r="I709" i="1" a="1"/>
  <c r="G709" i="1" a="1"/>
  <c r="G709" i="1" s="1"/>
  <c r="F709" i="1" a="1"/>
  <c r="F709" i="1" s="1"/>
  <c r="M708" i="1" a="1"/>
  <c r="M708" i="1" s="1"/>
  <c r="Q708" i="1" s="1"/>
  <c r="L708" i="1"/>
  <c r="K708" i="1"/>
  <c r="J708" i="1"/>
  <c r="I708" i="1" a="1"/>
  <c r="I708" i="1" s="1"/>
  <c r="G708" i="1" a="1"/>
  <c r="G708" i="1" s="1"/>
  <c r="F708" i="1" a="1"/>
  <c r="F708" i="1" s="1"/>
  <c r="M707" i="1" a="1"/>
  <c r="M707" i="1" s="1"/>
  <c r="Q707" i="1" s="1"/>
  <c r="L707" i="1"/>
  <c r="K707" i="1"/>
  <c r="J707" i="1"/>
  <c r="I707" i="1"/>
  <c r="I707" i="1" a="1"/>
  <c r="G707" i="1" a="1"/>
  <c r="G707" i="1" s="1"/>
  <c r="F707" i="1" a="1"/>
  <c r="F707" i="1" s="1"/>
  <c r="M706" i="1" a="1"/>
  <c r="M706" i="1" s="1"/>
  <c r="Q706" i="1" s="1"/>
  <c r="L706" i="1"/>
  <c r="K706" i="1"/>
  <c r="J706" i="1"/>
  <c r="I706" i="1" a="1"/>
  <c r="I706" i="1" s="1"/>
  <c r="G706" i="1" a="1"/>
  <c r="G706" i="1" s="1"/>
  <c r="F706" i="1" a="1"/>
  <c r="F706" i="1" s="1"/>
  <c r="M705" i="1" a="1"/>
  <c r="M705" i="1" s="1"/>
  <c r="Q705" i="1" s="1"/>
  <c r="L705" i="1"/>
  <c r="K705" i="1"/>
  <c r="J705" i="1"/>
  <c r="I705" i="1" a="1"/>
  <c r="I705" i="1" s="1"/>
  <c r="G705" i="1" a="1"/>
  <c r="G705" i="1" s="1"/>
  <c r="F705" i="1" a="1"/>
  <c r="F705" i="1" s="1"/>
  <c r="M704" i="1" a="1"/>
  <c r="M704" i="1" s="1"/>
  <c r="Q704" i="1" s="1"/>
  <c r="L704" i="1"/>
  <c r="K704" i="1"/>
  <c r="J704" i="1"/>
  <c r="I704" i="1" a="1"/>
  <c r="I704" i="1" s="1"/>
  <c r="G704" i="1" a="1"/>
  <c r="G704" i="1" s="1"/>
  <c r="F704" i="1" a="1"/>
  <c r="F704" i="1" s="1"/>
  <c r="M703" i="1" a="1"/>
  <c r="M703" i="1" s="1"/>
  <c r="Q703" i="1" s="1"/>
  <c r="L703" i="1"/>
  <c r="K703" i="1"/>
  <c r="J703" i="1"/>
  <c r="I703" i="1" a="1"/>
  <c r="I703" i="1" s="1"/>
  <c r="G703" i="1" a="1"/>
  <c r="G703" i="1" s="1"/>
  <c r="F703" i="1" a="1"/>
  <c r="F703" i="1" s="1"/>
  <c r="M702" i="1" a="1"/>
  <c r="M702" i="1" s="1"/>
  <c r="L702" i="1"/>
  <c r="K702" i="1"/>
  <c r="J702" i="1"/>
  <c r="I702" i="1" a="1"/>
  <c r="I702" i="1" s="1"/>
  <c r="G702" i="1" a="1"/>
  <c r="G702" i="1" s="1"/>
  <c r="F702" i="1" a="1"/>
  <c r="F702" i="1" s="1"/>
  <c r="M701" i="1" a="1"/>
  <c r="M701" i="1" s="1"/>
  <c r="Q701" i="1" s="1"/>
  <c r="L701" i="1"/>
  <c r="K701" i="1"/>
  <c r="J701" i="1"/>
  <c r="I701" i="1"/>
  <c r="I701" i="1" a="1"/>
  <c r="G701" i="1" a="1"/>
  <c r="G701" i="1" s="1"/>
  <c r="F701" i="1" a="1"/>
  <c r="F701" i="1" s="1"/>
  <c r="M700" i="1" a="1"/>
  <c r="M700" i="1" s="1"/>
  <c r="L700" i="1"/>
  <c r="K700" i="1"/>
  <c r="J700" i="1"/>
  <c r="I700" i="1" a="1"/>
  <c r="I700" i="1" s="1"/>
  <c r="G700" i="1" a="1"/>
  <c r="G700" i="1" s="1"/>
  <c r="F700" i="1" a="1"/>
  <c r="F700" i="1" s="1"/>
  <c r="M699" i="1" a="1"/>
  <c r="M699" i="1" s="1"/>
  <c r="Q699" i="1" s="1"/>
  <c r="L699" i="1"/>
  <c r="K699" i="1"/>
  <c r="J699" i="1"/>
  <c r="I699" i="1" a="1"/>
  <c r="I699" i="1" s="1"/>
  <c r="G699" i="1" a="1"/>
  <c r="G699" i="1" s="1"/>
  <c r="F699" i="1" a="1"/>
  <c r="F699" i="1" s="1"/>
  <c r="M698" i="1" a="1"/>
  <c r="M698" i="1" s="1"/>
  <c r="T698" i="1" s="1" a="1"/>
  <c r="T698" i="1" s="1"/>
  <c r="L698" i="1"/>
  <c r="K698" i="1"/>
  <c r="J698" i="1"/>
  <c r="I698" i="1" a="1"/>
  <c r="I698" i="1" s="1"/>
  <c r="G698" i="1" a="1"/>
  <c r="G698" i="1" s="1"/>
  <c r="F698" i="1" a="1"/>
  <c r="F698" i="1" s="1"/>
  <c r="M697" i="1" a="1"/>
  <c r="M697" i="1" s="1"/>
  <c r="Q697" i="1" s="1"/>
  <c r="L697" i="1"/>
  <c r="K697" i="1"/>
  <c r="J697" i="1"/>
  <c r="I697" i="1" a="1"/>
  <c r="I697" i="1" s="1"/>
  <c r="G697" i="1" a="1"/>
  <c r="G697" i="1" s="1"/>
  <c r="F697" i="1" a="1"/>
  <c r="F697" i="1" s="1"/>
  <c r="M696" i="1" a="1"/>
  <c r="M696" i="1" s="1"/>
  <c r="L696" i="1"/>
  <c r="K696" i="1"/>
  <c r="J696" i="1"/>
  <c r="I696" i="1" a="1"/>
  <c r="I696" i="1" s="1"/>
  <c r="G696" i="1" a="1"/>
  <c r="G696" i="1" s="1"/>
  <c r="F696" i="1" a="1"/>
  <c r="F696" i="1" s="1"/>
  <c r="M695" i="1" a="1"/>
  <c r="M695" i="1" s="1"/>
  <c r="L695" i="1"/>
  <c r="K695" i="1"/>
  <c r="J695" i="1"/>
  <c r="I695" i="1" a="1"/>
  <c r="I695" i="1" s="1"/>
  <c r="G695" i="1" a="1"/>
  <c r="G695" i="1" s="1"/>
  <c r="F695" i="1" a="1"/>
  <c r="F695" i="1" s="1"/>
  <c r="M694" i="1" a="1"/>
  <c r="M694" i="1" s="1"/>
  <c r="L694" i="1"/>
  <c r="K694" i="1"/>
  <c r="J694" i="1"/>
  <c r="I694" i="1" a="1"/>
  <c r="I694" i="1" s="1"/>
  <c r="G694" i="1" a="1"/>
  <c r="G694" i="1" s="1"/>
  <c r="F694" i="1" a="1"/>
  <c r="F694" i="1" s="1"/>
  <c r="M693" i="1" a="1"/>
  <c r="M693" i="1" s="1"/>
  <c r="Q693" i="1" s="1"/>
  <c r="L693" i="1"/>
  <c r="K693" i="1"/>
  <c r="J693" i="1"/>
  <c r="I693" i="1" a="1"/>
  <c r="I693" i="1" s="1"/>
  <c r="G693" i="1" a="1"/>
  <c r="G693" i="1" s="1"/>
  <c r="F693" i="1" a="1"/>
  <c r="F693" i="1" s="1"/>
  <c r="M692" i="1" a="1"/>
  <c r="M692" i="1" s="1"/>
  <c r="Q692" i="1" s="1"/>
  <c r="L692" i="1"/>
  <c r="K692" i="1"/>
  <c r="J692" i="1"/>
  <c r="I692" i="1" a="1"/>
  <c r="I692" i="1" s="1"/>
  <c r="G692" i="1" a="1"/>
  <c r="G692" i="1" s="1"/>
  <c r="F692" i="1" a="1"/>
  <c r="F692" i="1" s="1"/>
  <c r="M691" i="1" a="1"/>
  <c r="M691" i="1" s="1"/>
  <c r="Q691" i="1" s="1"/>
  <c r="L691" i="1"/>
  <c r="K691" i="1"/>
  <c r="J691" i="1"/>
  <c r="I691" i="1" a="1"/>
  <c r="I691" i="1" s="1"/>
  <c r="G691" i="1" a="1"/>
  <c r="G691" i="1" s="1"/>
  <c r="F691" i="1" a="1"/>
  <c r="F691" i="1" s="1"/>
  <c r="M690" i="1" a="1"/>
  <c r="M690" i="1" s="1"/>
  <c r="S690" i="1" s="1" a="1"/>
  <c r="S690" i="1" s="1"/>
  <c r="L690" i="1"/>
  <c r="K690" i="1"/>
  <c r="J690" i="1"/>
  <c r="I690" i="1" a="1"/>
  <c r="I690" i="1" s="1"/>
  <c r="G690" i="1" a="1"/>
  <c r="G690" i="1" s="1"/>
  <c r="F690" i="1" a="1"/>
  <c r="F690" i="1" s="1"/>
  <c r="M689" i="1" a="1"/>
  <c r="M689" i="1" s="1"/>
  <c r="S689" i="1" s="1" a="1"/>
  <c r="S689" i="1" s="1"/>
  <c r="L689" i="1"/>
  <c r="K689" i="1"/>
  <c r="J689" i="1"/>
  <c r="I689" i="1" a="1"/>
  <c r="I689" i="1" s="1"/>
  <c r="G689" i="1" a="1"/>
  <c r="G689" i="1" s="1"/>
  <c r="F689" i="1" a="1"/>
  <c r="F689" i="1" s="1"/>
  <c r="M688" i="1" a="1"/>
  <c r="M688" i="1" s="1"/>
  <c r="Q688" i="1" s="1"/>
  <c r="L688" i="1"/>
  <c r="K688" i="1"/>
  <c r="J688" i="1"/>
  <c r="I688" i="1" a="1"/>
  <c r="I688" i="1" s="1"/>
  <c r="G688" i="1" a="1"/>
  <c r="G688" i="1" s="1"/>
  <c r="F688" i="1" a="1"/>
  <c r="F688" i="1" s="1"/>
  <c r="M687" i="1" a="1"/>
  <c r="M687" i="1" s="1"/>
  <c r="Q687" i="1" s="1"/>
  <c r="L687" i="1"/>
  <c r="K687" i="1"/>
  <c r="J687" i="1"/>
  <c r="I687" i="1" a="1"/>
  <c r="I687" i="1" s="1"/>
  <c r="G687" i="1" a="1"/>
  <c r="G687" i="1" s="1"/>
  <c r="F687" i="1" a="1"/>
  <c r="F687" i="1" s="1"/>
  <c r="M686" i="1" a="1"/>
  <c r="M686" i="1" s="1"/>
  <c r="Q686" i="1" s="1"/>
  <c r="L686" i="1"/>
  <c r="K686" i="1"/>
  <c r="J686" i="1"/>
  <c r="I686" i="1" a="1"/>
  <c r="I686" i="1" s="1"/>
  <c r="G686" i="1" a="1"/>
  <c r="G686" i="1" s="1"/>
  <c r="F686" i="1" a="1"/>
  <c r="F686" i="1" s="1"/>
  <c r="M685" i="1" a="1"/>
  <c r="M685" i="1" s="1"/>
  <c r="U685" i="1" s="1" a="1"/>
  <c r="U685" i="1" s="1"/>
  <c r="L685" i="1"/>
  <c r="K685" i="1"/>
  <c r="J685" i="1"/>
  <c r="I685" i="1" a="1"/>
  <c r="I685" i="1" s="1"/>
  <c r="G685" i="1" a="1"/>
  <c r="G685" i="1" s="1"/>
  <c r="F685" i="1" a="1"/>
  <c r="F685" i="1" s="1"/>
  <c r="M684" i="1" a="1"/>
  <c r="M684" i="1" s="1"/>
  <c r="O684" i="1" s="1" a="1"/>
  <c r="O684" i="1" s="1"/>
  <c r="L684" i="1"/>
  <c r="K684" i="1"/>
  <c r="J684" i="1"/>
  <c r="I684" i="1"/>
  <c r="I684" i="1" a="1"/>
  <c r="G684" i="1" a="1"/>
  <c r="G684" i="1" s="1"/>
  <c r="F684" i="1" a="1"/>
  <c r="F684" i="1" s="1"/>
  <c r="M683" i="1" a="1"/>
  <c r="M683" i="1" s="1"/>
  <c r="Q683" i="1" s="1"/>
  <c r="L683" i="1"/>
  <c r="K683" i="1"/>
  <c r="J683" i="1"/>
  <c r="I683" i="1" a="1"/>
  <c r="I683" i="1" s="1"/>
  <c r="G683" i="1" a="1"/>
  <c r="G683" i="1" s="1"/>
  <c r="F683" i="1" a="1"/>
  <c r="F683" i="1" s="1"/>
  <c r="M682" i="1" a="1"/>
  <c r="M682" i="1" s="1"/>
  <c r="O682" i="1" s="1" a="1"/>
  <c r="O682" i="1" s="1"/>
  <c r="L682" i="1"/>
  <c r="K682" i="1"/>
  <c r="J682" i="1"/>
  <c r="I682" i="1" a="1"/>
  <c r="I682" i="1" s="1"/>
  <c r="G682" i="1" a="1"/>
  <c r="G682" i="1" s="1"/>
  <c r="F682" i="1" a="1"/>
  <c r="F682" i="1" s="1"/>
  <c r="M681" i="1" a="1"/>
  <c r="M681" i="1" s="1"/>
  <c r="L681" i="1"/>
  <c r="K681" i="1"/>
  <c r="J681" i="1"/>
  <c r="I681" i="1" a="1"/>
  <c r="I681" i="1" s="1"/>
  <c r="G681" i="1" a="1"/>
  <c r="G681" i="1" s="1"/>
  <c r="F681" i="1" a="1"/>
  <c r="F681" i="1" s="1"/>
  <c r="M680" i="1" a="1"/>
  <c r="M680" i="1" s="1"/>
  <c r="Q680" i="1" s="1"/>
  <c r="L680" i="1"/>
  <c r="K680" i="1"/>
  <c r="J680" i="1"/>
  <c r="I680" i="1" a="1"/>
  <c r="I680" i="1" s="1"/>
  <c r="G680" i="1" a="1"/>
  <c r="G680" i="1" s="1"/>
  <c r="F680" i="1" a="1"/>
  <c r="F680" i="1" s="1"/>
  <c r="M679" i="1" a="1"/>
  <c r="M679" i="1" s="1"/>
  <c r="Q679" i="1" s="1"/>
  <c r="L679" i="1"/>
  <c r="K679" i="1"/>
  <c r="J679" i="1"/>
  <c r="I679" i="1" a="1"/>
  <c r="I679" i="1" s="1"/>
  <c r="G679" i="1" a="1"/>
  <c r="G679" i="1" s="1"/>
  <c r="F679" i="1" a="1"/>
  <c r="F679" i="1" s="1"/>
  <c r="M678" i="1" a="1"/>
  <c r="M678" i="1" s="1"/>
  <c r="Q678" i="1" s="1"/>
  <c r="L678" i="1"/>
  <c r="K678" i="1"/>
  <c r="J678" i="1"/>
  <c r="I678" i="1" a="1"/>
  <c r="I678" i="1" s="1"/>
  <c r="G678" i="1" a="1"/>
  <c r="G678" i="1" s="1"/>
  <c r="F678" i="1" a="1"/>
  <c r="F678" i="1" s="1"/>
  <c r="M677" i="1" a="1"/>
  <c r="M677" i="1" s="1"/>
  <c r="L677" i="1"/>
  <c r="K677" i="1"/>
  <c r="J677" i="1"/>
  <c r="I677" i="1"/>
  <c r="I677" i="1" a="1"/>
  <c r="G677" i="1" a="1"/>
  <c r="G677" i="1" s="1"/>
  <c r="F677" i="1" a="1"/>
  <c r="F677" i="1" s="1"/>
  <c r="M676" i="1" a="1"/>
  <c r="M676" i="1" s="1"/>
  <c r="Q676" i="1" s="1"/>
  <c r="L676" i="1"/>
  <c r="K676" i="1"/>
  <c r="J676" i="1"/>
  <c r="I676" i="1" a="1"/>
  <c r="I676" i="1" s="1"/>
  <c r="G676" i="1" a="1"/>
  <c r="G676" i="1" s="1"/>
  <c r="F676" i="1" a="1"/>
  <c r="F676" i="1" s="1"/>
  <c r="M675" i="1" a="1"/>
  <c r="M675" i="1" s="1"/>
  <c r="Q675" i="1" s="1"/>
  <c r="L675" i="1"/>
  <c r="K675" i="1"/>
  <c r="J675" i="1"/>
  <c r="I675" i="1" a="1"/>
  <c r="I675" i="1" s="1"/>
  <c r="G675" i="1" a="1"/>
  <c r="G675" i="1" s="1"/>
  <c r="F675" i="1" a="1"/>
  <c r="F675" i="1" s="1"/>
  <c r="M674" i="1" a="1"/>
  <c r="M674" i="1" s="1"/>
  <c r="U674" i="1" s="1" a="1"/>
  <c r="U674" i="1" s="1"/>
  <c r="L674" i="1"/>
  <c r="K674" i="1"/>
  <c r="J674" i="1"/>
  <c r="I674" i="1" a="1"/>
  <c r="I674" i="1" s="1"/>
  <c r="G674" i="1" a="1"/>
  <c r="G674" i="1" s="1"/>
  <c r="F674" i="1" a="1"/>
  <c r="F674" i="1" s="1"/>
  <c r="M673" i="1" a="1"/>
  <c r="M673" i="1" s="1"/>
  <c r="Q673" i="1" s="1"/>
  <c r="L673" i="1"/>
  <c r="K673" i="1"/>
  <c r="J673" i="1"/>
  <c r="I673" i="1" a="1"/>
  <c r="I673" i="1" s="1"/>
  <c r="G673" i="1" a="1"/>
  <c r="G673" i="1" s="1"/>
  <c r="F673" i="1" a="1"/>
  <c r="F673" i="1" s="1"/>
  <c r="M672" i="1" a="1"/>
  <c r="M672" i="1" s="1"/>
  <c r="L672" i="1"/>
  <c r="K672" i="1"/>
  <c r="J672" i="1"/>
  <c r="I672" i="1" a="1"/>
  <c r="I672" i="1" s="1"/>
  <c r="G672" i="1" a="1"/>
  <c r="G672" i="1" s="1"/>
  <c r="F672" i="1" a="1"/>
  <c r="F672" i="1" s="1"/>
  <c r="M671" i="1" a="1"/>
  <c r="M671" i="1" s="1"/>
  <c r="L671" i="1"/>
  <c r="K671" i="1"/>
  <c r="J671" i="1"/>
  <c r="I671" i="1" a="1"/>
  <c r="I671" i="1" s="1"/>
  <c r="G671" i="1" a="1"/>
  <c r="G671" i="1" s="1"/>
  <c r="F671" i="1" a="1"/>
  <c r="F671" i="1" s="1"/>
  <c r="M670" i="1" a="1"/>
  <c r="M670" i="1" s="1"/>
  <c r="O670" i="1" s="1" a="1"/>
  <c r="O670" i="1" s="1"/>
  <c r="L670" i="1"/>
  <c r="K670" i="1"/>
  <c r="J670" i="1"/>
  <c r="I670" i="1" a="1"/>
  <c r="I670" i="1" s="1"/>
  <c r="G670" i="1" a="1"/>
  <c r="G670" i="1" s="1"/>
  <c r="F670" i="1" a="1"/>
  <c r="F670" i="1" s="1"/>
  <c r="M669" i="1" a="1"/>
  <c r="M669" i="1" s="1"/>
  <c r="O669" i="1" s="1" a="1"/>
  <c r="O669" i="1" s="1"/>
  <c r="L669" i="1"/>
  <c r="K669" i="1"/>
  <c r="J669" i="1"/>
  <c r="I669" i="1" a="1"/>
  <c r="I669" i="1" s="1"/>
  <c r="G669" i="1" a="1"/>
  <c r="G669" i="1" s="1"/>
  <c r="F669" i="1" a="1"/>
  <c r="F669" i="1" s="1"/>
  <c r="M668" i="1" a="1"/>
  <c r="M668" i="1" s="1"/>
  <c r="L668" i="1"/>
  <c r="K668" i="1"/>
  <c r="J668" i="1"/>
  <c r="I668" i="1" a="1"/>
  <c r="I668" i="1" s="1"/>
  <c r="G668" i="1" a="1"/>
  <c r="G668" i="1" s="1"/>
  <c r="F668" i="1" a="1"/>
  <c r="F668" i="1" s="1"/>
  <c r="M667" i="1" a="1"/>
  <c r="M667" i="1" s="1"/>
  <c r="Q667" i="1" s="1"/>
  <c r="L667" i="1"/>
  <c r="K667" i="1"/>
  <c r="J667" i="1"/>
  <c r="I667" i="1" a="1"/>
  <c r="I667" i="1" s="1"/>
  <c r="G667" i="1" a="1"/>
  <c r="G667" i="1" s="1"/>
  <c r="F667" i="1" a="1"/>
  <c r="F667" i="1" s="1"/>
  <c r="M666" i="1" a="1"/>
  <c r="M666" i="1" s="1"/>
  <c r="S666" i="1" s="1" a="1"/>
  <c r="S666" i="1" s="1"/>
  <c r="L666" i="1"/>
  <c r="K666" i="1"/>
  <c r="J666" i="1"/>
  <c r="I666" i="1" a="1"/>
  <c r="I666" i="1" s="1"/>
  <c r="G666" i="1" a="1"/>
  <c r="G666" i="1" s="1"/>
  <c r="F666" i="1" a="1"/>
  <c r="F666" i="1" s="1"/>
  <c r="M665" i="1" a="1"/>
  <c r="M665" i="1" s="1"/>
  <c r="Q665" i="1" s="1"/>
  <c r="L665" i="1"/>
  <c r="K665" i="1"/>
  <c r="J665" i="1"/>
  <c r="I665" i="1" a="1"/>
  <c r="I665" i="1" s="1"/>
  <c r="G665" i="1" a="1"/>
  <c r="G665" i="1" s="1"/>
  <c r="F665" i="1" a="1"/>
  <c r="F665" i="1" s="1"/>
  <c r="M664" i="1" a="1"/>
  <c r="M664" i="1" s="1"/>
  <c r="L664" i="1"/>
  <c r="K664" i="1"/>
  <c r="J664" i="1"/>
  <c r="I664" i="1" a="1"/>
  <c r="I664" i="1" s="1"/>
  <c r="G664" i="1" a="1"/>
  <c r="G664" i="1" s="1"/>
  <c r="F664" i="1" a="1"/>
  <c r="F664" i="1" s="1"/>
  <c r="M663" i="1" a="1"/>
  <c r="M663" i="1" s="1"/>
  <c r="Q663" i="1" s="1"/>
  <c r="L663" i="1"/>
  <c r="K663" i="1"/>
  <c r="J663" i="1"/>
  <c r="I663" i="1" a="1"/>
  <c r="I663" i="1" s="1"/>
  <c r="G663" i="1" a="1"/>
  <c r="G663" i="1" s="1"/>
  <c r="F663" i="1" a="1"/>
  <c r="F663" i="1" s="1"/>
  <c r="M662" i="1" a="1"/>
  <c r="M662" i="1" s="1"/>
  <c r="L662" i="1"/>
  <c r="K662" i="1"/>
  <c r="J662" i="1"/>
  <c r="I662" i="1" a="1"/>
  <c r="I662" i="1" s="1"/>
  <c r="G662" i="1" a="1"/>
  <c r="G662" i="1" s="1"/>
  <c r="F662" i="1" a="1"/>
  <c r="F662" i="1" s="1"/>
  <c r="M661" i="1"/>
  <c r="U661" i="1" s="1" a="1"/>
  <c r="U661" i="1" s="1"/>
  <c r="M661" i="1" a="1"/>
  <c r="L661" i="1"/>
  <c r="K661" i="1"/>
  <c r="J661" i="1"/>
  <c r="I661" i="1" a="1"/>
  <c r="I661" i="1" s="1"/>
  <c r="G661" i="1" a="1"/>
  <c r="G661" i="1" s="1"/>
  <c r="F661" i="1" a="1"/>
  <c r="F661" i="1" s="1"/>
  <c r="M660" i="1" a="1"/>
  <c r="M660" i="1" s="1"/>
  <c r="O660" i="1" s="1" a="1"/>
  <c r="O660" i="1" s="1"/>
  <c r="L660" i="1"/>
  <c r="K660" i="1"/>
  <c r="J660" i="1"/>
  <c r="I660" i="1" a="1"/>
  <c r="I660" i="1" s="1"/>
  <c r="G660" i="1" a="1"/>
  <c r="G660" i="1" s="1"/>
  <c r="F660" i="1" a="1"/>
  <c r="F660" i="1" s="1"/>
  <c r="M659" i="1" a="1"/>
  <c r="M659" i="1" s="1"/>
  <c r="Q659" i="1" s="1"/>
  <c r="L659" i="1"/>
  <c r="K659" i="1"/>
  <c r="J659" i="1"/>
  <c r="I659" i="1" a="1"/>
  <c r="I659" i="1" s="1"/>
  <c r="G659" i="1" a="1"/>
  <c r="G659" i="1" s="1"/>
  <c r="F659" i="1" a="1"/>
  <c r="F659" i="1" s="1"/>
  <c r="M658" i="1" a="1"/>
  <c r="M658" i="1" s="1"/>
  <c r="U658" i="1" s="1" a="1"/>
  <c r="U658" i="1" s="1"/>
  <c r="L658" i="1"/>
  <c r="K658" i="1"/>
  <c r="J658" i="1"/>
  <c r="I658" i="1" a="1"/>
  <c r="I658" i="1" s="1"/>
  <c r="G658" i="1" a="1"/>
  <c r="G658" i="1" s="1"/>
  <c r="F658" i="1" a="1"/>
  <c r="F658" i="1" s="1"/>
  <c r="M657" i="1" a="1"/>
  <c r="M657" i="1" s="1"/>
  <c r="Q657" i="1" s="1"/>
  <c r="L657" i="1"/>
  <c r="K657" i="1"/>
  <c r="J657" i="1"/>
  <c r="I657" i="1" a="1"/>
  <c r="I657" i="1" s="1"/>
  <c r="G657" i="1" a="1"/>
  <c r="G657" i="1" s="1"/>
  <c r="F657" i="1" a="1"/>
  <c r="F657" i="1" s="1"/>
  <c r="M656" i="1" a="1"/>
  <c r="M656" i="1" s="1"/>
  <c r="L656" i="1"/>
  <c r="K656" i="1"/>
  <c r="J656" i="1"/>
  <c r="I656" i="1" a="1"/>
  <c r="I656" i="1" s="1"/>
  <c r="G656" i="1" a="1"/>
  <c r="G656" i="1" s="1"/>
  <c r="F656" i="1" a="1"/>
  <c r="F656" i="1" s="1"/>
  <c r="M655" i="1" a="1"/>
  <c r="M655" i="1" s="1"/>
  <c r="L655" i="1"/>
  <c r="K655" i="1"/>
  <c r="J655" i="1"/>
  <c r="I655" i="1" a="1"/>
  <c r="I655" i="1" s="1"/>
  <c r="G655" i="1" a="1"/>
  <c r="G655" i="1" s="1"/>
  <c r="F655" i="1" a="1"/>
  <c r="F655" i="1" s="1"/>
  <c r="M654" i="1" a="1"/>
  <c r="M654" i="1" s="1"/>
  <c r="Q654" i="1" s="1"/>
  <c r="L654" i="1"/>
  <c r="K654" i="1"/>
  <c r="J654" i="1"/>
  <c r="I654" i="1" a="1"/>
  <c r="I654" i="1" s="1"/>
  <c r="G654" i="1" a="1"/>
  <c r="G654" i="1" s="1"/>
  <c r="F654" i="1" a="1"/>
  <c r="F654" i="1" s="1"/>
  <c r="M653" i="1" a="1"/>
  <c r="M653" i="1" s="1"/>
  <c r="Q653" i="1" s="1"/>
  <c r="L653" i="1"/>
  <c r="K653" i="1"/>
  <c r="J653" i="1"/>
  <c r="I653" i="1" a="1"/>
  <c r="I653" i="1" s="1"/>
  <c r="G653" i="1" a="1"/>
  <c r="G653" i="1" s="1"/>
  <c r="F653" i="1" a="1"/>
  <c r="F653" i="1" s="1"/>
  <c r="M652" i="1" a="1"/>
  <c r="M652" i="1" s="1"/>
  <c r="Q652" i="1" s="1"/>
  <c r="L652" i="1"/>
  <c r="K652" i="1"/>
  <c r="J652" i="1"/>
  <c r="I652" i="1" a="1"/>
  <c r="I652" i="1" s="1"/>
  <c r="G652" i="1" a="1"/>
  <c r="G652" i="1" s="1"/>
  <c r="F652" i="1" a="1"/>
  <c r="F652" i="1" s="1"/>
  <c r="M651" i="1" a="1"/>
  <c r="M651" i="1" s="1"/>
  <c r="P651" i="1" s="1"/>
  <c r="L651" i="1"/>
  <c r="K651" i="1"/>
  <c r="J651" i="1"/>
  <c r="I651" i="1" a="1"/>
  <c r="I651" i="1" s="1"/>
  <c r="G651" i="1" a="1"/>
  <c r="G651" i="1" s="1"/>
  <c r="F651" i="1" a="1"/>
  <c r="F651" i="1" s="1"/>
  <c r="M650" i="1" a="1"/>
  <c r="M650" i="1" s="1"/>
  <c r="Q650" i="1" s="1"/>
  <c r="L650" i="1"/>
  <c r="K650" i="1"/>
  <c r="J650" i="1"/>
  <c r="I650" i="1"/>
  <c r="I650" i="1" a="1"/>
  <c r="G650" i="1" a="1"/>
  <c r="G650" i="1" s="1"/>
  <c r="F650" i="1" a="1"/>
  <c r="F650" i="1" s="1"/>
  <c r="M649" i="1" a="1"/>
  <c r="M649" i="1" s="1"/>
  <c r="O649" i="1" s="1" a="1"/>
  <c r="O649" i="1" s="1"/>
  <c r="L649" i="1"/>
  <c r="K649" i="1"/>
  <c r="J649" i="1"/>
  <c r="I649" i="1" a="1"/>
  <c r="I649" i="1" s="1"/>
  <c r="G649" i="1" a="1"/>
  <c r="G649" i="1" s="1"/>
  <c r="F649" i="1" a="1"/>
  <c r="F649" i="1" s="1"/>
  <c r="M648" i="1" a="1"/>
  <c r="M648" i="1" s="1"/>
  <c r="T648" i="1" s="1" a="1"/>
  <c r="T648" i="1" s="1"/>
  <c r="L648" i="1"/>
  <c r="K648" i="1"/>
  <c r="J648" i="1"/>
  <c r="I648" i="1" a="1"/>
  <c r="I648" i="1" s="1"/>
  <c r="G648" i="1" a="1"/>
  <c r="G648" i="1" s="1"/>
  <c r="F648" i="1" a="1"/>
  <c r="F648" i="1" s="1"/>
  <c r="M647" i="1" a="1"/>
  <c r="M647" i="1" s="1"/>
  <c r="Q647" i="1" s="1"/>
  <c r="L647" i="1"/>
  <c r="K647" i="1"/>
  <c r="J647" i="1"/>
  <c r="I647" i="1" a="1"/>
  <c r="I647" i="1" s="1"/>
  <c r="G647" i="1" a="1"/>
  <c r="G647" i="1" s="1"/>
  <c r="F647" i="1" a="1"/>
  <c r="F647" i="1" s="1"/>
  <c r="M646" i="1" a="1"/>
  <c r="M646" i="1" s="1"/>
  <c r="L646" i="1"/>
  <c r="K646" i="1"/>
  <c r="J646" i="1"/>
  <c r="I646" i="1" a="1"/>
  <c r="I646" i="1" s="1"/>
  <c r="G646" i="1" a="1"/>
  <c r="G646" i="1" s="1"/>
  <c r="F646" i="1" a="1"/>
  <c r="F646" i="1" s="1"/>
  <c r="M645" i="1" a="1"/>
  <c r="M645" i="1" s="1"/>
  <c r="T645" i="1" s="1" a="1"/>
  <c r="T645" i="1" s="1"/>
  <c r="L645" i="1"/>
  <c r="K645" i="1"/>
  <c r="J645" i="1"/>
  <c r="I645" i="1" a="1"/>
  <c r="I645" i="1" s="1"/>
  <c r="G645" i="1" a="1"/>
  <c r="G645" i="1" s="1"/>
  <c r="F645" i="1" a="1"/>
  <c r="F645" i="1" s="1"/>
  <c r="M644" i="1" a="1"/>
  <c r="M644" i="1" s="1"/>
  <c r="Q644" i="1" s="1"/>
  <c r="L644" i="1"/>
  <c r="K644" i="1"/>
  <c r="J644" i="1"/>
  <c r="I644" i="1" a="1"/>
  <c r="I644" i="1" s="1"/>
  <c r="G644" i="1" a="1"/>
  <c r="G644" i="1" s="1"/>
  <c r="F644" i="1" a="1"/>
  <c r="F644" i="1" s="1"/>
  <c r="M643" i="1" a="1"/>
  <c r="M643" i="1" s="1"/>
  <c r="Q643" i="1" s="1"/>
  <c r="L643" i="1"/>
  <c r="K643" i="1"/>
  <c r="J643" i="1"/>
  <c r="I643" i="1" a="1"/>
  <c r="I643" i="1" s="1"/>
  <c r="G643" i="1" a="1"/>
  <c r="G643" i="1" s="1"/>
  <c r="F643" i="1" a="1"/>
  <c r="F643" i="1" s="1"/>
  <c r="M642" i="1" a="1"/>
  <c r="M642" i="1" s="1"/>
  <c r="L642" i="1"/>
  <c r="K642" i="1"/>
  <c r="J642" i="1"/>
  <c r="I642" i="1" a="1"/>
  <c r="I642" i="1" s="1"/>
  <c r="G642" i="1" a="1"/>
  <c r="G642" i="1" s="1"/>
  <c r="F642" i="1" a="1"/>
  <c r="F642" i="1" s="1"/>
  <c r="M641" i="1" a="1"/>
  <c r="M641" i="1" s="1"/>
  <c r="Q641" i="1" s="1"/>
  <c r="L641" i="1"/>
  <c r="K641" i="1"/>
  <c r="J641" i="1"/>
  <c r="I641" i="1" a="1"/>
  <c r="I641" i="1" s="1"/>
  <c r="G641" i="1" a="1"/>
  <c r="G641" i="1" s="1"/>
  <c r="F641" i="1" a="1"/>
  <c r="F641" i="1" s="1"/>
  <c r="S640" i="1" a="1"/>
  <c r="S640" i="1" s="1"/>
  <c r="M640" i="1" a="1"/>
  <c r="M640" i="1" s="1"/>
  <c r="Q640" i="1" s="1"/>
  <c r="L640" i="1"/>
  <c r="K640" i="1"/>
  <c r="J640" i="1"/>
  <c r="I640" i="1" a="1"/>
  <c r="I640" i="1" s="1"/>
  <c r="G640" i="1" a="1"/>
  <c r="G640" i="1" s="1"/>
  <c r="F640" i="1" a="1"/>
  <c r="F640" i="1" s="1"/>
  <c r="M639" i="1" a="1"/>
  <c r="M639" i="1" s="1"/>
  <c r="Q639" i="1" s="1"/>
  <c r="L639" i="1"/>
  <c r="K639" i="1"/>
  <c r="J639" i="1"/>
  <c r="I639" i="1" a="1"/>
  <c r="I639" i="1" s="1"/>
  <c r="G639" i="1" a="1"/>
  <c r="G639" i="1" s="1"/>
  <c r="F639" i="1" a="1"/>
  <c r="F639" i="1" s="1"/>
  <c r="M638" i="1" a="1"/>
  <c r="M638" i="1" s="1"/>
  <c r="L638" i="1"/>
  <c r="K638" i="1"/>
  <c r="J638" i="1"/>
  <c r="I638" i="1" a="1"/>
  <c r="I638" i="1" s="1"/>
  <c r="G638" i="1" a="1"/>
  <c r="G638" i="1" s="1"/>
  <c r="F638" i="1" a="1"/>
  <c r="F638" i="1" s="1"/>
  <c r="M637" i="1" a="1"/>
  <c r="M637" i="1" s="1"/>
  <c r="Q637" i="1" s="1"/>
  <c r="L637" i="1"/>
  <c r="K637" i="1"/>
  <c r="J637" i="1"/>
  <c r="I637" i="1" a="1"/>
  <c r="I637" i="1" s="1"/>
  <c r="G637" i="1" a="1"/>
  <c r="G637" i="1" s="1"/>
  <c r="F637" i="1" a="1"/>
  <c r="F637" i="1" s="1"/>
  <c r="M636" i="1" a="1"/>
  <c r="M636" i="1" s="1"/>
  <c r="O636" i="1" s="1" a="1"/>
  <c r="O636" i="1" s="1"/>
  <c r="L636" i="1"/>
  <c r="K636" i="1"/>
  <c r="J636" i="1"/>
  <c r="I636" i="1" a="1"/>
  <c r="I636" i="1" s="1"/>
  <c r="G636" i="1" a="1"/>
  <c r="G636" i="1" s="1"/>
  <c r="F636" i="1" a="1"/>
  <c r="F636" i="1" s="1"/>
  <c r="M635" i="1" a="1"/>
  <c r="M635" i="1" s="1"/>
  <c r="U635" i="1" s="1" a="1"/>
  <c r="U635" i="1" s="1"/>
  <c r="L635" i="1"/>
  <c r="K635" i="1"/>
  <c r="J635" i="1"/>
  <c r="I635" i="1"/>
  <c r="I635" i="1" a="1"/>
  <c r="G635" i="1" a="1"/>
  <c r="G635" i="1" s="1"/>
  <c r="F635" i="1" a="1"/>
  <c r="F635" i="1" s="1"/>
  <c r="M634" i="1" a="1"/>
  <c r="M634" i="1" s="1"/>
  <c r="Q634" i="1" s="1"/>
  <c r="L634" i="1"/>
  <c r="K634" i="1"/>
  <c r="J634" i="1"/>
  <c r="I634" i="1" a="1"/>
  <c r="I634" i="1" s="1"/>
  <c r="G634" i="1" a="1"/>
  <c r="G634" i="1" s="1"/>
  <c r="F634" i="1" a="1"/>
  <c r="F634" i="1" s="1"/>
  <c r="M633" i="1" a="1"/>
  <c r="M633" i="1" s="1"/>
  <c r="Q633" i="1" s="1"/>
  <c r="L633" i="1"/>
  <c r="K633" i="1"/>
  <c r="J633" i="1"/>
  <c r="I633" i="1" a="1"/>
  <c r="I633" i="1" s="1"/>
  <c r="G633" i="1" a="1"/>
  <c r="G633" i="1" s="1"/>
  <c r="F633" i="1" a="1"/>
  <c r="F633" i="1" s="1"/>
  <c r="M632" i="1" a="1"/>
  <c r="M632" i="1" s="1"/>
  <c r="L632" i="1"/>
  <c r="K632" i="1"/>
  <c r="J632" i="1"/>
  <c r="I632" i="1" a="1"/>
  <c r="I632" i="1" s="1"/>
  <c r="G632" i="1" a="1"/>
  <c r="G632" i="1" s="1"/>
  <c r="F632" i="1" a="1"/>
  <c r="F632" i="1" s="1"/>
  <c r="M631" i="1" a="1"/>
  <c r="M631" i="1" s="1"/>
  <c r="O631" i="1" s="1" a="1"/>
  <c r="O631" i="1" s="1"/>
  <c r="L631" i="1"/>
  <c r="K631" i="1"/>
  <c r="J631" i="1"/>
  <c r="I631" i="1" a="1"/>
  <c r="I631" i="1" s="1"/>
  <c r="G631" i="1" a="1"/>
  <c r="G631" i="1" s="1"/>
  <c r="F631" i="1" a="1"/>
  <c r="F631" i="1" s="1"/>
  <c r="M630" i="1" a="1"/>
  <c r="M630" i="1" s="1"/>
  <c r="L630" i="1"/>
  <c r="K630" i="1"/>
  <c r="J630" i="1"/>
  <c r="I630" i="1" a="1"/>
  <c r="I630" i="1" s="1"/>
  <c r="G630" i="1" a="1"/>
  <c r="G630" i="1" s="1"/>
  <c r="F630" i="1" a="1"/>
  <c r="F630" i="1" s="1"/>
  <c r="M629" i="1" a="1"/>
  <c r="M629" i="1" s="1"/>
  <c r="L629" i="1"/>
  <c r="K629" i="1"/>
  <c r="J629" i="1"/>
  <c r="I629" i="1" a="1"/>
  <c r="I629" i="1" s="1"/>
  <c r="G629" i="1" a="1"/>
  <c r="G629" i="1" s="1"/>
  <c r="F629" i="1" a="1"/>
  <c r="F629" i="1" s="1"/>
  <c r="M628" i="1" a="1"/>
  <c r="M628" i="1" s="1"/>
  <c r="L628" i="1"/>
  <c r="K628" i="1"/>
  <c r="J628" i="1"/>
  <c r="I628" i="1" a="1"/>
  <c r="I628" i="1" s="1"/>
  <c r="G628" i="1" a="1"/>
  <c r="G628" i="1" s="1"/>
  <c r="F628" i="1" a="1"/>
  <c r="F628" i="1" s="1"/>
  <c r="M627" i="1" a="1"/>
  <c r="M627" i="1" s="1"/>
  <c r="Q627" i="1" s="1"/>
  <c r="L627" i="1"/>
  <c r="K627" i="1"/>
  <c r="J627" i="1"/>
  <c r="I627" i="1" a="1"/>
  <c r="I627" i="1" s="1"/>
  <c r="G627" i="1" a="1"/>
  <c r="G627" i="1" s="1"/>
  <c r="F627" i="1" a="1"/>
  <c r="F627" i="1" s="1"/>
  <c r="M626" i="1" a="1"/>
  <c r="M626" i="1" s="1"/>
  <c r="L626" i="1"/>
  <c r="K626" i="1"/>
  <c r="J626" i="1"/>
  <c r="I626" i="1" a="1"/>
  <c r="I626" i="1" s="1"/>
  <c r="G626" i="1" a="1"/>
  <c r="G626" i="1" s="1"/>
  <c r="F626" i="1" a="1"/>
  <c r="F626" i="1" s="1"/>
  <c r="M625" i="1" a="1"/>
  <c r="M625" i="1" s="1"/>
  <c r="Q625" i="1" s="1"/>
  <c r="L625" i="1"/>
  <c r="K625" i="1"/>
  <c r="J625" i="1"/>
  <c r="I625" i="1"/>
  <c r="I625" i="1" a="1"/>
  <c r="G625" i="1" a="1"/>
  <c r="G625" i="1" s="1"/>
  <c r="F625" i="1" a="1"/>
  <c r="F625" i="1" s="1"/>
  <c r="M624" i="1" a="1"/>
  <c r="M624" i="1" s="1"/>
  <c r="L624" i="1"/>
  <c r="K624" i="1"/>
  <c r="J624" i="1"/>
  <c r="I624" i="1" a="1"/>
  <c r="I624" i="1" s="1"/>
  <c r="G624" i="1" a="1"/>
  <c r="G624" i="1" s="1"/>
  <c r="F624" i="1" a="1"/>
  <c r="F624" i="1" s="1"/>
  <c r="M623" i="1" a="1"/>
  <c r="M623" i="1" s="1"/>
  <c r="Q623" i="1" s="1"/>
  <c r="L623" i="1"/>
  <c r="K623" i="1"/>
  <c r="J623" i="1"/>
  <c r="I623" i="1" a="1"/>
  <c r="I623" i="1" s="1"/>
  <c r="G623" i="1" a="1"/>
  <c r="G623" i="1" s="1"/>
  <c r="F623" i="1" a="1"/>
  <c r="F623" i="1" s="1"/>
  <c r="M622" i="1" a="1"/>
  <c r="M622" i="1" s="1"/>
  <c r="L622" i="1"/>
  <c r="K622" i="1"/>
  <c r="J622" i="1"/>
  <c r="I622" i="1" a="1"/>
  <c r="I622" i="1" s="1"/>
  <c r="G622" i="1" a="1"/>
  <c r="G622" i="1" s="1"/>
  <c r="F622" i="1" a="1"/>
  <c r="F622" i="1" s="1"/>
  <c r="M621" i="1" a="1"/>
  <c r="M621" i="1" s="1"/>
  <c r="L621" i="1"/>
  <c r="K621" i="1"/>
  <c r="J621" i="1"/>
  <c r="I621" i="1" a="1"/>
  <c r="I621" i="1" s="1"/>
  <c r="G621" i="1" a="1"/>
  <c r="G621" i="1" s="1"/>
  <c r="F621" i="1" a="1"/>
  <c r="F621" i="1" s="1"/>
  <c r="M620" i="1" a="1"/>
  <c r="M620" i="1" s="1"/>
  <c r="U620" i="1" s="1" a="1"/>
  <c r="U620" i="1" s="1"/>
  <c r="L620" i="1"/>
  <c r="K620" i="1"/>
  <c r="J620" i="1"/>
  <c r="I620" i="1" a="1"/>
  <c r="I620" i="1" s="1"/>
  <c r="G620" i="1" a="1"/>
  <c r="G620" i="1" s="1"/>
  <c r="F620" i="1" a="1"/>
  <c r="F620" i="1" s="1"/>
  <c r="M619" i="1" a="1"/>
  <c r="M619" i="1" s="1"/>
  <c r="Q619" i="1" s="1"/>
  <c r="L619" i="1"/>
  <c r="K619" i="1"/>
  <c r="J619" i="1"/>
  <c r="I619" i="1" a="1"/>
  <c r="I619" i="1" s="1"/>
  <c r="G619" i="1" a="1"/>
  <c r="G619" i="1" s="1"/>
  <c r="F619" i="1" a="1"/>
  <c r="F619" i="1" s="1"/>
  <c r="M618" i="1" a="1"/>
  <c r="M618" i="1" s="1"/>
  <c r="Q618" i="1" s="1"/>
  <c r="L618" i="1"/>
  <c r="K618" i="1"/>
  <c r="J618" i="1"/>
  <c r="I618" i="1" a="1"/>
  <c r="I618" i="1" s="1"/>
  <c r="G618" i="1" a="1"/>
  <c r="G618" i="1" s="1"/>
  <c r="F618" i="1" a="1"/>
  <c r="F618" i="1" s="1"/>
  <c r="M617" i="1" a="1"/>
  <c r="M617" i="1" s="1"/>
  <c r="Q617" i="1" s="1"/>
  <c r="L617" i="1"/>
  <c r="K617" i="1"/>
  <c r="J617" i="1"/>
  <c r="I617" i="1" a="1"/>
  <c r="I617" i="1" s="1"/>
  <c r="G617" i="1" a="1"/>
  <c r="G617" i="1" s="1"/>
  <c r="F617" i="1" a="1"/>
  <c r="F617" i="1" s="1"/>
  <c r="M616" i="1" a="1"/>
  <c r="M616" i="1" s="1"/>
  <c r="Q616" i="1" s="1"/>
  <c r="L616" i="1"/>
  <c r="K616" i="1"/>
  <c r="J616" i="1"/>
  <c r="I616" i="1" a="1"/>
  <c r="I616" i="1" s="1"/>
  <c r="G616" i="1" a="1"/>
  <c r="G616" i="1" s="1"/>
  <c r="F616" i="1" a="1"/>
  <c r="F616" i="1" s="1"/>
  <c r="M615" i="1" a="1"/>
  <c r="M615" i="1" s="1"/>
  <c r="O615" i="1" s="1" a="1"/>
  <c r="O615" i="1" s="1"/>
  <c r="L615" i="1"/>
  <c r="K615" i="1"/>
  <c r="J615" i="1"/>
  <c r="I615" i="1" a="1"/>
  <c r="I615" i="1" s="1"/>
  <c r="G615" i="1" a="1"/>
  <c r="G615" i="1" s="1"/>
  <c r="F615" i="1" a="1"/>
  <c r="F615" i="1" s="1"/>
  <c r="M614" i="1" a="1"/>
  <c r="M614" i="1" s="1"/>
  <c r="Q614" i="1" s="1"/>
  <c r="L614" i="1"/>
  <c r="K614" i="1"/>
  <c r="J614" i="1"/>
  <c r="I614" i="1" a="1"/>
  <c r="I614" i="1" s="1"/>
  <c r="G614" i="1" a="1"/>
  <c r="G614" i="1" s="1"/>
  <c r="F614" i="1" a="1"/>
  <c r="F614" i="1" s="1"/>
  <c r="M613" i="1" a="1"/>
  <c r="M613" i="1" s="1"/>
  <c r="T613" i="1" s="1" a="1"/>
  <c r="T613" i="1" s="1"/>
  <c r="L613" i="1"/>
  <c r="K613" i="1"/>
  <c r="J613" i="1"/>
  <c r="I613" i="1" a="1"/>
  <c r="I613" i="1" s="1"/>
  <c r="G613" i="1" a="1"/>
  <c r="G613" i="1" s="1"/>
  <c r="F613" i="1" a="1"/>
  <c r="F613" i="1" s="1"/>
  <c r="M612" i="1" a="1"/>
  <c r="M612" i="1" s="1"/>
  <c r="O612" i="1" s="1" a="1"/>
  <c r="O612" i="1" s="1"/>
  <c r="L612" i="1"/>
  <c r="K612" i="1"/>
  <c r="J612" i="1"/>
  <c r="I612" i="1" a="1"/>
  <c r="I612" i="1" s="1"/>
  <c r="G612" i="1" a="1"/>
  <c r="G612" i="1" s="1"/>
  <c r="F612" i="1" a="1"/>
  <c r="F612" i="1" s="1"/>
  <c r="M611" i="1" a="1"/>
  <c r="M611" i="1" s="1"/>
  <c r="Q611" i="1" s="1"/>
  <c r="L611" i="1"/>
  <c r="K611" i="1"/>
  <c r="J611" i="1"/>
  <c r="I611" i="1" a="1"/>
  <c r="I611" i="1" s="1"/>
  <c r="G611" i="1" a="1"/>
  <c r="G611" i="1" s="1"/>
  <c r="F611" i="1" a="1"/>
  <c r="F611" i="1" s="1"/>
  <c r="M610" i="1" a="1"/>
  <c r="M610" i="1" s="1"/>
  <c r="Q610" i="1" s="1"/>
  <c r="L610" i="1"/>
  <c r="K610" i="1"/>
  <c r="J610" i="1"/>
  <c r="I610" i="1" a="1"/>
  <c r="I610" i="1" s="1"/>
  <c r="G610" i="1" a="1"/>
  <c r="G610" i="1" s="1"/>
  <c r="F610" i="1" a="1"/>
  <c r="F610" i="1" s="1"/>
  <c r="M609" i="1" a="1"/>
  <c r="M609" i="1" s="1"/>
  <c r="Q609" i="1" s="1"/>
  <c r="L609" i="1"/>
  <c r="K609" i="1"/>
  <c r="J609" i="1"/>
  <c r="I609" i="1" a="1"/>
  <c r="I609" i="1" s="1"/>
  <c r="G609" i="1" a="1"/>
  <c r="G609" i="1" s="1"/>
  <c r="F609" i="1" a="1"/>
  <c r="F609" i="1" s="1"/>
  <c r="M608" i="1" a="1"/>
  <c r="M608" i="1" s="1"/>
  <c r="L608" i="1"/>
  <c r="K608" i="1"/>
  <c r="J608" i="1"/>
  <c r="I608" i="1" a="1"/>
  <c r="I608" i="1" s="1"/>
  <c r="G608" i="1" a="1"/>
  <c r="G608" i="1" s="1"/>
  <c r="F608" i="1" a="1"/>
  <c r="F608" i="1" s="1"/>
  <c r="M607" i="1" a="1"/>
  <c r="M607" i="1" s="1"/>
  <c r="L607" i="1"/>
  <c r="K607" i="1"/>
  <c r="J607" i="1"/>
  <c r="I607" i="1" a="1"/>
  <c r="I607" i="1" s="1"/>
  <c r="G607" i="1" a="1"/>
  <c r="G607" i="1" s="1"/>
  <c r="F607" i="1" a="1"/>
  <c r="F607" i="1" s="1"/>
  <c r="M606" i="1"/>
  <c r="Q606" i="1" s="1"/>
  <c r="M606" i="1" a="1"/>
  <c r="L606" i="1"/>
  <c r="K606" i="1"/>
  <c r="J606" i="1"/>
  <c r="I606" i="1" a="1"/>
  <c r="I606" i="1" s="1"/>
  <c r="G606" i="1" a="1"/>
  <c r="G606" i="1" s="1"/>
  <c r="F606" i="1" a="1"/>
  <c r="F606" i="1" s="1"/>
  <c r="M605" i="1" a="1"/>
  <c r="M605" i="1" s="1"/>
  <c r="Q605" i="1" s="1"/>
  <c r="L605" i="1"/>
  <c r="K605" i="1"/>
  <c r="J605" i="1"/>
  <c r="I605" i="1" a="1"/>
  <c r="I605" i="1" s="1"/>
  <c r="G605" i="1" a="1"/>
  <c r="G605" i="1" s="1"/>
  <c r="F605" i="1" a="1"/>
  <c r="F605" i="1" s="1"/>
  <c r="M604" i="1" a="1"/>
  <c r="M604" i="1" s="1"/>
  <c r="Q604" i="1" s="1"/>
  <c r="L604" i="1"/>
  <c r="K604" i="1"/>
  <c r="J604" i="1"/>
  <c r="I604" i="1" a="1"/>
  <c r="I604" i="1" s="1"/>
  <c r="G604" i="1" a="1"/>
  <c r="G604" i="1" s="1"/>
  <c r="F604" i="1" a="1"/>
  <c r="F604" i="1" s="1"/>
  <c r="M603" i="1" a="1"/>
  <c r="M603" i="1" s="1"/>
  <c r="Q603" i="1" s="1"/>
  <c r="L603" i="1"/>
  <c r="K603" i="1"/>
  <c r="J603" i="1"/>
  <c r="I603" i="1"/>
  <c r="I603" i="1" a="1"/>
  <c r="G603" i="1" a="1"/>
  <c r="G603" i="1" s="1"/>
  <c r="F603" i="1" a="1"/>
  <c r="F603" i="1" s="1"/>
  <c r="M602" i="1" a="1"/>
  <c r="M602" i="1" s="1"/>
  <c r="L602" i="1"/>
  <c r="K602" i="1"/>
  <c r="J602" i="1"/>
  <c r="I602" i="1" a="1"/>
  <c r="I602" i="1" s="1"/>
  <c r="G602" i="1" a="1"/>
  <c r="G602" i="1" s="1"/>
  <c r="F602" i="1" a="1"/>
  <c r="F602" i="1" s="1"/>
  <c r="M601" i="1" a="1"/>
  <c r="M601" i="1" s="1"/>
  <c r="Q601" i="1" s="1"/>
  <c r="L601" i="1"/>
  <c r="K601" i="1"/>
  <c r="J601" i="1"/>
  <c r="I601" i="1" a="1"/>
  <c r="I601" i="1" s="1"/>
  <c r="G601" i="1" a="1"/>
  <c r="G601" i="1" s="1"/>
  <c r="F601" i="1" a="1"/>
  <c r="F601" i="1" s="1"/>
  <c r="M600" i="1" a="1"/>
  <c r="M600" i="1" s="1"/>
  <c r="L600" i="1"/>
  <c r="K600" i="1"/>
  <c r="J600" i="1"/>
  <c r="I600" i="1" a="1"/>
  <c r="I600" i="1" s="1"/>
  <c r="G600" i="1" a="1"/>
  <c r="G600" i="1" s="1"/>
  <c r="F600" i="1" a="1"/>
  <c r="F600" i="1" s="1"/>
  <c r="M599" i="1" a="1"/>
  <c r="M599" i="1" s="1"/>
  <c r="Q599" i="1" s="1"/>
  <c r="L599" i="1"/>
  <c r="K599" i="1"/>
  <c r="J599" i="1"/>
  <c r="I599" i="1"/>
  <c r="I599" i="1" a="1"/>
  <c r="G599" i="1" a="1"/>
  <c r="G599" i="1" s="1"/>
  <c r="F599" i="1" a="1"/>
  <c r="F599" i="1" s="1"/>
  <c r="M598" i="1" a="1"/>
  <c r="M598" i="1" s="1"/>
  <c r="L598" i="1"/>
  <c r="K598" i="1"/>
  <c r="J598" i="1"/>
  <c r="I598" i="1" a="1"/>
  <c r="I598" i="1" s="1"/>
  <c r="G598" i="1" a="1"/>
  <c r="G598" i="1" s="1"/>
  <c r="F598" i="1" a="1"/>
  <c r="F598" i="1" s="1"/>
  <c r="M597" i="1" a="1"/>
  <c r="M597" i="1" s="1"/>
  <c r="Q597" i="1" s="1"/>
  <c r="L597" i="1"/>
  <c r="K597" i="1"/>
  <c r="J597" i="1"/>
  <c r="I597" i="1" a="1"/>
  <c r="I597" i="1" s="1"/>
  <c r="G597" i="1" a="1"/>
  <c r="G597" i="1" s="1"/>
  <c r="F597" i="1" a="1"/>
  <c r="F597" i="1" s="1"/>
  <c r="M596" i="1" a="1"/>
  <c r="M596" i="1" s="1"/>
  <c r="Q596" i="1" s="1"/>
  <c r="L596" i="1"/>
  <c r="K596" i="1"/>
  <c r="J596" i="1"/>
  <c r="I596" i="1" a="1"/>
  <c r="I596" i="1" s="1"/>
  <c r="G596" i="1" a="1"/>
  <c r="G596" i="1" s="1"/>
  <c r="F596" i="1" a="1"/>
  <c r="F596" i="1" s="1"/>
  <c r="M595" i="1" a="1"/>
  <c r="M595" i="1" s="1"/>
  <c r="Q595" i="1" s="1"/>
  <c r="L595" i="1"/>
  <c r="K595" i="1"/>
  <c r="J595" i="1"/>
  <c r="I595" i="1" a="1"/>
  <c r="I595" i="1" s="1"/>
  <c r="G595" i="1" a="1"/>
  <c r="G595" i="1" s="1"/>
  <c r="F595" i="1" a="1"/>
  <c r="F595" i="1" s="1"/>
  <c r="M594" i="1" a="1"/>
  <c r="M594" i="1" s="1"/>
  <c r="Q594" i="1" s="1"/>
  <c r="L594" i="1"/>
  <c r="K594" i="1"/>
  <c r="J594" i="1"/>
  <c r="I594" i="1" a="1"/>
  <c r="I594" i="1" s="1"/>
  <c r="G594" i="1" a="1"/>
  <c r="G594" i="1" s="1"/>
  <c r="F594" i="1" a="1"/>
  <c r="F594" i="1" s="1"/>
  <c r="M593" i="1" a="1"/>
  <c r="M593" i="1" s="1"/>
  <c r="Q593" i="1" s="1"/>
  <c r="L593" i="1"/>
  <c r="K593" i="1"/>
  <c r="J593" i="1"/>
  <c r="I593" i="1" a="1"/>
  <c r="I593" i="1" s="1"/>
  <c r="G593" i="1" a="1"/>
  <c r="G593" i="1" s="1"/>
  <c r="F593" i="1" a="1"/>
  <c r="F593" i="1" s="1"/>
  <c r="M592" i="1" a="1"/>
  <c r="M592" i="1" s="1"/>
  <c r="S592" i="1" s="1" a="1"/>
  <c r="S592" i="1" s="1"/>
  <c r="L592" i="1"/>
  <c r="K592" i="1"/>
  <c r="J592" i="1"/>
  <c r="I592" i="1" a="1"/>
  <c r="I592" i="1" s="1"/>
  <c r="G592" i="1" a="1"/>
  <c r="G592" i="1" s="1"/>
  <c r="F592" i="1" a="1"/>
  <c r="F592" i="1" s="1"/>
  <c r="M591" i="1" a="1"/>
  <c r="M591" i="1" s="1"/>
  <c r="L591" i="1"/>
  <c r="K591" i="1"/>
  <c r="J591" i="1"/>
  <c r="I591" i="1" a="1"/>
  <c r="I591" i="1" s="1"/>
  <c r="G591" i="1" a="1"/>
  <c r="G591" i="1" s="1"/>
  <c r="F591" i="1" a="1"/>
  <c r="F591" i="1" s="1"/>
  <c r="M590" i="1" a="1"/>
  <c r="M590" i="1" s="1"/>
  <c r="Q590" i="1" s="1"/>
  <c r="L590" i="1"/>
  <c r="K590" i="1"/>
  <c r="J590" i="1"/>
  <c r="I590" i="1" a="1"/>
  <c r="I590" i="1" s="1"/>
  <c r="G590" i="1" a="1"/>
  <c r="G590" i="1" s="1"/>
  <c r="F590" i="1" a="1"/>
  <c r="F590" i="1" s="1"/>
  <c r="M589" i="1" a="1"/>
  <c r="M589" i="1" s="1"/>
  <c r="L589" i="1"/>
  <c r="K589" i="1"/>
  <c r="J589" i="1"/>
  <c r="I589" i="1" a="1"/>
  <c r="I589" i="1" s="1"/>
  <c r="G589" i="1" a="1"/>
  <c r="G589" i="1" s="1"/>
  <c r="F589" i="1" a="1"/>
  <c r="F589" i="1" s="1"/>
  <c r="M588" i="1" a="1"/>
  <c r="M588" i="1" s="1"/>
  <c r="L588" i="1"/>
  <c r="K588" i="1"/>
  <c r="J588" i="1"/>
  <c r="I588" i="1" a="1"/>
  <c r="I588" i="1" s="1"/>
  <c r="G588" i="1" a="1"/>
  <c r="G588" i="1" s="1"/>
  <c r="F588" i="1" a="1"/>
  <c r="F588" i="1" s="1"/>
  <c r="M587" i="1" a="1"/>
  <c r="M587" i="1" s="1"/>
  <c r="Q587" i="1" s="1"/>
  <c r="L587" i="1"/>
  <c r="K587" i="1"/>
  <c r="J587" i="1"/>
  <c r="I587" i="1" a="1"/>
  <c r="I587" i="1" s="1"/>
  <c r="G587" i="1" a="1"/>
  <c r="G587" i="1" s="1"/>
  <c r="F587" i="1" a="1"/>
  <c r="F587" i="1" s="1"/>
  <c r="M586" i="1" a="1"/>
  <c r="M586" i="1" s="1"/>
  <c r="Q586" i="1" s="1"/>
  <c r="L586" i="1"/>
  <c r="K586" i="1"/>
  <c r="J586" i="1"/>
  <c r="I586" i="1"/>
  <c r="I586" i="1" a="1"/>
  <c r="G586" i="1" a="1"/>
  <c r="G586" i="1" s="1"/>
  <c r="F586" i="1" a="1"/>
  <c r="F586" i="1" s="1"/>
  <c r="M585" i="1" a="1"/>
  <c r="M585" i="1" s="1"/>
  <c r="Q585" i="1" s="1"/>
  <c r="L585" i="1"/>
  <c r="K585" i="1"/>
  <c r="J585" i="1"/>
  <c r="I585" i="1" a="1"/>
  <c r="I585" i="1" s="1"/>
  <c r="G585" i="1" a="1"/>
  <c r="G585" i="1" s="1"/>
  <c r="F585" i="1" a="1"/>
  <c r="F585" i="1" s="1"/>
  <c r="M584" i="1" a="1"/>
  <c r="M584" i="1" s="1"/>
  <c r="L584" i="1"/>
  <c r="K584" i="1"/>
  <c r="J584" i="1"/>
  <c r="I584" i="1" a="1"/>
  <c r="I584" i="1" s="1"/>
  <c r="G584" i="1" a="1"/>
  <c r="G584" i="1" s="1"/>
  <c r="F584" i="1" a="1"/>
  <c r="F584" i="1" s="1"/>
  <c r="M583" i="1" a="1"/>
  <c r="M583" i="1" s="1"/>
  <c r="Q583" i="1" s="1"/>
  <c r="L583" i="1"/>
  <c r="K583" i="1"/>
  <c r="J583" i="1"/>
  <c r="I583" i="1" a="1"/>
  <c r="I583" i="1" s="1"/>
  <c r="G583" i="1" a="1"/>
  <c r="G583" i="1" s="1"/>
  <c r="F583" i="1" a="1"/>
  <c r="F583" i="1" s="1"/>
  <c r="M582" i="1" a="1"/>
  <c r="M582" i="1" s="1"/>
  <c r="T582" i="1" s="1" a="1"/>
  <c r="T582" i="1" s="1"/>
  <c r="L582" i="1"/>
  <c r="K582" i="1"/>
  <c r="J582" i="1"/>
  <c r="I582" i="1" a="1"/>
  <c r="I582" i="1" s="1"/>
  <c r="G582" i="1" a="1"/>
  <c r="G582" i="1" s="1"/>
  <c r="F582" i="1" a="1"/>
  <c r="F582" i="1" s="1"/>
  <c r="M581" i="1" a="1"/>
  <c r="M581" i="1" s="1"/>
  <c r="Q581" i="1" s="1"/>
  <c r="L581" i="1"/>
  <c r="K581" i="1"/>
  <c r="J581" i="1"/>
  <c r="I581" i="1" a="1"/>
  <c r="I581" i="1" s="1"/>
  <c r="G581" i="1" a="1"/>
  <c r="G581" i="1" s="1"/>
  <c r="F581" i="1" a="1"/>
  <c r="F581" i="1" s="1"/>
  <c r="M580" i="1" a="1"/>
  <c r="M580" i="1" s="1"/>
  <c r="P580" i="1" s="1"/>
  <c r="L580" i="1"/>
  <c r="K580" i="1"/>
  <c r="J580" i="1"/>
  <c r="I580" i="1" a="1"/>
  <c r="I580" i="1" s="1"/>
  <c r="G580" i="1" a="1"/>
  <c r="G580" i="1" s="1"/>
  <c r="F580" i="1" a="1"/>
  <c r="F580" i="1" s="1"/>
  <c r="M579" i="1" a="1"/>
  <c r="M579" i="1" s="1"/>
  <c r="Q579" i="1" s="1"/>
  <c r="L579" i="1"/>
  <c r="K579" i="1"/>
  <c r="J579" i="1"/>
  <c r="I579" i="1" a="1"/>
  <c r="I579" i="1" s="1"/>
  <c r="G579" i="1" a="1"/>
  <c r="G579" i="1" s="1"/>
  <c r="F579" i="1" a="1"/>
  <c r="F579" i="1" s="1"/>
  <c r="M578" i="1" a="1"/>
  <c r="M578" i="1" s="1"/>
  <c r="Q578" i="1" s="1"/>
  <c r="L578" i="1"/>
  <c r="K578" i="1"/>
  <c r="J578" i="1"/>
  <c r="I578" i="1" a="1"/>
  <c r="I578" i="1" s="1"/>
  <c r="G578" i="1" a="1"/>
  <c r="G578" i="1" s="1"/>
  <c r="F578" i="1" a="1"/>
  <c r="F578" i="1" s="1"/>
  <c r="M577" i="1" a="1"/>
  <c r="M577" i="1" s="1"/>
  <c r="L577" i="1"/>
  <c r="K577" i="1"/>
  <c r="J577" i="1"/>
  <c r="I577" i="1" a="1"/>
  <c r="I577" i="1" s="1"/>
  <c r="G577" i="1" a="1"/>
  <c r="G577" i="1" s="1"/>
  <c r="F577" i="1" a="1"/>
  <c r="F577" i="1" s="1"/>
  <c r="M576" i="1" a="1"/>
  <c r="M576" i="1" s="1"/>
  <c r="S576" i="1" s="1" a="1"/>
  <c r="S576" i="1" s="1"/>
  <c r="L576" i="1"/>
  <c r="K576" i="1"/>
  <c r="J576" i="1"/>
  <c r="I576" i="1" a="1"/>
  <c r="I576" i="1" s="1"/>
  <c r="G576" i="1" a="1"/>
  <c r="G576" i="1" s="1"/>
  <c r="F576" i="1" a="1"/>
  <c r="F576" i="1" s="1"/>
  <c r="M575" i="1" a="1"/>
  <c r="M575" i="1" s="1"/>
  <c r="Q575" i="1" s="1"/>
  <c r="L575" i="1"/>
  <c r="K575" i="1"/>
  <c r="J575" i="1"/>
  <c r="I575" i="1" a="1"/>
  <c r="I575" i="1" s="1"/>
  <c r="G575" i="1" a="1"/>
  <c r="G575" i="1" s="1"/>
  <c r="F575" i="1" a="1"/>
  <c r="F575" i="1" s="1"/>
  <c r="M574" i="1" a="1"/>
  <c r="M574" i="1" s="1"/>
  <c r="L574" i="1"/>
  <c r="K574" i="1"/>
  <c r="J574" i="1"/>
  <c r="I574" i="1" a="1"/>
  <c r="I574" i="1" s="1"/>
  <c r="G574" i="1" a="1"/>
  <c r="G574" i="1" s="1"/>
  <c r="F574" i="1" a="1"/>
  <c r="F574" i="1" s="1"/>
  <c r="M573" i="1" a="1"/>
  <c r="M573" i="1" s="1"/>
  <c r="Q573" i="1" s="1"/>
  <c r="L573" i="1"/>
  <c r="K573" i="1"/>
  <c r="J573" i="1"/>
  <c r="I573" i="1" a="1"/>
  <c r="I573" i="1" s="1"/>
  <c r="G573" i="1" a="1"/>
  <c r="G573" i="1" s="1"/>
  <c r="F573" i="1" a="1"/>
  <c r="F573" i="1" s="1"/>
  <c r="M572" i="1" a="1"/>
  <c r="M572" i="1" s="1"/>
  <c r="Q572" i="1" s="1"/>
  <c r="L572" i="1"/>
  <c r="K572" i="1"/>
  <c r="J572" i="1"/>
  <c r="I572" i="1"/>
  <c r="I572" i="1" a="1"/>
  <c r="G572" i="1" a="1"/>
  <c r="G572" i="1" s="1"/>
  <c r="F572" i="1" a="1"/>
  <c r="F572" i="1" s="1"/>
  <c r="M571" i="1" a="1"/>
  <c r="M571" i="1" s="1"/>
  <c r="Q571" i="1" s="1"/>
  <c r="L571" i="1"/>
  <c r="K571" i="1"/>
  <c r="J571" i="1"/>
  <c r="I571" i="1" a="1"/>
  <c r="I571" i="1" s="1"/>
  <c r="G571" i="1" a="1"/>
  <c r="G571" i="1" s="1"/>
  <c r="F571" i="1" a="1"/>
  <c r="F571" i="1" s="1"/>
  <c r="M570" i="1" a="1"/>
  <c r="M570" i="1" s="1"/>
  <c r="Q570" i="1" s="1"/>
  <c r="L570" i="1"/>
  <c r="K570" i="1"/>
  <c r="J570" i="1"/>
  <c r="I570" i="1" a="1"/>
  <c r="I570" i="1" s="1"/>
  <c r="G570" i="1" a="1"/>
  <c r="G570" i="1" s="1"/>
  <c r="F570" i="1" a="1"/>
  <c r="F570" i="1" s="1"/>
  <c r="M569" i="1" a="1"/>
  <c r="M569" i="1" s="1"/>
  <c r="Q569" i="1" s="1"/>
  <c r="L569" i="1"/>
  <c r="K569" i="1"/>
  <c r="J569" i="1"/>
  <c r="I569" i="1" a="1"/>
  <c r="I569" i="1" s="1"/>
  <c r="G569" i="1" a="1"/>
  <c r="G569" i="1" s="1"/>
  <c r="F569" i="1" a="1"/>
  <c r="F569" i="1" s="1"/>
  <c r="M568" i="1" a="1"/>
  <c r="M568" i="1" s="1"/>
  <c r="S568" i="1" s="1" a="1"/>
  <c r="S568" i="1" s="1"/>
  <c r="L568" i="1"/>
  <c r="K568" i="1"/>
  <c r="J568" i="1"/>
  <c r="I568" i="1" a="1"/>
  <c r="I568" i="1" s="1"/>
  <c r="G568" i="1" a="1"/>
  <c r="G568" i="1" s="1"/>
  <c r="F568" i="1" a="1"/>
  <c r="F568" i="1" s="1"/>
  <c r="M567" i="1" a="1"/>
  <c r="M567" i="1" s="1"/>
  <c r="Q567" i="1" s="1"/>
  <c r="L567" i="1"/>
  <c r="K567" i="1"/>
  <c r="J567" i="1"/>
  <c r="I567" i="1" a="1"/>
  <c r="I567" i="1" s="1"/>
  <c r="G567" i="1" a="1"/>
  <c r="G567" i="1" s="1"/>
  <c r="F567" i="1" a="1"/>
  <c r="F567" i="1" s="1"/>
  <c r="M566" i="1" a="1"/>
  <c r="M566" i="1" s="1"/>
  <c r="Q566" i="1" s="1"/>
  <c r="L566" i="1"/>
  <c r="K566" i="1"/>
  <c r="J566" i="1"/>
  <c r="I566" i="1" a="1"/>
  <c r="I566" i="1" s="1"/>
  <c r="G566" i="1" a="1"/>
  <c r="G566" i="1" s="1"/>
  <c r="F566" i="1" a="1"/>
  <c r="F566" i="1" s="1"/>
  <c r="M565" i="1" a="1"/>
  <c r="M565" i="1" s="1"/>
  <c r="S565" i="1" s="1" a="1"/>
  <c r="S565" i="1" s="1"/>
  <c r="L565" i="1"/>
  <c r="K565" i="1"/>
  <c r="J565" i="1"/>
  <c r="I565" i="1" a="1"/>
  <c r="I565" i="1" s="1"/>
  <c r="G565" i="1" a="1"/>
  <c r="G565" i="1" s="1"/>
  <c r="F565" i="1" a="1"/>
  <c r="F565" i="1" s="1"/>
  <c r="M564" i="1" a="1"/>
  <c r="M564" i="1" s="1"/>
  <c r="T564" i="1" s="1" a="1"/>
  <c r="T564" i="1" s="1"/>
  <c r="L564" i="1"/>
  <c r="K564" i="1"/>
  <c r="J564" i="1"/>
  <c r="I564" i="1" a="1"/>
  <c r="I564" i="1" s="1"/>
  <c r="G564" i="1" a="1"/>
  <c r="G564" i="1" s="1"/>
  <c r="F564" i="1" a="1"/>
  <c r="F564" i="1" s="1"/>
  <c r="M563" i="1" a="1"/>
  <c r="M563" i="1" s="1"/>
  <c r="Q563" i="1" s="1"/>
  <c r="L563" i="1"/>
  <c r="K563" i="1"/>
  <c r="J563" i="1"/>
  <c r="I563" i="1"/>
  <c r="I563" i="1" a="1"/>
  <c r="G563" i="1" a="1"/>
  <c r="G563" i="1" s="1"/>
  <c r="F563" i="1" a="1"/>
  <c r="F563" i="1" s="1"/>
  <c r="M562" i="1" a="1"/>
  <c r="M562" i="1" s="1"/>
  <c r="Q562" i="1" s="1"/>
  <c r="L562" i="1"/>
  <c r="K562" i="1"/>
  <c r="J562" i="1"/>
  <c r="I562" i="1" a="1"/>
  <c r="I562" i="1" s="1"/>
  <c r="G562" i="1" a="1"/>
  <c r="G562" i="1" s="1"/>
  <c r="F562" i="1" a="1"/>
  <c r="F562" i="1" s="1"/>
  <c r="M561" i="1" a="1"/>
  <c r="M561" i="1" s="1"/>
  <c r="Q561" i="1" s="1"/>
  <c r="L561" i="1"/>
  <c r="K561" i="1"/>
  <c r="J561" i="1"/>
  <c r="I561" i="1" a="1"/>
  <c r="I561" i="1" s="1"/>
  <c r="G561" i="1" a="1"/>
  <c r="G561" i="1" s="1"/>
  <c r="F561" i="1" a="1"/>
  <c r="F561" i="1" s="1"/>
  <c r="M560" i="1" a="1"/>
  <c r="M560" i="1" s="1"/>
  <c r="Q560" i="1" s="1"/>
  <c r="L560" i="1"/>
  <c r="K560" i="1"/>
  <c r="J560" i="1"/>
  <c r="I560" i="1" a="1"/>
  <c r="I560" i="1" s="1"/>
  <c r="G560" i="1" a="1"/>
  <c r="G560" i="1" s="1"/>
  <c r="F560" i="1" a="1"/>
  <c r="F560" i="1" s="1"/>
  <c r="M559" i="1" a="1"/>
  <c r="M559" i="1" s="1"/>
  <c r="Q559" i="1" s="1"/>
  <c r="L559" i="1"/>
  <c r="K559" i="1"/>
  <c r="J559" i="1"/>
  <c r="I559" i="1" a="1"/>
  <c r="I559" i="1" s="1"/>
  <c r="G559" i="1" a="1"/>
  <c r="G559" i="1" s="1"/>
  <c r="F559" i="1" a="1"/>
  <c r="F559" i="1" s="1"/>
  <c r="M558" i="1" a="1"/>
  <c r="M558" i="1" s="1"/>
  <c r="Q558" i="1" s="1"/>
  <c r="L558" i="1"/>
  <c r="K558" i="1"/>
  <c r="J558" i="1"/>
  <c r="I558" i="1" a="1"/>
  <c r="I558" i="1" s="1"/>
  <c r="G558" i="1" a="1"/>
  <c r="G558" i="1" s="1"/>
  <c r="F558" i="1" a="1"/>
  <c r="F558" i="1" s="1"/>
  <c r="M557" i="1" a="1"/>
  <c r="M557" i="1" s="1"/>
  <c r="L557" i="1"/>
  <c r="K557" i="1"/>
  <c r="J557" i="1"/>
  <c r="I557" i="1" a="1"/>
  <c r="I557" i="1" s="1"/>
  <c r="G557" i="1" a="1"/>
  <c r="G557" i="1" s="1"/>
  <c r="F557" i="1" a="1"/>
  <c r="F557" i="1" s="1"/>
  <c r="M556" i="1" a="1"/>
  <c r="M556" i="1" s="1"/>
  <c r="Q556" i="1" s="1"/>
  <c r="L556" i="1"/>
  <c r="K556" i="1"/>
  <c r="J556" i="1"/>
  <c r="I556" i="1"/>
  <c r="I556" i="1" a="1"/>
  <c r="G556" i="1" a="1"/>
  <c r="G556" i="1" s="1"/>
  <c r="F556" i="1" a="1"/>
  <c r="F556" i="1" s="1"/>
  <c r="M555" i="1" a="1"/>
  <c r="M555" i="1" s="1"/>
  <c r="Q555" i="1" s="1"/>
  <c r="L555" i="1"/>
  <c r="K555" i="1"/>
  <c r="J555" i="1"/>
  <c r="I555" i="1" a="1"/>
  <c r="I555" i="1" s="1"/>
  <c r="G555" i="1" a="1"/>
  <c r="G555" i="1" s="1"/>
  <c r="F555" i="1" a="1"/>
  <c r="F555" i="1" s="1"/>
  <c r="M554" i="1" a="1"/>
  <c r="M554" i="1" s="1"/>
  <c r="P554" i="1" s="1"/>
  <c r="L554" i="1"/>
  <c r="K554" i="1"/>
  <c r="J554" i="1"/>
  <c r="I554" i="1" a="1"/>
  <c r="I554" i="1" s="1"/>
  <c r="G554" i="1" a="1"/>
  <c r="G554" i="1" s="1"/>
  <c r="F554" i="1" a="1"/>
  <c r="F554" i="1" s="1"/>
  <c r="M553" i="1" a="1"/>
  <c r="M553" i="1" s="1"/>
  <c r="L553" i="1"/>
  <c r="K553" i="1"/>
  <c r="J553" i="1"/>
  <c r="I553" i="1" a="1"/>
  <c r="I553" i="1" s="1"/>
  <c r="G553" i="1" a="1"/>
  <c r="G553" i="1" s="1"/>
  <c r="F553" i="1" a="1"/>
  <c r="F553" i="1" s="1"/>
  <c r="M552" i="1" a="1"/>
  <c r="M552" i="1" s="1"/>
  <c r="L552" i="1"/>
  <c r="K552" i="1"/>
  <c r="J552" i="1"/>
  <c r="I552" i="1" a="1"/>
  <c r="I552" i="1" s="1"/>
  <c r="G552" i="1" a="1"/>
  <c r="G552" i="1" s="1"/>
  <c r="F552" i="1" a="1"/>
  <c r="F552" i="1" s="1"/>
  <c r="M551" i="1" a="1"/>
  <c r="M551" i="1" s="1"/>
  <c r="Q551" i="1" s="1"/>
  <c r="L551" i="1"/>
  <c r="K551" i="1"/>
  <c r="J551" i="1"/>
  <c r="I551" i="1" a="1"/>
  <c r="I551" i="1" s="1"/>
  <c r="G551" i="1" a="1"/>
  <c r="G551" i="1" s="1"/>
  <c r="F551" i="1" a="1"/>
  <c r="F551" i="1" s="1"/>
  <c r="M550" i="1" a="1"/>
  <c r="M550" i="1" s="1"/>
  <c r="L550" i="1"/>
  <c r="K550" i="1"/>
  <c r="J550" i="1"/>
  <c r="I550" i="1" a="1"/>
  <c r="I550" i="1" s="1"/>
  <c r="G550" i="1" a="1"/>
  <c r="G550" i="1" s="1"/>
  <c r="F550" i="1" a="1"/>
  <c r="F550" i="1" s="1"/>
  <c r="M549" i="1" a="1"/>
  <c r="M549" i="1" s="1"/>
  <c r="Q549" i="1" s="1"/>
  <c r="L549" i="1"/>
  <c r="K549" i="1"/>
  <c r="J549" i="1"/>
  <c r="I549" i="1" a="1"/>
  <c r="I549" i="1" s="1"/>
  <c r="G549" i="1" a="1"/>
  <c r="G549" i="1" s="1"/>
  <c r="F549" i="1" a="1"/>
  <c r="F549" i="1" s="1"/>
  <c r="M548" i="1" a="1"/>
  <c r="M548" i="1" s="1"/>
  <c r="U548" i="1" s="1" a="1"/>
  <c r="U548" i="1" s="1"/>
  <c r="L548" i="1"/>
  <c r="K548" i="1"/>
  <c r="J548" i="1"/>
  <c r="I548" i="1" a="1"/>
  <c r="I548" i="1" s="1"/>
  <c r="G548" i="1" a="1"/>
  <c r="G548" i="1" s="1"/>
  <c r="F548" i="1" a="1"/>
  <c r="F548" i="1" s="1"/>
  <c r="M547" i="1" a="1"/>
  <c r="M547" i="1" s="1"/>
  <c r="Q547" i="1" s="1"/>
  <c r="L547" i="1"/>
  <c r="K547" i="1"/>
  <c r="J547" i="1"/>
  <c r="I547" i="1" a="1"/>
  <c r="I547" i="1" s="1"/>
  <c r="G547" i="1" a="1"/>
  <c r="G547" i="1" s="1"/>
  <c r="F547" i="1" a="1"/>
  <c r="F547" i="1" s="1"/>
  <c r="M546" i="1" a="1"/>
  <c r="M546" i="1" s="1"/>
  <c r="Q546" i="1" s="1"/>
  <c r="L546" i="1"/>
  <c r="K546" i="1"/>
  <c r="J546" i="1"/>
  <c r="I546" i="1" a="1"/>
  <c r="I546" i="1" s="1"/>
  <c r="G546" i="1" a="1"/>
  <c r="G546" i="1" s="1"/>
  <c r="F546" i="1" a="1"/>
  <c r="F546" i="1" s="1"/>
  <c r="M545" i="1" a="1"/>
  <c r="M545" i="1" s="1"/>
  <c r="Q545" i="1" s="1"/>
  <c r="L545" i="1"/>
  <c r="K545" i="1"/>
  <c r="J545" i="1"/>
  <c r="I545" i="1" a="1"/>
  <c r="I545" i="1" s="1"/>
  <c r="G545" i="1" a="1"/>
  <c r="G545" i="1" s="1"/>
  <c r="F545" i="1" a="1"/>
  <c r="F545" i="1" s="1"/>
  <c r="M544" i="1" a="1"/>
  <c r="M544" i="1" s="1"/>
  <c r="Q544" i="1" s="1"/>
  <c r="L544" i="1"/>
  <c r="K544" i="1"/>
  <c r="J544" i="1"/>
  <c r="I544" i="1" a="1"/>
  <c r="I544" i="1" s="1"/>
  <c r="G544" i="1" a="1"/>
  <c r="G544" i="1" s="1"/>
  <c r="F544" i="1" a="1"/>
  <c r="F544" i="1" s="1"/>
  <c r="M543" i="1" a="1"/>
  <c r="M543" i="1" s="1"/>
  <c r="L543" i="1"/>
  <c r="K543" i="1"/>
  <c r="J543" i="1"/>
  <c r="I543" i="1" a="1"/>
  <c r="I543" i="1" s="1"/>
  <c r="G543" i="1" a="1"/>
  <c r="G543" i="1" s="1"/>
  <c r="F543" i="1" a="1"/>
  <c r="F543" i="1" s="1"/>
  <c r="M542" i="1" a="1"/>
  <c r="M542" i="1" s="1"/>
  <c r="Q542" i="1" s="1"/>
  <c r="L542" i="1"/>
  <c r="K542" i="1"/>
  <c r="J542" i="1"/>
  <c r="I542" i="1" a="1"/>
  <c r="I542" i="1" s="1"/>
  <c r="G542" i="1" a="1"/>
  <c r="G542" i="1" s="1"/>
  <c r="F542" i="1" a="1"/>
  <c r="F542" i="1" s="1"/>
  <c r="M541" i="1" a="1"/>
  <c r="M541" i="1" s="1"/>
  <c r="L541" i="1"/>
  <c r="K541" i="1"/>
  <c r="J541" i="1"/>
  <c r="I541" i="1" a="1"/>
  <c r="I541" i="1" s="1"/>
  <c r="G541" i="1" a="1"/>
  <c r="G541" i="1" s="1"/>
  <c r="F541" i="1" a="1"/>
  <c r="F541" i="1" s="1"/>
  <c r="M540" i="1" a="1"/>
  <c r="M540" i="1" s="1"/>
  <c r="Q540" i="1" s="1"/>
  <c r="L540" i="1"/>
  <c r="K540" i="1"/>
  <c r="J540" i="1"/>
  <c r="I540" i="1" a="1"/>
  <c r="I540" i="1" s="1"/>
  <c r="G540" i="1" a="1"/>
  <c r="G540" i="1" s="1"/>
  <c r="F540" i="1" a="1"/>
  <c r="F540" i="1" s="1"/>
  <c r="M539" i="1" a="1"/>
  <c r="M539" i="1" s="1"/>
  <c r="Q539" i="1" s="1"/>
  <c r="L539" i="1"/>
  <c r="K539" i="1"/>
  <c r="J539" i="1"/>
  <c r="I539" i="1" a="1"/>
  <c r="I539" i="1" s="1"/>
  <c r="G539" i="1" a="1"/>
  <c r="G539" i="1" s="1"/>
  <c r="F539" i="1" a="1"/>
  <c r="F539" i="1" s="1"/>
  <c r="M538" i="1" a="1"/>
  <c r="M538" i="1" s="1"/>
  <c r="Q538" i="1" s="1"/>
  <c r="L538" i="1"/>
  <c r="K538" i="1"/>
  <c r="J538" i="1"/>
  <c r="I538" i="1" a="1"/>
  <c r="I538" i="1" s="1"/>
  <c r="G538" i="1" a="1"/>
  <c r="G538" i="1" s="1"/>
  <c r="F538" i="1" a="1"/>
  <c r="F538" i="1" s="1"/>
  <c r="M537" i="1" a="1"/>
  <c r="M537" i="1" s="1"/>
  <c r="Q537" i="1" s="1"/>
  <c r="L537" i="1"/>
  <c r="K537" i="1"/>
  <c r="J537" i="1"/>
  <c r="I537" i="1" a="1"/>
  <c r="I537" i="1" s="1"/>
  <c r="G537" i="1" a="1"/>
  <c r="G537" i="1" s="1"/>
  <c r="F537" i="1" a="1"/>
  <c r="F537" i="1" s="1"/>
  <c r="M536" i="1" a="1"/>
  <c r="M536" i="1" s="1"/>
  <c r="Q536" i="1" s="1"/>
  <c r="L536" i="1"/>
  <c r="K536" i="1"/>
  <c r="J536" i="1"/>
  <c r="I536" i="1" a="1"/>
  <c r="I536" i="1" s="1"/>
  <c r="G536" i="1" a="1"/>
  <c r="G536" i="1" s="1"/>
  <c r="F536" i="1" a="1"/>
  <c r="F536" i="1" s="1"/>
  <c r="M535" i="1" a="1"/>
  <c r="M535" i="1" s="1"/>
  <c r="Q535" i="1" s="1"/>
  <c r="L535" i="1"/>
  <c r="K535" i="1"/>
  <c r="J535" i="1"/>
  <c r="I535" i="1" a="1"/>
  <c r="I535" i="1" s="1"/>
  <c r="G535" i="1" a="1"/>
  <c r="G535" i="1" s="1"/>
  <c r="F535" i="1" a="1"/>
  <c r="F535" i="1" s="1"/>
  <c r="M534" i="1" a="1"/>
  <c r="M534" i="1" s="1"/>
  <c r="Q534" i="1" s="1"/>
  <c r="L534" i="1"/>
  <c r="K534" i="1"/>
  <c r="J534" i="1"/>
  <c r="I534" i="1" a="1"/>
  <c r="I534" i="1" s="1"/>
  <c r="G534" i="1" a="1"/>
  <c r="G534" i="1" s="1"/>
  <c r="F534" i="1" a="1"/>
  <c r="F534" i="1" s="1"/>
  <c r="M533" i="1" a="1"/>
  <c r="M533" i="1" s="1"/>
  <c r="Q533" i="1" s="1"/>
  <c r="L533" i="1"/>
  <c r="K533" i="1"/>
  <c r="J533" i="1"/>
  <c r="I533" i="1" a="1"/>
  <c r="I533" i="1" s="1"/>
  <c r="G533" i="1" a="1"/>
  <c r="G533" i="1" s="1"/>
  <c r="F533" i="1" a="1"/>
  <c r="F533" i="1" s="1"/>
  <c r="M532" i="1" a="1"/>
  <c r="M532" i="1" s="1"/>
  <c r="Q532" i="1" s="1"/>
  <c r="L532" i="1"/>
  <c r="K532" i="1"/>
  <c r="J532" i="1"/>
  <c r="I532" i="1"/>
  <c r="I532" i="1" a="1"/>
  <c r="G532" i="1" a="1"/>
  <c r="G532" i="1" s="1"/>
  <c r="F532" i="1" a="1"/>
  <c r="F532" i="1" s="1"/>
  <c r="M531" i="1" a="1"/>
  <c r="M531" i="1" s="1"/>
  <c r="Q531" i="1" s="1"/>
  <c r="L531" i="1"/>
  <c r="K531" i="1"/>
  <c r="J531" i="1"/>
  <c r="I531" i="1" a="1"/>
  <c r="I531" i="1" s="1"/>
  <c r="G531" i="1" a="1"/>
  <c r="G531" i="1" s="1"/>
  <c r="F531" i="1" a="1"/>
  <c r="F531" i="1" s="1"/>
  <c r="M530" i="1" a="1"/>
  <c r="M530" i="1" s="1"/>
  <c r="L530" i="1"/>
  <c r="K530" i="1"/>
  <c r="J530" i="1"/>
  <c r="I530" i="1" a="1"/>
  <c r="I530" i="1" s="1"/>
  <c r="G530" i="1" a="1"/>
  <c r="G530" i="1" s="1"/>
  <c r="F530" i="1" a="1"/>
  <c r="F530" i="1" s="1"/>
  <c r="M529" i="1" a="1"/>
  <c r="M529" i="1" s="1"/>
  <c r="Q529" i="1" s="1"/>
  <c r="L529" i="1"/>
  <c r="K529" i="1"/>
  <c r="J529" i="1"/>
  <c r="I529" i="1" a="1"/>
  <c r="I529" i="1" s="1"/>
  <c r="G529" i="1" a="1"/>
  <c r="G529" i="1" s="1"/>
  <c r="F529" i="1" a="1"/>
  <c r="F529" i="1" s="1"/>
  <c r="M528" i="1" a="1"/>
  <c r="M528" i="1" s="1"/>
  <c r="U528" i="1" s="1" a="1"/>
  <c r="U528" i="1" s="1"/>
  <c r="L528" i="1"/>
  <c r="K528" i="1"/>
  <c r="J528" i="1"/>
  <c r="I528" i="1" a="1"/>
  <c r="I528" i="1" s="1"/>
  <c r="G528" i="1" a="1"/>
  <c r="G528" i="1" s="1"/>
  <c r="F528" i="1" a="1"/>
  <c r="F528" i="1" s="1"/>
  <c r="M527" i="1" a="1"/>
  <c r="M527" i="1" s="1"/>
  <c r="Q527" i="1" s="1"/>
  <c r="L527" i="1"/>
  <c r="K527" i="1"/>
  <c r="J527" i="1"/>
  <c r="I527" i="1" a="1"/>
  <c r="I527" i="1" s="1"/>
  <c r="G527" i="1" a="1"/>
  <c r="G527" i="1" s="1"/>
  <c r="F527" i="1" a="1"/>
  <c r="F527" i="1" s="1"/>
  <c r="M526" i="1" a="1"/>
  <c r="M526" i="1" s="1"/>
  <c r="L526" i="1"/>
  <c r="K526" i="1"/>
  <c r="J526" i="1"/>
  <c r="I526" i="1" a="1"/>
  <c r="I526" i="1" s="1"/>
  <c r="G526" i="1" a="1"/>
  <c r="G526" i="1" s="1"/>
  <c r="F526" i="1" a="1"/>
  <c r="F526" i="1" s="1"/>
  <c r="M525" i="1" a="1"/>
  <c r="M525" i="1" s="1"/>
  <c r="Q525" i="1" s="1"/>
  <c r="L525" i="1"/>
  <c r="K525" i="1"/>
  <c r="J525" i="1"/>
  <c r="I525" i="1" a="1"/>
  <c r="I525" i="1" s="1"/>
  <c r="G525" i="1" a="1"/>
  <c r="G525" i="1" s="1"/>
  <c r="F525" i="1" a="1"/>
  <c r="F525" i="1" s="1"/>
  <c r="M524" i="1" a="1"/>
  <c r="M524" i="1" s="1"/>
  <c r="U524" i="1" s="1" a="1"/>
  <c r="U524" i="1" s="1"/>
  <c r="L524" i="1"/>
  <c r="K524" i="1"/>
  <c r="J524" i="1"/>
  <c r="I524" i="1" a="1"/>
  <c r="I524" i="1" s="1"/>
  <c r="G524" i="1" a="1"/>
  <c r="G524" i="1" s="1"/>
  <c r="F524" i="1" a="1"/>
  <c r="F524" i="1" s="1"/>
  <c r="M523" i="1" a="1"/>
  <c r="M523" i="1" s="1"/>
  <c r="Q523" i="1" s="1"/>
  <c r="L523" i="1"/>
  <c r="K523" i="1"/>
  <c r="J523" i="1"/>
  <c r="I523" i="1" a="1"/>
  <c r="I523" i="1" s="1"/>
  <c r="G523" i="1" a="1"/>
  <c r="G523" i="1" s="1"/>
  <c r="F523" i="1" a="1"/>
  <c r="F523" i="1" s="1"/>
  <c r="M522" i="1" a="1"/>
  <c r="M522" i="1" s="1"/>
  <c r="Q522" i="1" s="1"/>
  <c r="L522" i="1"/>
  <c r="K522" i="1"/>
  <c r="J522" i="1"/>
  <c r="I522" i="1" a="1"/>
  <c r="I522" i="1" s="1"/>
  <c r="G522" i="1" a="1"/>
  <c r="G522" i="1" s="1"/>
  <c r="F522" i="1" a="1"/>
  <c r="F522" i="1" s="1"/>
  <c r="M521" i="1" a="1"/>
  <c r="M521" i="1" s="1"/>
  <c r="Q521" i="1" s="1"/>
  <c r="L521" i="1"/>
  <c r="K521" i="1"/>
  <c r="J521" i="1"/>
  <c r="I521" i="1" a="1"/>
  <c r="I521" i="1" s="1"/>
  <c r="G521" i="1" a="1"/>
  <c r="G521" i="1" s="1"/>
  <c r="F521" i="1" a="1"/>
  <c r="F521" i="1" s="1"/>
  <c r="M520" i="1" a="1"/>
  <c r="M520" i="1" s="1"/>
  <c r="Q520" i="1" s="1"/>
  <c r="L520" i="1"/>
  <c r="K520" i="1"/>
  <c r="J520" i="1"/>
  <c r="I520" i="1" a="1"/>
  <c r="I520" i="1" s="1"/>
  <c r="G520" i="1" a="1"/>
  <c r="G520" i="1" s="1"/>
  <c r="F520" i="1" a="1"/>
  <c r="F520" i="1" s="1"/>
  <c r="M519" i="1" a="1"/>
  <c r="M519" i="1" s="1"/>
  <c r="U519" i="1" s="1" a="1"/>
  <c r="U519" i="1" s="1"/>
  <c r="L519" i="1"/>
  <c r="K519" i="1"/>
  <c r="J519" i="1"/>
  <c r="I519" i="1" a="1"/>
  <c r="I519" i="1" s="1"/>
  <c r="G519" i="1" a="1"/>
  <c r="G519" i="1" s="1"/>
  <c r="F519" i="1" a="1"/>
  <c r="F519" i="1" s="1"/>
  <c r="M518" i="1" a="1"/>
  <c r="M518" i="1" s="1"/>
  <c r="Q518" i="1" s="1"/>
  <c r="L518" i="1"/>
  <c r="K518" i="1"/>
  <c r="J518" i="1"/>
  <c r="I518" i="1" a="1"/>
  <c r="I518" i="1" s="1"/>
  <c r="G518" i="1" a="1"/>
  <c r="G518" i="1" s="1"/>
  <c r="F518" i="1" a="1"/>
  <c r="F518" i="1" s="1"/>
  <c r="M517" i="1" a="1"/>
  <c r="M517" i="1" s="1"/>
  <c r="U517" i="1" s="1" a="1"/>
  <c r="U517" i="1" s="1"/>
  <c r="L517" i="1"/>
  <c r="K517" i="1"/>
  <c r="J517" i="1"/>
  <c r="I517" i="1" a="1"/>
  <c r="I517" i="1" s="1"/>
  <c r="G517" i="1" a="1"/>
  <c r="G517" i="1" s="1"/>
  <c r="F517" i="1" a="1"/>
  <c r="F517" i="1" s="1"/>
  <c r="M516" i="1" a="1"/>
  <c r="M516" i="1" s="1"/>
  <c r="Q516" i="1" s="1"/>
  <c r="L516" i="1"/>
  <c r="K516" i="1"/>
  <c r="J516" i="1"/>
  <c r="I516" i="1" a="1"/>
  <c r="I516" i="1" s="1"/>
  <c r="G516" i="1" a="1"/>
  <c r="G516" i="1" s="1"/>
  <c r="F516" i="1" a="1"/>
  <c r="F516" i="1" s="1"/>
  <c r="M515" i="1" a="1"/>
  <c r="M515" i="1" s="1"/>
  <c r="Q515" i="1" s="1"/>
  <c r="L515" i="1"/>
  <c r="K515" i="1"/>
  <c r="J515" i="1"/>
  <c r="I515" i="1" a="1"/>
  <c r="I515" i="1" s="1"/>
  <c r="G515" i="1" a="1"/>
  <c r="G515" i="1" s="1"/>
  <c r="F515" i="1" a="1"/>
  <c r="F515" i="1" s="1"/>
  <c r="M514" i="1" a="1"/>
  <c r="M514" i="1" s="1"/>
  <c r="Q514" i="1" s="1"/>
  <c r="L514" i="1"/>
  <c r="K514" i="1"/>
  <c r="J514" i="1"/>
  <c r="I514" i="1" a="1"/>
  <c r="I514" i="1" s="1"/>
  <c r="G514" i="1" a="1"/>
  <c r="G514" i="1" s="1"/>
  <c r="F514" i="1" a="1"/>
  <c r="F514" i="1" s="1"/>
  <c r="G513" i="1" a="1"/>
  <c r="G513" i="1" s="1"/>
  <c r="G512" i="1" a="1"/>
  <c r="G512" i="1" s="1"/>
  <c r="G511" i="1" a="1"/>
  <c r="G511" i="1" s="1"/>
  <c r="G510" i="1" a="1"/>
  <c r="G510" i="1" s="1"/>
  <c r="G509" i="1" a="1"/>
  <c r="G509" i="1" s="1"/>
  <c r="G508" i="1" a="1"/>
  <c r="G508" i="1" s="1"/>
  <c r="G507" i="1" a="1"/>
  <c r="G507" i="1" s="1"/>
  <c r="G506" i="1" a="1"/>
  <c r="G506" i="1" s="1"/>
  <c r="G505" i="1" a="1"/>
  <c r="G505" i="1" s="1"/>
  <c r="G504" i="1" a="1"/>
  <c r="G504" i="1" s="1"/>
  <c r="G503" i="1" a="1"/>
  <c r="G503" i="1" s="1"/>
  <c r="G502" i="1" a="1"/>
  <c r="G502" i="1" s="1"/>
  <c r="G501" i="1" a="1"/>
  <c r="G501" i="1" s="1"/>
  <c r="G500" i="1" a="1"/>
  <c r="G500" i="1" s="1"/>
  <c r="G499" i="1" a="1"/>
  <c r="G499" i="1" s="1"/>
  <c r="G498" i="1" a="1"/>
  <c r="G498" i="1" s="1"/>
  <c r="G497" i="1" a="1"/>
  <c r="G497" i="1" s="1"/>
  <c r="G496" i="1" a="1"/>
  <c r="G496" i="1" s="1"/>
  <c r="G495" i="1" a="1"/>
  <c r="G495" i="1" s="1"/>
  <c r="G494" i="1" a="1"/>
  <c r="G494" i="1" s="1"/>
  <c r="G493" i="1" a="1"/>
  <c r="G493" i="1" s="1"/>
  <c r="G492" i="1" a="1"/>
  <c r="G492" i="1" s="1"/>
  <c r="G491" i="1" a="1"/>
  <c r="G491" i="1" s="1"/>
  <c r="G490" i="1" a="1"/>
  <c r="G490" i="1" s="1"/>
  <c r="G489" i="1" a="1"/>
  <c r="G489" i="1" s="1"/>
  <c r="G488" i="1" a="1"/>
  <c r="G488" i="1" s="1"/>
  <c r="G487" i="1" a="1"/>
  <c r="G487" i="1" s="1"/>
  <c r="G486" i="1" a="1"/>
  <c r="G486" i="1" s="1"/>
  <c r="G485" i="1" a="1"/>
  <c r="G485" i="1" s="1"/>
  <c r="G484" i="1" a="1"/>
  <c r="G484" i="1" s="1"/>
  <c r="G483" i="1" a="1"/>
  <c r="G483" i="1" s="1"/>
  <c r="G482" i="1" a="1"/>
  <c r="G482" i="1" s="1"/>
  <c r="G481" i="1" a="1"/>
  <c r="G481" i="1" s="1"/>
  <c r="G480" i="1" a="1"/>
  <c r="G480" i="1" s="1"/>
  <c r="G479" i="1" a="1"/>
  <c r="G479" i="1" s="1"/>
  <c r="G478" i="1" a="1"/>
  <c r="G478" i="1" s="1"/>
  <c r="G477" i="1" a="1"/>
  <c r="G477" i="1" s="1"/>
  <c r="G476" i="1" a="1"/>
  <c r="G476" i="1" s="1"/>
  <c r="G475" i="1" a="1"/>
  <c r="G475" i="1" s="1"/>
  <c r="G474" i="1" a="1"/>
  <c r="G474" i="1" s="1"/>
  <c r="G473" i="1" a="1"/>
  <c r="G473" i="1" s="1"/>
  <c r="G472" i="1" a="1"/>
  <c r="G472" i="1" s="1"/>
  <c r="G471" i="1" a="1"/>
  <c r="G471" i="1" s="1"/>
  <c r="G470" i="1" a="1"/>
  <c r="G470" i="1" s="1"/>
  <c r="G469" i="1" a="1"/>
  <c r="G469" i="1" s="1"/>
  <c r="G468" i="1" a="1"/>
  <c r="G468" i="1" s="1"/>
  <c r="G467" i="1" a="1"/>
  <c r="G467" i="1" s="1"/>
  <c r="G466" i="1" a="1"/>
  <c r="G466" i="1" s="1"/>
  <c r="G465" i="1" a="1"/>
  <c r="G465" i="1" s="1"/>
  <c r="G464" i="1" a="1"/>
  <c r="G464" i="1" s="1"/>
  <c r="G463" i="1" a="1"/>
  <c r="G463" i="1" s="1"/>
  <c r="G462" i="1" a="1"/>
  <c r="G462" i="1" s="1"/>
  <c r="G461" i="1" a="1"/>
  <c r="G461" i="1" s="1"/>
  <c r="G460" i="1" a="1"/>
  <c r="G460" i="1" s="1"/>
  <c r="G459" i="1" a="1"/>
  <c r="G459" i="1" s="1"/>
  <c r="G458" i="1" a="1"/>
  <c r="G458" i="1" s="1"/>
  <c r="G457" i="1" a="1"/>
  <c r="G457" i="1" s="1"/>
  <c r="G456" i="1" a="1"/>
  <c r="G456" i="1" s="1"/>
  <c r="G455" i="1" a="1"/>
  <c r="G455" i="1" s="1"/>
  <c r="G454" i="1" a="1"/>
  <c r="G454" i="1" s="1"/>
  <c r="G453" i="1" a="1"/>
  <c r="G453" i="1" s="1"/>
  <c r="G452" i="1" a="1"/>
  <c r="G452" i="1" s="1"/>
  <c r="G451" i="1" a="1"/>
  <c r="G451" i="1" s="1"/>
  <c r="G450" i="1" a="1"/>
  <c r="G450" i="1" s="1"/>
  <c r="G449" i="1" a="1"/>
  <c r="G449" i="1" s="1"/>
  <c r="G448" i="1" a="1"/>
  <c r="G448" i="1" s="1"/>
  <c r="G447" i="1" a="1"/>
  <c r="G447" i="1" s="1"/>
  <c r="G446" i="1" a="1"/>
  <c r="G446" i="1" s="1"/>
  <c r="G445" i="1" a="1"/>
  <c r="G445" i="1" s="1"/>
  <c r="G444" i="1" a="1"/>
  <c r="G444" i="1" s="1"/>
  <c r="G443" i="1" a="1"/>
  <c r="G443" i="1" s="1"/>
  <c r="G442" i="1" a="1"/>
  <c r="G442" i="1" s="1"/>
  <c r="G441" i="1" a="1"/>
  <c r="G441" i="1" s="1"/>
  <c r="G440" i="1" a="1"/>
  <c r="G440" i="1" s="1"/>
  <c r="G439" i="1" a="1"/>
  <c r="G439" i="1" s="1"/>
  <c r="G438" i="1" a="1"/>
  <c r="G438" i="1" s="1"/>
  <c r="G437" i="1" a="1"/>
  <c r="G437" i="1" s="1"/>
  <c r="G436" i="1" a="1"/>
  <c r="G436" i="1" s="1"/>
  <c r="G435" i="1" a="1"/>
  <c r="G435" i="1" s="1"/>
  <c r="G434" i="1" a="1"/>
  <c r="G434" i="1" s="1"/>
  <c r="G433" i="1" a="1"/>
  <c r="G433" i="1" s="1"/>
  <c r="G432" i="1" a="1"/>
  <c r="G432" i="1" s="1"/>
  <c r="G431" i="1" a="1"/>
  <c r="G431" i="1" s="1"/>
  <c r="G430" i="1" a="1"/>
  <c r="G430" i="1" s="1"/>
  <c r="G429" i="1" a="1"/>
  <c r="G429" i="1" s="1"/>
  <c r="G428" i="1" a="1"/>
  <c r="G428" i="1" s="1"/>
  <c r="G427" i="1" a="1"/>
  <c r="G427" i="1" s="1"/>
  <c r="G426" i="1" a="1"/>
  <c r="G426" i="1" s="1"/>
  <c r="G425" i="1" a="1"/>
  <c r="G425" i="1" s="1"/>
  <c r="G424" i="1" a="1"/>
  <c r="G424" i="1" s="1"/>
  <c r="G423" i="1" a="1"/>
  <c r="G423" i="1" s="1"/>
  <c r="G422" i="1" a="1"/>
  <c r="G422" i="1" s="1"/>
  <c r="G421" i="1" a="1"/>
  <c r="G421" i="1" s="1"/>
  <c r="G420" i="1" a="1"/>
  <c r="G420" i="1" s="1"/>
  <c r="G419" i="1" a="1"/>
  <c r="G419" i="1" s="1"/>
  <c r="G418" i="1" a="1"/>
  <c r="G418" i="1" s="1"/>
  <c r="G417" i="1" a="1"/>
  <c r="G417" i="1" s="1"/>
  <c r="G416" i="1" a="1"/>
  <c r="G416" i="1" s="1"/>
  <c r="G415" i="1" a="1"/>
  <c r="G415" i="1" s="1"/>
  <c r="G414" i="1" a="1"/>
  <c r="G414" i="1" s="1"/>
  <c r="G413" i="1" a="1"/>
  <c r="G413" i="1" s="1"/>
  <c r="G412" i="1" a="1"/>
  <c r="G412" i="1" s="1"/>
  <c r="G411" i="1" a="1"/>
  <c r="G411" i="1" s="1"/>
  <c r="G410" i="1" a="1"/>
  <c r="G410" i="1" s="1"/>
  <c r="G409" i="1" a="1"/>
  <c r="G409" i="1" s="1"/>
  <c r="G408" i="1" a="1"/>
  <c r="G408" i="1" s="1"/>
  <c r="G407" i="1" a="1"/>
  <c r="G407" i="1" s="1"/>
  <c r="G406" i="1" a="1"/>
  <c r="G406" i="1" s="1"/>
  <c r="G405" i="1" a="1"/>
  <c r="G405" i="1" s="1"/>
  <c r="G404" i="1" a="1"/>
  <c r="G404" i="1" s="1"/>
  <c r="G403" i="1" a="1"/>
  <c r="G403" i="1" s="1"/>
  <c r="G402" i="1" a="1"/>
  <c r="G402" i="1" s="1"/>
  <c r="G401" i="1" a="1"/>
  <c r="G401" i="1" s="1"/>
  <c r="G400" i="1" a="1"/>
  <c r="G400" i="1" s="1"/>
  <c r="G399" i="1" a="1"/>
  <c r="G399" i="1" s="1"/>
  <c r="G398" i="1" a="1"/>
  <c r="G398" i="1" s="1"/>
  <c r="G397" i="1" a="1"/>
  <c r="G397" i="1" s="1"/>
  <c r="G396" i="1" a="1"/>
  <c r="G396" i="1" s="1"/>
  <c r="G395" i="1" a="1"/>
  <c r="G395" i="1" s="1"/>
  <c r="G394" i="1" a="1"/>
  <c r="G394" i="1" s="1"/>
  <c r="G393" i="1" a="1"/>
  <c r="G393" i="1" s="1"/>
  <c r="G392" i="1" a="1"/>
  <c r="G392" i="1" s="1"/>
  <c r="G391" i="1" a="1"/>
  <c r="G391" i="1" s="1"/>
  <c r="G390" i="1" a="1"/>
  <c r="G390" i="1" s="1"/>
  <c r="G389" i="1" a="1"/>
  <c r="G389" i="1" s="1"/>
  <c r="G388" i="1" a="1"/>
  <c r="G388" i="1" s="1"/>
  <c r="G387" i="1" a="1"/>
  <c r="G387" i="1" s="1"/>
  <c r="G386" i="1" a="1"/>
  <c r="G386" i="1" s="1"/>
  <c r="G385" i="1" a="1"/>
  <c r="G385" i="1" s="1"/>
  <c r="G384" i="1" a="1"/>
  <c r="G384" i="1" s="1"/>
  <c r="G383" i="1" a="1"/>
  <c r="G383" i="1" s="1"/>
  <c r="G382" i="1" a="1"/>
  <c r="G382" i="1" s="1"/>
  <c r="G381" i="1" a="1"/>
  <c r="G381" i="1" s="1"/>
  <c r="G380" i="1" a="1"/>
  <c r="G380" i="1" s="1"/>
  <c r="G379" i="1" a="1"/>
  <c r="G379" i="1" s="1"/>
  <c r="G378" i="1" a="1"/>
  <c r="G378" i="1" s="1"/>
  <c r="G377" i="1" a="1"/>
  <c r="G377" i="1" s="1"/>
  <c r="G376" i="1" a="1"/>
  <c r="G376" i="1" s="1"/>
  <c r="G375" i="1" a="1"/>
  <c r="G375" i="1" s="1"/>
  <c r="G374" i="1" a="1"/>
  <c r="G374" i="1" s="1"/>
  <c r="G373" i="1" a="1"/>
  <c r="G373" i="1" s="1"/>
  <c r="G372" i="1" a="1"/>
  <c r="G372" i="1" s="1"/>
  <c r="G371" i="1" a="1"/>
  <c r="G371" i="1" s="1"/>
  <c r="G370" i="1" a="1"/>
  <c r="G370" i="1" s="1"/>
  <c r="G369" i="1" a="1"/>
  <c r="G369" i="1" s="1"/>
  <c r="G368" i="1" a="1"/>
  <c r="G368" i="1" s="1"/>
  <c r="G367" i="1" a="1"/>
  <c r="G367" i="1" s="1"/>
  <c r="G366" i="1" a="1"/>
  <c r="G366" i="1" s="1"/>
  <c r="G365" i="1" a="1"/>
  <c r="G365" i="1" s="1"/>
  <c r="G364" i="1" a="1"/>
  <c r="G364" i="1" s="1"/>
  <c r="G363" i="1" a="1"/>
  <c r="G363" i="1" s="1"/>
  <c r="G362" i="1" a="1"/>
  <c r="G362" i="1" s="1"/>
  <c r="G361" i="1" a="1"/>
  <c r="G361" i="1" s="1"/>
  <c r="G360" i="1" a="1"/>
  <c r="G360" i="1" s="1"/>
  <c r="G359" i="1" a="1"/>
  <c r="G359" i="1" s="1"/>
  <c r="G358" i="1" a="1"/>
  <c r="G358" i="1" s="1"/>
  <c r="G357" i="1" a="1"/>
  <c r="G357" i="1" s="1"/>
  <c r="G356" i="1" a="1"/>
  <c r="G356" i="1" s="1"/>
  <c r="G355" i="1" a="1"/>
  <c r="G355" i="1" s="1"/>
  <c r="G354" i="1" a="1"/>
  <c r="G354" i="1" s="1"/>
  <c r="G353" i="1" a="1"/>
  <c r="G353" i="1" s="1"/>
  <c r="G352" i="1" a="1"/>
  <c r="G352" i="1" s="1"/>
  <c r="G351" i="1" a="1"/>
  <c r="G351" i="1" s="1"/>
  <c r="G350" i="1" a="1"/>
  <c r="G350" i="1" s="1"/>
  <c r="G349" i="1" a="1"/>
  <c r="G349" i="1" s="1"/>
  <c r="G348" i="1" a="1"/>
  <c r="G348" i="1" s="1"/>
  <c r="G347" i="1" a="1"/>
  <c r="G347" i="1" s="1"/>
  <c r="G346" i="1" a="1"/>
  <c r="G346" i="1" s="1"/>
  <c r="G345" i="1" a="1"/>
  <c r="G345" i="1" s="1"/>
  <c r="G344" i="1" a="1"/>
  <c r="G344" i="1" s="1"/>
  <c r="G343" i="1" a="1"/>
  <c r="G343" i="1" s="1"/>
  <c r="G342" i="1" a="1"/>
  <c r="G342" i="1" s="1"/>
  <c r="G341" i="1" a="1"/>
  <c r="G341" i="1" s="1"/>
  <c r="G340" i="1" a="1"/>
  <c r="G340" i="1" s="1"/>
  <c r="G339" i="1" a="1"/>
  <c r="G339" i="1" s="1"/>
  <c r="G338" i="1" a="1"/>
  <c r="G338" i="1" s="1"/>
  <c r="G337" i="1" a="1"/>
  <c r="G337" i="1" s="1"/>
  <c r="G336" i="1" a="1"/>
  <c r="G336" i="1" s="1"/>
  <c r="G335" i="1" a="1"/>
  <c r="G335" i="1" s="1"/>
  <c r="G334" i="1" a="1"/>
  <c r="G334" i="1" s="1"/>
  <c r="G333" i="1" a="1"/>
  <c r="G333" i="1" s="1"/>
  <c r="G332" i="1" a="1"/>
  <c r="G332" i="1" s="1"/>
  <c r="G331" i="1" a="1"/>
  <c r="G331" i="1" s="1"/>
  <c r="G330" i="1" a="1"/>
  <c r="G330" i="1" s="1"/>
  <c r="G329" i="1" a="1"/>
  <c r="G329" i="1" s="1"/>
  <c r="G328" i="1" a="1"/>
  <c r="G328" i="1" s="1"/>
  <c r="G327" i="1" a="1"/>
  <c r="G327" i="1" s="1"/>
  <c r="G326" i="1" a="1"/>
  <c r="G326" i="1" s="1"/>
  <c r="G325" i="1" a="1"/>
  <c r="G325" i="1" s="1"/>
  <c r="G324" i="1" a="1"/>
  <c r="G324" i="1" s="1"/>
  <c r="G323" i="1" a="1"/>
  <c r="G323" i="1" s="1"/>
  <c r="G322" i="1" a="1"/>
  <c r="G322" i="1" s="1"/>
  <c r="G321" i="1" a="1"/>
  <c r="G321" i="1" s="1"/>
  <c r="G320" i="1" a="1"/>
  <c r="G320" i="1" s="1"/>
  <c r="G319" i="1" a="1"/>
  <c r="G319" i="1" s="1"/>
  <c r="G318" i="1" a="1"/>
  <c r="G318" i="1" s="1"/>
  <c r="G317" i="1" a="1"/>
  <c r="G317" i="1" s="1"/>
  <c r="G316" i="1" a="1"/>
  <c r="G316" i="1" s="1"/>
  <c r="G315" i="1" a="1"/>
  <c r="G315" i="1" s="1"/>
  <c r="G314" i="1" a="1"/>
  <c r="G314" i="1" s="1"/>
  <c r="G313" i="1" a="1"/>
  <c r="G313" i="1" s="1"/>
  <c r="G312" i="1" a="1"/>
  <c r="G312" i="1" s="1"/>
  <c r="G311" i="1" a="1"/>
  <c r="G311" i="1" s="1"/>
  <c r="G310" i="1" a="1"/>
  <c r="G310" i="1" s="1"/>
  <c r="G309" i="1" a="1"/>
  <c r="G309" i="1" s="1"/>
  <c r="G308" i="1" a="1"/>
  <c r="G308" i="1" s="1"/>
  <c r="G307" i="1" a="1"/>
  <c r="G307" i="1" s="1"/>
  <c r="G306" i="1" a="1"/>
  <c r="G306" i="1" s="1"/>
  <c r="G305" i="1" a="1"/>
  <c r="G305" i="1" s="1"/>
  <c r="G304" i="1" a="1"/>
  <c r="G304" i="1" s="1"/>
  <c r="G303" i="1" a="1"/>
  <c r="G303" i="1" s="1"/>
  <c r="G302" i="1" a="1"/>
  <c r="G302" i="1" s="1"/>
  <c r="G301" i="1" a="1"/>
  <c r="G301" i="1" s="1"/>
  <c r="G300" i="1" a="1"/>
  <c r="G300" i="1" s="1"/>
  <c r="G299" i="1" a="1"/>
  <c r="G299" i="1" s="1"/>
  <c r="G298" i="1" a="1"/>
  <c r="G298" i="1" s="1"/>
  <c r="G297" i="1" a="1"/>
  <c r="G297" i="1" s="1"/>
  <c r="G296" i="1" a="1"/>
  <c r="G296" i="1" s="1"/>
  <c r="G295" i="1" a="1"/>
  <c r="G295" i="1" s="1"/>
  <c r="G294" i="1" a="1"/>
  <c r="G294" i="1" s="1"/>
  <c r="G293" i="1" a="1"/>
  <c r="G293" i="1" s="1"/>
  <c r="G292" i="1" a="1"/>
  <c r="G292" i="1" s="1"/>
  <c r="G291" i="1" a="1"/>
  <c r="G291" i="1" s="1"/>
  <c r="G290" i="1" a="1"/>
  <c r="G290" i="1" s="1"/>
  <c r="G289" i="1" a="1"/>
  <c r="G289" i="1" s="1"/>
  <c r="G288" i="1" a="1"/>
  <c r="G288" i="1" s="1"/>
  <c r="G287" i="1" a="1"/>
  <c r="G287" i="1" s="1"/>
  <c r="G286" i="1" a="1"/>
  <c r="G286" i="1" s="1"/>
  <c r="G285" i="1" a="1"/>
  <c r="G285" i="1" s="1"/>
  <c r="G284" i="1" a="1"/>
  <c r="G284" i="1" s="1"/>
  <c r="G283" i="1" a="1"/>
  <c r="G283" i="1" s="1"/>
  <c r="G282" i="1" a="1"/>
  <c r="G282" i="1" s="1"/>
  <c r="G281" i="1" a="1"/>
  <c r="G281" i="1" s="1"/>
  <c r="G280" i="1" a="1"/>
  <c r="G280" i="1" s="1"/>
  <c r="G279" i="1" a="1"/>
  <c r="G279" i="1" s="1"/>
  <c r="G278" i="1" a="1"/>
  <c r="G278" i="1" s="1"/>
  <c r="G277" i="1" a="1"/>
  <c r="G277" i="1" s="1"/>
  <c r="G276" i="1" a="1"/>
  <c r="G276" i="1" s="1"/>
  <c r="G275" i="1" a="1"/>
  <c r="G275" i="1" s="1"/>
  <c r="G274" i="1" a="1"/>
  <c r="G274" i="1" s="1"/>
  <c r="G273" i="1" a="1"/>
  <c r="G273" i="1" s="1"/>
  <c r="G272" i="1" a="1"/>
  <c r="G272" i="1" s="1"/>
  <c r="G271" i="1" a="1"/>
  <c r="G271" i="1" s="1"/>
  <c r="G270" i="1" a="1"/>
  <c r="G270" i="1" s="1"/>
  <c r="G269" i="1" a="1"/>
  <c r="G269" i="1" s="1"/>
  <c r="G268" i="1" a="1"/>
  <c r="G268" i="1" s="1"/>
  <c r="G267" i="1" a="1"/>
  <c r="G267" i="1" s="1"/>
  <c r="G266" i="1" a="1"/>
  <c r="G266" i="1" s="1"/>
  <c r="G265" i="1" a="1"/>
  <c r="G265" i="1" s="1"/>
  <c r="G264" i="1" a="1"/>
  <c r="G264" i="1" s="1"/>
  <c r="G263" i="1" a="1"/>
  <c r="G263" i="1" s="1"/>
  <c r="G262" i="1" a="1"/>
  <c r="G262" i="1" s="1"/>
  <c r="G261" i="1" a="1"/>
  <c r="G261" i="1" s="1"/>
  <c r="G260" i="1" a="1"/>
  <c r="G260" i="1" s="1"/>
  <c r="G259" i="1" a="1"/>
  <c r="G259" i="1" s="1"/>
  <c r="G258" i="1" a="1"/>
  <c r="G258" i="1" s="1"/>
  <c r="G257" i="1" a="1"/>
  <c r="G257" i="1" s="1"/>
  <c r="G256" i="1" a="1"/>
  <c r="G256" i="1" s="1"/>
  <c r="G255" i="1" a="1"/>
  <c r="G255" i="1" s="1"/>
  <c r="G254" i="1" a="1"/>
  <c r="G254" i="1" s="1"/>
  <c r="G253" i="1" a="1"/>
  <c r="G253" i="1" s="1"/>
  <c r="G252" i="1" a="1"/>
  <c r="G252" i="1" s="1"/>
  <c r="G251" i="1" a="1"/>
  <c r="G251" i="1" s="1"/>
  <c r="G250" i="1" a="1"/>
  <c r="G250" i="1" s="1"/>
  <c r="G249" i="1" a="1"/>
  <c r="G249" i="1" s="1"/>
  <c r="G248" i="1" a="1"/>
  <c r="G248" i="1" s="1"/>
  <c r="G247" i="1" a="1"/>
  <c r="G247" i="1" s="1"/>
  <c r="G246" i="1" a="1"/>
  <c r="G246" i="1" s="1"/>
  <c r="G245" i="1" a="1"/>
  <c r="G245" i="1" s="1"/>
  <c r="G244" i="1" a="1"/>
  <c r="G244" i="1" s="1"/>
  <c r="G243" i="1" a="1"/>
  <c r="G243" i="1" s="1"/>
  <c r="G242" i="1" a="1"/>
  <c r="G242" i="1" s="1"/>
  <c r="G241" i="1" a="1"/>
  <c r="G241" i="1" s="1"/>
  <c r="G240" i="1" a="1"/>
  <c r="G240" i="1" s="1"/>
  <c r="G239" i="1" a="1"/>
  <c r="G239" i="1" s="1"/>
  <c r="G238" i="1" a="1"/>
  <c r="G238" i="1" s="1"/>
  <c r="G237" i="1" a="1"/>
  <c r="G237" i="1" s="1"/>
  <c r="G236" i="1" a="1"/>
  <c r="G236" i="1" s="1"/>
  <c r="G235" i="1" a="1"/>
  <c r="G235" i="1" s="1"/>
  <c r="G234" i="1" a="1"/>
  <c r="G234" i="1" s="1"/>
  <c r="G233" i="1" a="1"/>
  <c r="G233" i="1" s="1"/>
  <c r="G232" i="1" a="1"/>
  <c r="G232" i="1" s="1"/>
  <c r="G231" i="1" a="1"/>
  <c r="G231" i="1" s="1"/>
  <c r="G230" i="1" a="1"/>
  <c r="G230" i="1" s="1"/>
  <c r="G229" i="1" a="1"/>
  <c r="G229" i="1" s="1"/>
  <c r="G228" i="1" a="1"/>
  <c r="G228" i="1" s="1"/>
  <c r="G227" i="1" a="1"/>
  <c r="G227" i="1" s="1"/>
  <c r="G226" i="1" a="1"/>
  <c r="G226" i="1" s="1"/>
  <c r="G225" i="1" a="1"/>
  <c r="G225" i="1" s="1"/>
  <c r="G224" i="1" a="1"/>
  <c r="G224" i="1" s="1"/>
  <c r="G223" i="1" a="1"/>
  <c r="G223" i="1" s="1"/>
  <c r="G222" i="1" a="1"/>
  <c r="G222" i="1" s="1"/>
  <c r="G221" i="1" a="1"/>
  <c r="G221" i="1" s="1"/>
  <c r="G220" i="1" a="1"/>
  <c r="G220" i="1" s="1"/>
  <c r="G219" i="1" a="1"/>
  <c r="G219" i="1" s="1"/>
  <c r="G218" i="1" a="1"/>
  <c r="G218" i="1" s="1"/>
  <c r="G217" i="1" a="1"/>
  <c r="G217" i="1" s="1"/>
  <c r="G216" i="1" a="1"/>
  <c r="G216" i="1" s="1"/>
  <c r="G215" i="1" a="1"/>
  <c r="G215" i="1" s="1"/>
  <c r="G214" i="1" a="1"/>
  <c r="G214" i="1" s="1"/>
  <c r="G213" i="1" a="1"/>
  <c r="G213" i="1" s="1"/>
  <c r="G212" i="1" a="1"/>
  <c r="G212" i="1" s="1"/>
  <c r="G211" i="1" a="1"/>
  <c r="G211" i="1" s="1"/>
  <c r="G210" i="1" a="1"/>
  <c r="G210" i="1" s="1"/>
  <c r="G209" i="1" a="1"/>
  <c r="G209" i="1" s="1"/>
  <c r="G208" i="1" a="1"/>
  <c r="G208" i="1" s="1"/>
  <c r="G207" i="1" a="1"/>
  <c r="G207" i="1" s="1"/>
  <c r="G206" i="1" a="1"/>
  <c r="G206" i="1" s="1"/>
  <c r="G205" i="1" a="1"/>
  <c r="G205" i="1" s="1"/>
  <c r="G204" i="1" a="1"/>
  <c r="G204" i="1" s="1"/>
  <c r="G203" i="1" a="1"/>
  <c r="G203" i="1" s="1"/>
  <c r="G202" i="1" a="1"/>
  <c r="G202" i="1" s="1"/>
  <c r="G201" i="1" a="1"/>
  <c r="G201" i="1" s="1"/>
  <c r="G200" i="1" a="1"/>
  <c r="G200" i="1" s="1"/>
  <c r="G199" i="1" a="1"/>
  <c r="G199" i="1" s="1"/>
  <c r="G198" i="1" a="1"/>
  <c r="G198" i="1" s="1"/>
  <c r="G197" i="1" a="1"/>
  <c r="G197" i="1" s="1"/>
  <c r="G196" i="1" a="1"/>
  <c r="G196" i="1" s="1"/>
  <c r="G195" i="1" a="1"/>
  <c r="G195" i="1" s="1"/>
  <c r="G194" i="1" a="1"/>
  <c r="G194" i="1" s="1"/>
  <c r="G193" i="1" a="1"/>
  <c r="G193" i="1" s="1"/>
  <c r="G192" i="1" a="1"/>
  <c r="G192" i="1" s="1"/>
  <c r="G191" i="1" a="1"/>
  <c r="G191" i="1" s="1"/>
  <c r="G190" i="1" a="1"/>
  <c r="G190" i="1" s="1"/>
  <c r="G189" i="1" a="1"/>
  <c r="G189" i="1" s="1"/>
  <c r="G188" i="1" a="1"/>
  <c r="G188" i="1" s="1"/>
  <c r="G187" i="1" a="1"/>
  <c r="G187" i="1" s="1"/>
  <c r="G186" i="1" a="1"/>
  <c r="G186" i="1" s="1"/>
  <c r="G185" i="1" a="1"/>
  <c r="G185" i="1" s="1"/>
  <c r="G184" i="1" a="1"/>
  <c r="G184" i="1" s="1"/>
  <c r="G183" i="1" a="1"/>
  <c r="G183" i="1" s="1"/>
  <c r="G182" i="1" a="1"/>
  <c r="G182" i="1" s="1"/>
  <c r="G181" i="1" a="1"/>
  <c r="G181" i="1" s="1"/>
  <c r="G180" i="1" a="1"/>
  <c r="G180" i="1" s="1"/>
  <c r="G179" i="1" a="1"/>
  <c r="G179" i="1" s="1"/>
  <c r="G178" i="1" a="1"/>
  <c r="G178" i="1" s="1"/>
  <c r="G177" i="1" a="1"/>
  <c r="G177" i="1" s="1"/>
  <c r="G176" i="1" a="1"/>
  <c r="G176" i="1" s="1"/>
  <c r="G175" i="1" a="1"/>
  <c r="G175" i="1" s="1"/>
  <c r="G174" i="1" a="1"/>
  <c r="G174" i="1" s="1"/>
  <c r="G173" i="1" a="1"/>
  <c r="G173" i="1" s="1"/>
  <c r="G172" i="1" a="1"/>
  <c r="G172" i="1" s="1"/>
  <c r="G171" i="1" a="1"/>
  <c r="G171" i="1" s="1"/>
  <c r="G170" i="1" a="1"/>
  <c r="G170" i="1" s="1"/>
  <c r="G169" i="1" a="1"/>
  <c r="G169" i="1" s="1"/>
  <c r="G168" i="1" a="1"/>
  <c r="G168" i="1" s="1"/>
  <c r="G167" i="1" a="1"/>
  <c r="G167" i="1" s="1"/>
  <c r="G166" i="1" a="1"/>
  <c r="G166" i="1" s="1"/>
  <c r="G165" i="1" a="1"/>
  <c r="G165" i="1" s="1"/>
  <c r="G164" i="1" a="1"/>
  <c r="G164" i="1" s="1"/>
  <c r="G163" i="1" a="1"/>
  <c r="G163" i="1" s="1"/>
  <c r="G162" i="1" a="1"/>
  <c r="G162" i="1" s="1"/>
  <c r="G161" i="1" a="1"/>
  <c r="G161" i="1" s="1"/>
  <c r="G160" i="1" a="1"/>
  <c r="G160" i="1" s="1"/>
  <c r="G159" i="1" a="1"/>
  <c r="G159" i="1" s="1"/>
  <c r="G158" i="1" a="1"/>
  <c r="G158" i="1" s="1"/>
  <c r="G157" i="1" a="1"/>
  <c r="G157" i="1" s="1"/>
  <c r="G156" i="1" a="1"/>
  <c r="G156" i="1" s="1"/>
  <c r="G155" i="1" a="1"/>
  <c r="G155" i="1" s="1"/>
  <c r="G154" i="1" a="1"/>
  <c r="G154" i="1" s="1"/>
  <c r="G153" i="1" a="1"/>
  <c r="G153" i="1" s="1"/>
  <c r="G152" i="1" a="1"/>
  <c r="G152" i="1" s="1"/>
  <c r="G151" i="1" a="1"/>
  <c r="G151" i="1" s="1"/>
  <c r="G150" i="1" a="1"/>
  <c r="G150" i="1" s="1"/>
  <c r="G149" i="1" a="1"/>
  <c r="G149" i="1" s="1"/>
  <c r="G148" i="1" a="1"/>
  <c r="G148" i="1" s="1"/>
  <c r="G147" i="1" a="1"/>
  <c r="G147" i="1" s="1"/>
  <c r="G146" i="1" a="1"/>
  <c r="G146" i="1" s="1"/>
  <c r="G145" i="1" a="1"/>
  <c r="G145" i="1" s="1"/>
  <c r="G144" i="1" a="1"/>
  <c r="G144" i="1" s="1"/>
  <c r="G143" i="1" a="1"/>
  <c r="G143" i="1" s="1"/>
  <c r="G142" i="1" a="1"/>
  <c r="G142" i="1" s="1"/>
  <c r="G141" i="1" a="1"/>
  <c r="G141" i="1" s="1"/>
  <c r="G140" i="1" a="1"/>
  <c r="G140" i="1" s="1"/>
  <c r="G139" i="1" a="1"/>
  <c r="G139" i="1" s="1"/>
  <c r="G138" i="1" a="1"/>
  <c r="G138" i="1" s="1"/>
  <c r="G137" i="1" a="1"/>
  <c r="G137" i="1" s="1"/>
  <c r="G136" i="1" a="1"/>
  <c r="G136" i="1" s="1"/>
  <c r="G135" i="1" a="1"/>
  <c r="G135" i="1" s="1"/>
  <c r="G134" i="1" a="1"/>
  <c r="G134" i="1" s="1"/>
  <c r="G133" i="1" a="1"/>
  <c r="G133" i="1" s="1"/>
  <c r="G132" i="1" a="1"/>
  <c r="G132" i="1" s="1"/>
  <c r="G131" i="1" a="1"/>
  <c r="G131" i="1" s="1"/>
  <c r="G130" i="1" a="1"/>
  <c r="G130" i="1" s="1"/>
  <c r="G129" i="1" a="1"/>
  <c r="G129" i="1" s="1"/>
  <c r="G128" i="1" a="1"/>
  <c r="G128" i="1" s="1"/>
  <c r="G127" i="1" a="1"/>
  <c r="G127" i="1" s="1"/>
  <c r="G126" i="1" a="1"/>
  <c r="G126" i="1" s="1"/>
  <c r="G125" i="1" a="1"/>
  <c r="G125" i="1" s="1"/>
  <c r="G124" i="1" a="1"/>
  <c r="G124" i="1" s="1"/>
  <c r="G123" i="1" a="1"/>
  <c r="G123" i="1" s="1"/>
  <c r="G122" i="1" a="1"/>
  <c r="G122" i="1" s="1"/>
  <c r="G121" i="1" a="1"/>
  <c r="G121" i="1" s="1"/>
  <c r="G120" i="1" a="1"/>
  <c r="G120" i="1" s="1"/>
  <c r="G119" i="1" a="1"/>
  <c r="G119" i="1" s="1"/>
  <c r="G118" i="1" a="1"/>
  <c r="G118" i="1" s="1"/>
  <c r="G117" i="1" a="1"/>
  <c r="G117" i="1" s="1"/>
  <c r="G116" i="1" a="1"/>
  <c r="G116" i="1" s="1"/>
  <c r="G115" i="1" a="1"/>
  <c r="G115" i="1" s="1"/>
  <c r="G114" i="1" a="1"/>
  <c r="G114" i="1" s="1"/>
  <c r="G113" i="1" a="1"/>
  <c r="G113" i="1" s="1"/>
  <c r="G112" i="1" a="1"/>
  <c r="G112" i="1" s="1"/>
  <c r="G111" i="1" a="1"/>
  <c r="G111" i="1" s="1"/>
  <c r="G110" i="1" a="1"/>
  <c r="G110" i="1" s="1"/>
  <c r="G109" i="1" a="1"/>
  <c r="G109" i="1" s="1"/>
  <c r="G108" i="1" a="1"/>
  <c r="G108" i="1" s="1"/>
  <c r="G107" i="1" a="1"/>
  <c r="G107" i="1" s="1"/>
  <c r="G106" i="1" a="1"/>
  <c r="G106" i="1" s="1"/>
  <c r="G105" i="1" a="1"/>
  <c r="G105" i="1" s="1"/>
  <c r="G104" i="1" a="1"/>
  <c r="G104" i="1" s="1"/>
  <c r="G103" i="1" a="1"/>
  <c r="G103" i="1" s="1"/>
  <c r="G102" i="1" a="1"/>
  <c r="G102" i="1" s="1"/>
  <c r="G101" i="1" a="1"/>
  <c r="G101" i="1" s="1"/>
  <c r="G100" i="1" a="1"/>
  <c r="G100" i="1" s="1"/>
  <c r="G99" i="1" a="1"/>
  <c r="G99" i="1" s="1"/>
  <c r="G98" i="1" a="1"/>
  <c r="G98" i="1" s="1"/>
  <c r="G97" i="1" a="1"/>
  <c r="G97" i="1" s="1"/>
  <c r="G96" i="1" a="1"/>
  <c r="G96" i="1" s="1"/>
  <c r="G95" i="1" a="1"/>
  <c r="G95" i="1" s="1"/>
  <c r="G94" i="1" a="1"/>
  <c r="G94" i="1" s="1"/>
  <c r="G93" i="1" a="1"/>
  <c r="G93" i="1" s="1"/>
  <c r="G92" i="1" a="1"/>
  <c r="G92" i="1" s="1"/>
  <c r="G91" i="1" a="1"/>
  <c r="G91" i="1" s="1"/>
  <c r="G90" i="1" a="1"/>
  <c r="G90" i="1" s="1"/>
  <c r="G89" i="1" a="1"/>
  <c r="G89" i="1" s="1"/>
  <c r="G88" i="1" a="1"/>
  <c r="G88" i="1" s="1"/>
  <c r="G87" i="1" a="1"/>
  <c r="G87" i="1" s="1"/>
  <c r="G86" i="1" a="1"/>
  <c r="G86" i="1" s="1"/>
  <c r="G85" i="1" a="1"/>
  <c r="G85" i="1" s="1"/>
  <c r="G84" i="1" a="1"/>
  <c r="G84" i="1" s="1"/>
  <c r="G83" i="1" a="1"/>
  <c r="G83" i="1" s="1"/>
  <c r="G82" i="1" a="1"/>
  <c r="G82" i="1" s="1"/>
  <c r="G81" i="1" a="1"/>
  <c r="G81" i="1" s="1"/>
  <c r="G80" i="1" a="1"/>
  <c r="G80" i="1" s="1"/>
  <c r="G79" i="1" a="1"/>
  <c r="G79" i="1" s="1"/>
  <c r="G78" i="1" a="1"/>
  <c r="G78" i="1" s="1"/>
  <c r="G77" i="1" a="1"/>
  <c r="G77" i="1" s="1"/>
  <c r="G76" i="1" a="1"/>
  <c r="G76" i="1" s="1"/>
  <c r="G75" i="1" a="1"/>
  <c r="G75" i="1" s="1"/>
  <c r="G74" i="1" a="1"/>
  <c r="G74" i="1" s="1"/>
  <c r="G73" i="1" a="1"/>
  <c r="G73" i="1" s="1"/>
  <c r="G72" i="1" a="1"/>
  <c r="G72" i="1" s="1"/>
  <c r="G71" i="1" a="1"/>
  <c r="G71" i="1" s="1"/>
  <c r="G70" i="1" a="1"/>
  <c r="G70" i="1" s="1"/>
  <c r="G69" i="1" a="1"/>
  <c r="G69" i="1" s="1"/>
  <c r="G68" i="1" a="1"/>
  <c r="G68" i="1" s="1"/>
  <c r="G67" i="1" a="1"/>
  <c r="G67" i="1" s="1"/>
  <c r="G66" i="1" a="1"/>
  <c r="G66" i="1" s="1"/>
  <c r="G65" i="1" a="1"/>
  <c r="G65" i="1" s="1"/>
  <c r="G64" i="1" a="1"/>
  <c r="G64" i="1" s="1"/>
  <c r="G63" i="1" a="1"/>
  <c r="G63" i="1" s="1"/>
  <c r="G62" i="1" a="1"/>
  <c r="G62" i="1" s="1"/>
  <c r="G61" i="1" a="1"/>
  <c r="G61" i="1" s="1"/>
  <c r="G60" i="1" a="1"/>
  <c r="G60" i="1" s="1"/>
  <c r="G59" i="1" a="1"/>
  <c r="G59" i="1" s="1"/>
  <c r="G58" i="1" a="1"/>
  <c r="G58" i="1" s="1"/>
  <c r="G57" i="1" a="1"/>
  <c r="G57" i="1" s="1"/>
  <c r="G56" i="1" a="1"/>
  <c r="G56" i="1" s="1"/>
  <c r="G55" i="1" a="1"/>
  <c r="G55" i="1" s="1"/>
  <c r="G54" i="1" a="1"/>
  <c r="G54" i="1" s="1"/>
  <c r="G53" i="1" a="1"/>
  <c r="G53" i="1" s="1"/>
  <c r="G52" i="1" a="1"/>
  <c r="G52" i="1" s="1"/>
  <c r="G51" i="1" a="1"/>
  <c r="G51" i="1" s="1"/>
  <c r="G50" i="1" a="1"/>
  <c r="G50" i="1" s="1"/>
  <c r="G49" i="1" a="1"/>
  <c r="G49" i="1" s="1"/>
  <c r="G48" i="1" a="1"/>
  <c r="G48" i="1" s="1"/>
  <c r="G47" i="1" a="1"/>
  <c r="G47" i="1" s="1"/>
  <c r="G46" i="1" a="1"/>
  <c r="G46" i="1" s="1"/>
  <c r="G45" i="1" a="1"/>
  <c r="G45" i="1" s="1"/>
  <c r="G44" i="1" a="1"/>
  <c r="G44" i="1" s="1"/>
  <c r="G43" i="1" a="1"/>
  <c r="G43" i="1" s="1"/>
  <c r="G42" i="1" a="1"/>
  <c r="G42" i="1" s="1"/>
  <c r="G41" i="1" a="1"/>
  <c r="G41" i="1" s="1"/>
  <c r="G40" i="1" a="1"/>
  <c r="G40" i="1" s="1"/>
  <c r="G39" i="1" a="1"/>
  <c r="G39" i="1" s="1"/>
  <c r="G38" i="1" a="1"/>
  <c r="G38" i="1" s="1"/>
  <c r="G37" i="1" a="1"/>
  <c r="G37" i="1" s="1"/>
  <c r="G36" i="1" a="1"/>
  <c r="G36" i="1" s="1"/>
  <c r="G35" i="1" a="1"/>
  <c r="G35" i="1" s="1"/>
  <c r="G34" i="1" a="1"/>
  <c r="G34" i="1" s="1"/>
  <c r="G33" i="1" a="1"/>
  <c r="G33" i="1" s="1"/>
  <c r="G32" i="1" a="1"/>
  <c r="G32" i="1" s="1"/>
  <c r="G31" i="1" a="1"/>
  <c r="G31" i="1" s="1"/>
  <c r="G30" i="1" a="1"/>
  <c r="G30" i="1" s="1"/>
  <c r="G29" i="1" a="1"/>
  <c r="G29" i="1" s="1"/>
  <c r="G28" i="1" a="1"/>
  <c r="G28" i="1" s="1"/>
  <c r="G27" i="1" a="1"/>
  <c r="G27" i="1" s="1"/>
  <c r="G26" i="1" a="1"/>
  <c r="G26" i="1" s="1"/>
  <c r="G25" i="1" a="1"/>
  <c r="G25" i="1" s="1"/>
  <c r="G24" i="1" a="1"/>
  <c r="G24" i="1" s="1"/>
  <c r="G23" i="1" a="1"/>
  <c r="G23" i="1" s="1"/>
  <c r="G22" i="1" a="1"/>
  <c r="G22" i="1" s="1"/>
  <c r="G21" i="1" a="1"/>
  <c r="G21" i="1" s="1"/>
  <c r="G20" i="1" a="1"/>
  <c r="G20" i="1" s="1"/>
  <c r="G19" i="1" a="1"/>
  <c r="G19" i="1" s="1"/>
  <c r="G18" i="1" a="1"/>
  <c r="G18" i="1" s="1"/>
  <c r="G17" i="1" a="1"/>
  <c r="G17" i="1" s="1"/>
  <c r="G16" i="1" a="1"/>
  <c r="G16" i="1" s="1"/>
  <c r="G15" i="1" a="1"/>
  <c r="G15" i="1" s="1"/>
  <c r="G14" i="1" a="1"/>
  <c r="G14" i="1" s="1"/>
  <c r="G13" i="1" a="1"/>
  <c r="G13" i="1" s="1"/>
  <c r="G12" i="1" a="1"/>
  <c r="G12" i="1" s="1"/>
  <c r="G11" i="1" a="1"/>
  <c r="G11" i="1" s="1"/>
  <c r="G10" i="1" a="1"/>
  <c r="G10" i="1" s="1"/>
  <c r="G9" i="1" a="1"/>
  <c r="G9" i="1" s="1"/>
  <c r="G8" i="1" a="1"/>
  <c r="G8" i="1" s="1"/>
  <c r="G7" i="1" a="1"/>
  <c r="G7" i="1" s="1"/>
  <c r="G6" i="1" a="1"/>
  <c r="G6" i="1" s="1"/>
  <c r="G5" i="1" a="1"/>
  <c r="G5" i="1" s="1"/>
  <c r="G4" i="1" a="1"/>
  <c r="G4" i="1" s="1"/>
  <c r="G3" i="1" a="1"/>
  <c r="G3" i="1" s="1"/>
  <c r="G2" i="1" a="1"/>
  <c r="G2" i="1" s="1"/>
  <c r="P197" i="1"/>
  <c r="P196" i="1"/>
  <c r="P133" i="1"/>
  <c r="P132" i="1"/>
  <c r="P131" i="1"/>
  <c r="P129" i="1"/>
  <c r="P121" i="1"/>
  <c r="P101" i="1"/>
  <c r="P100" i="1"/>
  <c r="P97" i="1"/>
  <c r="P89" i="1"/>
  <c r="P88" i="1"/>
  <c r="P85" i="1"/>
  <c r="P84" i="1"/>
  <c r="P83" i="1"/>
  <c r="P81" i="1"/>
  <c r="P80" i="1"/>
  <c r="P77" i="1"/>
  <c r="P73" i="1"/>
  <c r="P72" i="1"/>
  <c r="P69" i="1"/>
  <c r="P68" i="1"/>
  <c r="P67" i="1"/>
  <c r="P53" i="1"/>
  <c r="P52" i="1"/>
  <c r="P51" i="1"/>
  <c r="P45" i="1"/>
  <c r="P41" i="1"/>
  <c r="P40" i="1"/>
  <c r="P33" i="1"/>
  <c r="P32" i="1"/>
  <c r="P25" i="1"/>
  <c r="P21" i="1"/>
  <c r="P17" i="1"/>
  <c r="P5" i="1"/>
  <c r="P4" i="1"/>
  <c r="O197" i="1" a="1"/>
  <c r="O197" i="1" s="1"/>
  <c r="O196" i="1" a="1"/>
  <c r="O196" i="1" s="1"/>
  <c r="O133" i="1" a="1"/>
  <c r="O133" i="1" s="1"/>
  <c r="O132" i="1" a="1"/>
  <c r="O132" i="1" s="1"/>
  <c r="O131" i="1" a="1"/>
  <c r="O131" i="1" s="1"/>
  <c r="O129" i="1" a="1"/>
  <c r="O129" i="1" s="1"/>
  <c r="O121" i="1" a="1"/>
  <c r="O121" i="1" s="1"/>
  <c r="O101" i="1" a="1"/>
  <c r="O101" i="1" s="1"/>
  <c r="O100" i="1" a="1"/>
  <c r="O100" i="1" s="1"/>
  <c r="O97" i="1" a="1"/>
  <c r="O97" i="1" s="1"/>
  <c r="O89" i="1" a="1"/>
  <c r="O89" i="1" s="1"/>
  <c r="O88" i="1" a="1"/>
  <c r="O88" i="1" s="1"/>
  <c r="O85" i="1" a="1"/>
  <c r="O85" i="1" s="1"/>
  <c r="O84" i="1" a="1"/>
  <c r="O84" i="1" s="1"/>
  <c r="O83" i="1" a="1"/>
  <c r="O83" i="1" s="1"/>
  <c r="O81" i="1" a="1"/>
  <c r="O81" i="1" s="1"/>
  <c r="O80" i="1" a="1"/>
  <c r="O80" i="1" s="1"/>
  <c r="O77" i="1" a="1"/>
  <c r="O77" i="1" s="1"/>
  <c r="O73" i="1" a="1"/>
  <c r="O73" i="1" s="1"/>
  <c r="O72" i="1" a="1"/>
  <c r="O72" i="1" s="1"/>
  <c r="O69" i="1" a="1"/>
  <c r="O69" i="1" s="1"/>
  <c r="O68" i="1" a="1"/>
  <c r="O68" i="1" s="1"/>
  <c r="O67" i="1" a="1"/>
  <c r="O67" i="1" s="1"/>
  <c r="O53" i="1" a="1"/>
  <c r="O53" i="1" s="1"/>
  <c r="O52" i="1" a="1"/>
  <c r="O52" i="1" s="1"/>
  <c r="O51" i="1" a="1"/>
  <c r="O51" i="1" s="1"/>
  <c r="O45" i="1" a="1"/>
  <c r="O45" i="1" s="1"/>
  <c r="O41" i="1" a="1"/>
  <c r="O41" i="1" s="1"/>
  <c r="O40" i="1" a="1"/>
  <c r="O40" i="1" s="1"/>
  <c r="O33" i="1" a="1"/>
  <c r="O33" i="1" s="1"/>
  <c r="O32" i="1" a="1"/>
  <c r="O32" i="1" s="1"/>
  <c r="O25" i="1" a="1"/>
  <c r="O25" i="1" s="1"/>
  <c r="O21" i="1" a="1"/>
  <c r="O21" i="1" s="1"/>
  <c r="O17" i="1" a="1"/>
  <c r="O17" i="1" s="1"/>
  <c r="O5" i="1" a="1"/>
  <c r="O5" i="1" s="1"/>
  <c r="O4" i="1" a="1"/>
  <c r="O4" i="1" s="1"/>
  <c r="U197" i="1" a="1"/>
  <c r="U197" i="1" s="1"/>
  <c r="U196" i="1" a="1"/>
  <c r="U196" i="1" s="1"/>
  <c r="U133" i="1" a="1"/>
  <c r="U133" i="1" s="1"/>
  <c r="U132" i="1" a="1"/>
  <c r="U132" i="1" s="1"/>
  <c r="U131" i="1" a="1"/>
  <c r="U131" i="1" s="1"/>
  <c r="U129" i="1" a="1"/>
  <c r="U129" i="1" s="1"/>
  <c r="U121" i="1" a="1"/>
  <c r="U121" i="1" s="1"/>
  <c r="U101" i="1" a="1"/>
  <c r="U101" i="1" s="1"/>
  <c r="U100" i="1" a="1"/>
  <c r="U100" i="1" s="1"/>
  <c r="U97" i="1" a="1"/>
  <c r="U97" i="1" s="1"/>
  <c r="U89" i="1" a="1"/>
  <c r="U89" i="1" s="1"/>
  <c r="U88" i="1" a="1"/>
  <c r="U88" i="1" s="1"/>
  <c r="U85" i="1" a="1"/>
  <c r="U85" i="1" s="1"/>
  <c r="U84" i="1" a="1"/>
  <c r="U84" i="1" s="1"/>
  <c r="U83" i="1" a="1"/>
  <c r="U83" i="1" s="1"/>
  <c r="U81" i="1" a="1"/>
  <c r="U81" i="1" s="1"/>
  <c r="U80" i="1" a="1"/>
  <c r="U80" i="1" s="1"/>
  <c r="U77" i="1" a="1"/>
  <c r="U77" i="1" s="1"/>
  <c r="U73" i="1" a="1"/>
  <c r="U73" i="1" s="1"/>
  <c r="U72" i="1" a="1"/>
  <c r="U72" i="1" s="1"/>
  <c r="U69" i="1" a="1"/>
  <c r="U69" i="1" s="1"/>
  <c r="U68" i="1" a="1"/>
  <c r="U68" i="1" s="1"/>
  <c r="U67" i="1" a="1"/>
  <c r="U67" i="1" s="1"/>
  <c r="U53" i="1" a="1"/>
  <c r="U53" i="1" s="1"/>
  <c r="U52" i="1" a="1"/>
  <c r="U52" i="1" s="1"/>
  <c r="U51" i="1" a="1"/>
  <c r="U51" i="1" s="1"/>
  <c r="U45" i="1" a="1"/>
  <c r="U45" i="1" s="1"/>
  <c r="U41" i="1" a="1"/>
  <c r="U41" i="1" s="1"/>
  <c r="U40" i="1" a="1"/>
  <c r="U40" i="1" s="1"/>
  <c r="U33" i="1" a="1"/>
  <c r="U33" i="1" s="1"/>
  <c r="U32" i="1" a="1"/>
  <c r="U32" i="1" s="1"/>
  <c r="U25" i="1" a="1"/>
  <c r="U25" i="1" s="1"/>
  <c r="U21" i="1" a="1"/>
  <c r="U21" i="1" s="1"/>
  <c r="U17" i="1" a="1"/>
  <c r="U17" i="1" s="1"/>
  <c r="U5" i="1" a="1"/>
  <c r="U5" i="1" s="1"/>
  <c r="U4" i="1" a="1"/>
  <c r="U4" i="1" s="1"/>
  <c r="T197" i="1" a="1"/>
  <c r="T197" i="1" s="1"/>
  <c r="T196" i="1" a="1"/>
  <c r="T196" i="1" s="1"/>
  <c r="T133" i="1" a="1"/>
  <c r="T133" i="1" s="1"/>
  <c r="T132" i="1" a="1"/>
  <c r="T132" i="1" s="1"/>
  <c r="T131" i="1" a="1"/>
  <c r="T131" i="1" s="1"/>
  <c r="T129" i="1" a="1"/>
  <c r="T129" i="1" s="1"/>
  <c r="T121" i="1" a="1"/>
  <c r="T121" i="1" s="1"/>
  <c r="T101" i="1" a="1"/>
  <c r="T101" i="1" s="1"/>
  <c r="T100" i="1" a="1"/>
  <c r="T100" i="1" s="1"/>
  <c r="T97" i="1" a="1"/>
  <c r="T97" i="1" s="1"/>
  <c r="T89" i="1" a="1"/>
  <c r="T89" i="1" s="1"/>
  <c r="T88" i="1" a="1"/>
  <c r="T88" i="1" s="1"/>
  <c r="T85" i="1" a="1"/>
  <c r="T85" i="1" s="1"/>
  <c r="T84" i="1" a="1"/>
  <c r="T84" i="1" s="1"/>
  <c r="T83" i="1" a="1"/>
  <c r="T83" i="1" s="1"/>
  <c r="T81" i="1" a="1"/>
  <c r="T81" i="1" s="1"/>
  <c r="T80" i="1" a="1"/>
  <c r="T80" i="1" s="1"/>
  <c r="T77" i="1" a="1"/>
  <c r="T77" i="1" s="1"/>
  <c r="T73" i="1" a="1"/>
  <c r="T73" i="1" s="1"/>
  <c r="T72" i="1" a="1"/>
  <c r="T72" i="1" s="1"/>
  <c r="T69" i="1" a="1"/>
  <c r="T69" i="1" s="1"/>
  <c r="T68" i="1" a="1"/>
  <c r="T68" i="1" s="1"/>
  <c r="T67" i="1" a="1"/>
  <c r="T67" i="1" s="1"/>
  <c r="T53" i="1" a="1"/>
  <c r="T53" i="1" s="1"/>
  <c r="T52" i="1" a="1"/>
  <c r="T52" i="1" s="1"/>
  <c r="T51" i="1" a="1"/>
  <c r="T51" i="1" s="1"/>
  <c r="T45" i="1" a="1"/>
  <c r="T45" i="1" s="1"/>
  <c r="T41" i="1" a="1"/>
  <c r="T41" i="1" s="1"/>
  <c r="T40" i="1" a="1"/>
  <c r="T40" i="1" s="1"/>
  <c r="T33" i="1" a="1"/>
  <c r="T33" i="1" s="1"/>
  <c r="T32" i="1" a="1"/>
  <c r="T32" i="1" s="1"/>
  <c r="T25" i="1" a="1"/>
  <c r="T25" i="1" s="1"/>
  <c r="T21" i="1" a="1"/>
  <c r="T21" i="1" s="1"/>
  <c r="T17" i="1" a="1"/>
  <c r="T17" i="1" s="1"/>
  <c r="T5" i="1" a="1"/>
  <c r="T5" i="1" s="1"/>
  <c r="T4" i="1" a="1"/>
  <c r="T4" i="1" s="1"/>
  <c r="S197" i="1" a="1"/>
  <c r="S197" i="1" s="1"/>
  <c r="S196" i="1" a="1"/>
  <c r="S196" i="1" s="1"/>
  <c r="S133" i="1" a="1"/>
  <c r="S133" i="1" s="1"/>
  <c r="S132" i="1" a="1"/>
  <c r="S132" i="1" s="1"/>
  <c r="S131" i="1" a="1"/>
  <c r="S131" i="1" s="1"/>
  <c r="S129" i="1" a="1"/>
  <c r="S129" i="1" s="1"/>
  <c r="S121" i="1" a="1"/>
  <c r="S121" i="1" s="1"/>
  <c r="S101" i="1" a="1"/>
  <c r="S101" i="1" s="1"/>
  <c r="S100" i="1" a="1"/>
  <c r="S100" i="1" s="1"/>
  <c r="S97" i="1" a="1"/>
  <c r="S97" i="1" s="1"/>
  <c r="S89" i="1" a="1"/>
  <c r="S89" i="1" s="1"/>
  <c r="S88" i="1" a="1"/>
  <c r="S88" i="1" s="1"/>
  <c r="S85" i="1" a="1"/>
  <c r="S85" i="1" s="1"/>
  <c r="S84" i="1" a="1"/>
  <c r="S84" i="1" s="1"/>
  <c r="S83" i="1" a="1"/>
  <c r="S83" i="1" s="1"/>
  <c r="S81" i="1" a="1"/>
  <c r="S81" i="1" s="1"/>
  <c r="S80" i="1" a="1"/>
  <c r="S80" i="1" s="1"/>
  <c r="S77" i="1" a="1"/>
  <c r="S77" i="1" s="1"/>
  <c r="S73" i="1" a="1"/>
  <c r="S73" i="1" s="1"/>
  <c r="S72" i="1" a="1"/>
  <c r="S72" i="1" s="1"/>
  <c r="S69" i="1" a="1"/>
  <c r="S69" i="1" s="1"/>
  <c r="S68" i="1" a="1"/>
  <c r="S68" i="1" s="1"/>
  <c r="S67" i="1" a="1"/>
  <c r="S67" i="1" s="1"/>
  <c r="S53" i="1" a="1"/>
  <c r="S53" i="1" s="1"/>
  <c r="S52" i="1" a="1"/>
  <c r="S52" i="1" s="1"/>
  <c r="S51" i="1" a="1"/>
  <c r="S51" i="1" s="1"/>
  <c r="S45" i="1" a="1"/>
  <c r="S45" i="1" s="1"/>
  <c r="S41" i="1" a="1"/>
  <c r="S41" i="1" s="1"/>
  <c r="S40" i="1" a="1"/>
  <c r="S40" i="1" s="1"/>
  <c r="S33" i="1" a="1"/>
  <c r="S33" i="1" s="1"/>
  <c r="S32" i="1" a="1"/>
  <c r="S32" i="1" s="1"/>
  <c r="S25" i="1" a="1"/>
  <c r="S25" i="1" s="1"/>
  <c r="S21" i="1" a="1"/>
  <c r="S21" i="1" s="1"/>
  <c r="S17" i="1" a="1"/>
  <c r="S17" i="1" s="1"/>
  <c r="S5" i="1" a="1"/>
  <c r="S5" i="1" s="1"/>
  <c r="S4" i="1" a="1"/>
  <c r="S4" i="1" s="1"/>
  <c r="L513" i="1"/>
  <c r="L512" i="1"/>
  <c r="L511" i="1"/>
  <c r="L510" i="1"/>
  <c r="L509" i="1"/>
  <c r="L508" i="1"/>
  <c r="L507" i="1"/>
  <c r="L506" i="1"/>
  <c r="L505" i="1"/>
  <c r="L504" i="1"/>
  <c r="L503" i="1"/>
  <c r="L502" i="1"/>
  <c r="L501" i="1"/>
  <c r="L500" i="1"/>
  <c r="L499" i="1"/>
  <c r="L498" i="1"/>
  <c r="L497" i="1"/>
  <c r="L496" i="1"/>
  <c r="L495" i="1"/>
  <c r="L494" i="1"/>
  <c r="L493" i="1"/>
  <c r="L492" i="1"/>
  <c r="L491" i="1"/>
  <c r="L490" i="1"/>
  <c r="L489" i="1"/>
  <c r="L488" i="1"/>
  <c r="L487" i="1"/>
  <c r="L486" i="1"/>
  <c r="L485" i="1"/>
  <c r="L484" i="1"/>
  <c r="L483" i="1"/>
  <c r="L482" i="1"/>
  <c r="L481" i="1"/>
  <c r="L480" i="1"/>
  <c r="L479" i="1"/>
  <c r="L478" i="1"/>
  <c r="L477" i="1"/>
  <c r="L476" i="1"/>
  <c r="L475" i="1"/>
  <c r="L474" i="1"/>
  <c r="L473" i="1"/>
  <c r="L472" i="1"/>
  <c r="L471" i="1"/>
  <c r="L470" i="1"/>
  <c r="L469" i="1"/>
  <c r="L468" i="1"/>
  <c r="L467" i="1"/>
  <c r="L466" i="1"/>
  <c r="L465" i="1"/>
  <c r="L464" i="1"/>
  <c r="L463" i="1"/>
  <c r="L462" i="1"/>
  <c r="L461" i="1"/>
  <c r="L460" i="1"/>
  <c r="L459" i="1"/>
  <c r="L458" i="1"/>
  <c r="L457" i="1"/>
  <c r="L456" i="1"/>
  <c r="L455" i="1"/>
  <c r="L454" i="1"/>
  <c r="L453" i="1"/>
  <c r="L452" i="1"/>
  <c r="L451" i="1"/>
  <c r="L450" i="1"/>
  <c r="L449" i="1"/>
  <c r="L448" i="1"/>
  <c r="L447" i="1"/>
  <c r="L446" i="1"/>
  <c r="L445" i="1"/>
  <c r="L444" i="1"/>
  <c r="L443" i="1"/>
  <c r="L442" i="1"/>
  <c r="L441" i="1"/>
  <c r="L440" i="1"/>
  <c r="L439" i="1"/>
  <c r="L438" i="1"/>
  <c r="L437" i="1"/>
  <c r="L436" i="1"/>
  <c r="L435" i="1"/>
  <c r="L434" i="1"/>
  <c r="L433" i="1"/>
  <c r="L432" i="1"/>
  <c r="L431" i="1"/>
  <c r="L430" i="1"/>
  <c r="L429" i="1"/>
  <c r="L428" i="1"/>
  <c r="L427" i="1"/>
  <c r="L426" i="1"/>
  <c r="L425" i="1"/>
  <c r="L424" i="1"/>
  <c r="L423" i="1"/>
  <c r="L422" i="1"/>
  <c r="L421" i="1"/>
  <c r="L420" i="1"/>
  <c r="L419" i="1"/>
  <c r="L418" i="1"/>
  <c r="L417" i="1"/>
  <c r="L416" i="1"/>
  <c r="L415" i="1"/>
  <c r="L414" i="1"/>
  <c r="L413" i="1"/>
  <c r="L412" i="1"/>
  <c r="L411" i="1"/>
  <c r="L410" i="1"/>
  <c r="L409" i="1"/>
  <c r="L408" i="1"/>
  <c r="L407" i="1"/>
  <c r="L406" i="1"/>
  <c r="L405" i="1"/>
  <c r="L404" i="1"/>
  <c r="L403" i="1"/>
  <c r="L402" i="1"/>
  <c r="L401" i="1"/>
  <c r="L400" i="1"/>
  <c r="L399" i="1"/>
  <c r="L398" i="1"/>
  <c r="L397" i="1"/>
  <c r="L396" i="1"/>
  <c r="L395" i="1"/>
  <c r="L394" i="1"/>
  <c r="L393" i="1"/>
  <c r="L392" i="1"/>
  <c r="L391" i="1"/>
  <c r="L390" i="1"/>
  <c r="L389" i="1"/>
  <c r="L388" i="1"/>
  <c r="L387" i="1"/>
  <c r="L386" i="1"/>
  <c r="L385" i="1"/>
  <c r="L384" i="1"/>
  <c r="L383" i="1"/>
  <c r="L382" i="1"/>
  <c r="L381" i="1"/>
  <c r="L380" i="1"/>
  <c r="L379" i="1"/>
  <c r="L378" i="1"/>
  <c r="L377" i="1"/>
  <c r="L376" i="1"/>
  <c r="L375" i="1"/>
  <c r="L374" i="1"/>
  <c r="L373" i="1"/>
  <c r="L372" i="1"/>
  <c r="L371" i="1"/>
  <c r="L370" i="1"/>
  <c r="L369" i="1"/>
  <c r="L368" i="1"/>
  <c r="L367" i="1"/>
  <c r="L366" i="1"/>
  <c r="L365" i="1"/>
  <c r="L364" i="1"/>
  <c r="L363" i="1"/>
  <c r="L362" i="1"/>
  <c r="L361" i="1"/>
  <c r="L360" i="1"/>
  <c r="L359" i="1"/>
  <c r="L358" i="1"/>
  <c r="L357" i="1"/>
  <c r="L356" i="1"/>
  <c r="L355" i="1"/>
  <c r="L354" i="1"/>
  <c r="L353" i="1"/>
  <c r="L352" i="1"/>
  <c r="L351" i="1"/>
  <c r="L350" i="1"/>
  <c r="L349" i="1"/>
  <c r="L348" i="1"/>
  <c r="L347" i="1"/>
  <c r="L346" i="1"/>
  <c r="L345" i="1"/>
  <c r="L344" i="1"/>
  <c r="L343" i="1"/>
  <c r="L342" i="1"/>
  <c r="L341" i="1"/>
  <c r="L340" i="1"/>
  <c r="L339" i="1"/>
  <c r="L338" i="1"/>
  <c r="L337" i="1"/>
  <c r="L336" i="1"/>
  <c r="L335" i="1"/>
  <c r="L334" i="1"/>
  <c r="L333" i="1"/>
  <c r="L332" i="1"/>
  <c r="L331" i="1"/>
  <c r="L330" i="1"/>
  <c r="L329" i="1"/>
  <c r="L328" i="1"/>
  <c r="L327" i="1"/>
  <c r="L326" i="1"/>
  <c r="L325" i="1"/>
  <c r="L324" i="1"/>
  <c r="L323" i="1"/>
  <c r="L322" i="1"/>
  <c r="L321" i="1"/>
  <c r="L320" i="1"/>
  <c r="L319" i="1"/>
  <c r="L318" i="1"/>
  <c r="L317" i="1"/>
  <c r="L316" i="1"/>
  <c r="L315" i="1"/>
  <c r="L314" i="1"/>
  <c r="L313" i="1"/>
  <c r="L312" i="1"/>
  <c r="L311" i="1"/>
  <c r="L310" i="1"/>
  <c r="L309" i="1"/>
  <c r="L308" i="1"/>
  <c r="L307" i="1"/>
  <c r="L306" i="1"/>
  <c r="L305" i="1"/>
  <c r="L304" i="1"/>
  <c r="L303" i="1"/>
  <c r="L302" i="1"/>
  <c r="L301" i="1"/>
  <c r="L300" i="1"/>
  <c r="L299" i="1"/>
  <c r="L298" i="1"/>
  <c r="L297" i="1"/>
  <c r="L296" i="1"/>
  <c r="L295" i="1"/>
  <c r="L294" i="1"/>
  <c r="L293" i="1"/>
  <c r="L292" i="1"/>
  <c r="L291" i="1"/>
  <c r="L290" i="1"/>
  <c r="L289" i="1"/>
  <c r="L288" i="1"/>
  <c r="L287" i="1"/>
  <c r="L286" i="1"/>
  <c r="L285" i="1"/>
  <c r="L284" i="1"/>
  <c r="L283" i="1"/>
  <c r="L282" i="1"/>
  <c r="L281" i="1"/>
  <c r="L280" i="1"/>
  <c r="L279" i="1"/>
  <c r="L278" i="1"/>
  <c r="L277" i="1"/>
  <c r="L276" i="1"/>
  <c r="L275" i="1"/>
  <c r="L274" i="1"/>
  <c r="L273" i="1"/>
  <c r="L272" i="1"/>
  <c r="L271" i="1"/>
  <c r="L270" i="1"/>
  <c r="L266" i="1"/>
  <c r="L263" i="1"/>
  <c r="L262" i="1"/>
  <c r="L260" i="1"/>
  <c r="L259" i="1"/>
  <c r="L258" i="1"/>
  <c r="L257" i="1"/>
  <c r="L256" i="1"/>
  <c r="L255" i="1"/>
  <c r="L254" i="1"/>
  <c r="L253" i="1"/>
  <c r="L252" i="1"/>
  <c r="L251" i="1"/>
  <c r="L250" i="1"/>
  <c r="L249" i="1"/>
  <c r="L248" i="1"/>
  <c r="L247" i="1"/>
  <c r="L246" i="1"/>
  <c r="L245" i="1"/>
  <c r="L244" i="1"/>
  <c r="L243" i="1"/>
  <c r="L242" i="1"/>
  <c r="L239" i="1"/>
  <c r="L238" i="1"/>
  <c r="L236" i="1"/>
  <c r="L235" i="1"/>
  <c r="L234" i="1"/>
  <c r="L233" i="1"/>
  <c r="L232" i="1"/>
  <c r="L231" i="1"/>
  <c r="L230" i="1"/>
  <c r="L229" i="1"/>
  <c r="L228" i="1"/>
  <c r="L227" i="1"/>
  <c r="L226" i="1"/>
  <c r="L225" i="1"/>
  <c r="L224" i="1"/>
  <c r="L223" i="1"/>
  <c r="L222" i="1"/>
  <c r="L221" i="1"/>
  <c r="L220" i="1"/>
  <c r="L219" i="1"/>
  <c r="L218" i="1"/>
  <c r="L217" i="1"/>
  <c r="L216" i="1"/>
  <c r="L215" i="1"/>
  <c r="L214" i="1"/>
  <c r="L213" i="1"/>
  <c r="L212" i="1"/>
  <c r="L211" i="1"/>
  <c r="L210" i="1"/>
  <c r="L209" i="1"/>
  <c r="L208" i="1"/>
  <c r="L207" i="1"/>
  <c r="L206" i="1"/>
  <c r="L205" i="1"/>
  <c r="L204" i="1"/>
  <c r="L203" i="1"/>
  <c r="L202" i="1"/>
  <c r="L201" i="1"/>
  <c r="L200" i="1"/>
  <c r="L199" i="1"/>
  <c r="L198" i="1"/>
  <c r="L195" i="1"/>
  <c r="L194" i="1"/>
  <c r="L193" i="1"/>
  <c r="L192" i="1"/>
  <c r="L191" i="1"/>
  <c r="L190" i="1"/>
  <c r="L189" i="1"/>
  <c r="L188" i="1"/>
  <c r="L187" i="1"/>
  <c r="L186" i="1"/>
  <c r="L185" i="1"/>
  <c r="L184" i="1"/>
  <c r="L183" i="1"/>
  <c r="L182" i="1"/>
  <c r="L181" i="1"/>
  <c r="L180" i="1"/>
  <c r="L179" i="1"/>
  <c r="L178" i="1"/>
  <c r="L177" i="1"/>
  <c r="L176" i="1"/>
  <c r="L175" i="1"/>
  <c r="L174" i="1"/>
  <c r="L173" i="1"/>
  <c r="L172" i="1"/>
  <c r="L171" i="1"/>
  <c r="L170" i="1"/>
  <c r="L169" i="1"/>
  <c r="L168" i="1"/>
  <c r="L167" i="1"/>
  <c r="L166" i="1"/>
  <c r="L165" i="1"/>
  <c r="L164" i="1"/>
  <c r="L163" i="1"/>
  <c r="L162" i="1"/>
  <c r="L161" i="1"/>
  <c r="L160" i="1"/>
  <c r="L159" i="1"/>
  <c r="L158" i="1"/>
  <c r="L157" i="1"/>
  <c r="L156" i="1"/>
  <c r="L155" i="1"/>
  <c r="L154" i="1"/>
  <c r="L153" i="1"/>
  <c r="L152" i="1"/>
  <c r="L151" i="1"/>
  <c r="L150" i="1"/>
  <c r="L149" i="1"/>
  <c r="L148" i="1"/>
  <c r="L147" i="1"/>
  <c r="L146" i="1"/>
  <c r="L145" i="1"/>
  <c r="L144" i="1"/>
  <c r="L143" i="1"/>
  <c r="L142" i="1"/>
  <c r="L141" i="1"/>
  <c r="L140" i="1"/>
  <c r="L139" i="1"/>
  <c r="L138" i="1"/>
  <c r="L137" i="1"/>
  <c r="L136" i="1"/>
  <c r="L135" i="1"/>
  <c r="L134" i="1"/>
  <c r="L130" i="1"/>
  <c r="L128" i="1"/>
  <c r="L127" i="1"/>
  <c r="L126" i="1"/>
  <c r="L125" i="1"/>
  <c r="L124" i="1"/>
  <c r="L123" i="1"/>
  <c r="L122" i="1"/>
  <c r="L120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99" i="1"/>
  <c r="L98" i="1"/>
  <c r="L96" i="1"/>
  <c r="L95" i="1"/>
  <c r="L94" i="1"/>
  <c r="L93" i="1"/>
  <c r="L92" i="1"/>
  <c r="L91" i="1"/>
  <c r="L90" i="1"/>
  <c r="L87" i="1"/>
  <c r="L86" i="1"/>
  <c r="L82" i="1"/>
  <c r="L79" i="1"/>
  <c r="L78" i="1"/>
  <c r="L76" i="1"/>
  <c r="L75" i="1"/>
  <c r="L74" i="1"/>
  <c r="L71" i="1"/>
  <c r="L70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0" i="1"/>
  <c r="L49" i="1"/>
  <c r="L48" i="1"/>
  <c r="L47" i="1"/>
  <c r="L46" i="1"/>
  <c r="L44" i="1"/>
  <c r="L43" i="1"/>
  <c r="L42" i="1"/>
  <c r="L39" i="1"/>
  <c r="L38" i="1"/>
  <c r="L37" i="1"/>
  <c r="L36" i="1"/>
  <c r="L35" i="1"/>
  <c r="L34" i="1"/>
  <c r="L31" i="1"/>
  <c r="L30" i="1"/>
  <c r="L29" i="1"/>
  <c r="L28" i="1"/>
  <c r="L27" i="1"/>
  <c r="L26" i="1"/>
  <c r="L24" i="1"/>
  <c r="L23" i="1"/>
  <c r="L22" i="1"/>
  <c r="L20" i="1"/>
  <c r="L19" i="1"/>
  <c r="L18" i="1"/>
  <c r="L16" i="1"/>
  <c r="L15" i="1"/>
  <c r="L14" i="1"/>
  <c r="L13" i="1"/>
  <c r="L12" i="1"/>
  <c r="L11" i="1"/>
  <c r="L10" i="1"/>
  <c r="L9" i="1"/>
  <c r="L8" i="1"/>
  <c r="L7" i="1"/>
  <c r="L6" i="1"/>
  <c r="L3" i="1"/>
  <c r="L2" i="1"/>
  <c r="K513" i="1"/>
  <c r="K512" i="1"/>
  <c r="K511" i="1"/>
  <c r="K510" i="1"/>
  <c r="K509" i="1"/>
  <c r="K508" i="1"/>
  <c r="K507" i="1"/>
  <c r="K506" i="1"/>
  <c r="K505" i="1"/>
  <c r="K504" i="1"/>
  <c r="K503" i="1"/>
  <c r="K502" i="1"/>
  <c r="K501" i="1"/>
  <c r="K500" i="1"/>
  <c r="K499" i="1"/>
  <c r="K498" i="1"/>
  <c r="K497" i="1"/>
  <c r="K496" i="1"/>
  <c r="K495" i="1"/>
  <c r="K494" i="1"/>
  <c r="K493" i="1"/>
  <c r="K492" i="1"/>
  <c r="K491" i="1"/>
  <c r="K490" i="1"/>
  <c r="K489" i="1"/>
  <c r="K488" i="1"/>
  <c r="K487" i="1"/>
  <c r="K486" i="1"/>
  <c r="K485" i="1"/>
  <c r="K484" i="1"/>
  <c r="K483" i="1"/>
  <c r="K482" i="1"/>
  <c r="K481" i="1"/>
  <c r="K480" i="1"/>
  <c r="K479" i="1"/>
  <c r="K478" i="1"/>
  <c r="K477" i="1"/>
  <c r="K476" i="1"/>
  <c r="K475" i="1"/>
  <c r="K474" i="1"/>
  <c r="K473" i="1"/>
  <c r="K472" i="1"/>
  <c r="K471" i="1"/>
  <c r="K470" i="1"/>
  <c r="K469" i="1"/>
  <c r="K468" i="1"/>
  <c r="K467" i="1"/>
  <c r="K466" i="1"/>
  <c r="K465" i="1"/>
  <c r="K464" i="1"/>
  <c r="K463" i="1"/>
  <c r="K462" i="1"/>
  <c r="K461" i="1"/>
  <c r="K460" i="1"/>
  <c r="K459" i="1"/>
  <c r="K458" i="1"/>
  <c r="K457" i="1"/>
  <c r="K456" i="1"/>
  <c r="K455" i="1"/>
  <c r="K454" i="1"/>
  <c r="K453" i="1"/>
  <c r="K452" i="1"/>
  <c r="K451" i="1"/>
  <c r="K450" i="1"/>
  <c r="K449" i="1"/>
  <c r="K448" i="1"/>
  <c r="K447" i="1"/>
  <c r="K446" i="1"/>
  <c r="K445" i="1"/>
  <c r="K444" i="1"/>
  <c r="K443" i="1"/>
  <c r="K442" i="1"/>
  <c r="K441" i="1"/>
  <c r="K440" i="1"/>
  <c r="K439" i="1"/>
  <c r="K438" i="1"/>
  <c r="K437" i="1"/>
  <c r="K436" i="1"/>
  <c r="K435" i="1"/>
  <c r="K434" i="1"/>
  <c r="K433" i="1"/>
  <c r="K432" i="1"/>
  <c r="K431" i="1"/>
  <c r="K430" i="1"/>
  <c r="K429" i="1"/>
  <c r="K428" i="1"/>
  <c r="K427" i="1"/>
  <c r="K426" i="1"/>
  <c r="K425" i="1"/>
  <c r="K424" i="1"/>
  <c r="K423" i="1"/>
  <c r="K422" i="1"/>
  <c r="K421" i="1"/>
  <c r="K420" i="1"/>
  <c r="K419" i="1"/>
  <c r="K418" i="1"/>
  <c r="K417" i="1"/>
  <c r="K416" i="1"/>
  <c r="K415" i="1"/>
  <c r="K414" i="1"/>
  <c r="K413" i="1"/>
  <c r="K412" i="1"/>
  <c r="K411" i="1"/>
  <c r="K410" i="1"/>
  <c r="K409" i="1"/>
  <c r="K408" i="1"/>
  <c r="K407" i="1"/>
  <c r="K406" i="1"/>
  <c r="K405" i="1"/>
  <c r="K404" i="1"/>
  <c r="K403" i="1"/>
  <c r="K402" i="1"/>
  <c r="K401" i="1"/>
  <c r="K400" i="1"/>
  <c r="K399" i="1"/>
  <c r="K398" i="1"/>
  <c r="K397" i="1"/>
  <c r="K396" i="1"/>
  <c r="K395" i="1"/>
  <c r="K394" i="1"/>
  <c r="K393" i="1"/>
  <c r="K392" i="1"/>
  <c r="K391" i="1"/>
  <c r="K390" i="1"/>
  <c r="K389" i="1"/>
  <c r="K388" i="1"/>
  <c r="K387" i="1"/>
  <c r="K386" i="1"/>
  <c r="K385" i="1"/>
  <c r="K384" i="1"/>
  <c r="K383" i="1"/>
  <c r="K382" i="1"/>
  <c r="K381" i="1"/>
  <c r="K380" i="1"/>
  <c r="K379" i="1"/>
  <c r="K378" i="1"/>
  <c r="K377" i="1"/>
  <c r="K376" i="1"/>
  <c r="K375" i="1"/>
  <c r="K374" i="1"/>
  <c r="K373" i="1"/>
  <c r="K372" i="1"/>
  <c r="K371" i="1"/>
  <c r="K370" i="1"/>
  <c r="K369" i="1"/>
  <c r="K368" i="1"/>
  <c r="K367" i="1"/>
  <c r="K366" i="1"/>
  <c r="K365" i="1"/>
  <c r="K364" i="1"/>
  <c r="K363" i="1"/>
  <c r="K362" i="1"/>
  <c r="K361" i="1"/>
  <c r="K360" i="1"/>
  <c r="K359" i="1"/>
  <c r="K358" i="1"/>
  <c r="K357" i="1"/>
  <c r="K356" i="1"/>
  <c r="K355" i="1"/>
  <c r="K354" i="1"/>
  <c r="K353" i="1"/>
  <c r="K352" i="1"/>
  <c r="K351" i="1"/>
  <c r="K350" i="1"/>
  <c r="K349" i="1"/>
  <c r="K348" i="1"/>
  <c r="K347" i="1"/>
  <c r="K346" i="1"/>
  <c r="K345" i="1"/>
  <c r="K344" i="1"/>
  <c r="K343" i="1"/>
  <c r="K342" i="1"/>
  <c r="K341" i="1"/>
  <c r="K340" i="1"/>
  <c r="K339" i="1"/>
  <c r="K338" i="1"/>
  <c r="K337" i="1"/>
  <c r="K336" i="1"/>
  <c r="K335" i="1"/>
  <c r="K334" i="1"/>
  <c r="K333" i="1"/>
  <c r="K332" i="1"/>
  <c r="K331" i="1"/>
  <c r="K330" i="1"/>
  <c r="K329" i="1"/>
  <c r="K328" i="1"/>
  <c r="K327" i="1"/>
  <c r="K326" i="1"/>
  <c r="K325" i="1"/>
  <c r="K324" i="1"/>
  <c r="K323" i="1"/>
  <c r="K322" i="1"/>
  <c r="K321" i="1"/>
  <c r="K320" i="1"/>
  <c r="K319" i="1"/>
  <c r="K318" i="1"/>
  <c r="K317" i="1"/>
  <c r="K316" i="1"/>
  <c r="K315" i="1"/>
  <c r="K314" i="1"/>
  <c r="K313" i="1"/>
  <c r="K312" i="1"/>
  <c r="K311" i="1"/>
  <c r="K310" i="1"/>
  <c r="K309" i="1"/>
  <c r="K308" i="1"/>
  <c r="K307" i="1"/>
  <c r="K306" i="1"/>
  <c r="K305" i="1"/>
  <c r="K304" i="1"/>
  <c r="K303" i="1"/>
  <c r="K302" i="1"/>
  <c r="K301" i="1"/>
  <c r="K300" i="1"/>
  <c r="K299" i="1"/>
  <c r="K298" i="1"/>
  <c r="K297" i="1"/>
  <c r="K296" i="1"/>
  <c r="K295" i="1"/>
  <c r="K294" i="1"/>
  <c r="K293" i="1"/>
  <c r="K292" i="1"/>
  <c r="K291" i="1"/>
  <c r="K290" i="1"/>
  <c r="K289" i="1"/>
  <c r="K288" i="1"/>
  <c r="K287" i="1"/>
  <c r="K286" i="1"/>
  <c r="K285" i="1"/>
  <c r="K284" i="1"/>
  <c r="K283" i="1"/>
  <c r="K282" i="1"/>
  <c r="K281" i="1"/>
  <c r="K280" i="1"/>
  <c r="K279" i="1"/>
  <c r="K278" i="1"/>
  <c r="K277" i="1"/>
  <c r="K276" i="1"/>
  <c r="K275" i="1"/>
  <c r="K274" i="1"/>
  <c r="K273" i="1"/>
  <c r="K272" i="1"/>
  <c r="K271" i="1"/>
  <c r="K270" i="1"/>
  <c r="K266" i="1"/>
  <c r="K263" i="1"/>
  <c r="K262" i="1"/>
  <c r="K260" i="1"/>
  <c r="K259" i="1"/>
  <c r="K258" i="1"/>
  <c r="K257" i="1"/>
  <c r="K256" i="1"/>
  <c r="K255" i="1"/>
  <c r="K254" i="1"/>
  <c r="K253" i="1"/>
  <c r="K252" i="1"/>
  <c r="K251" i="1"/>
  <c r="K250" i="1"/>
  <c r="K249" i="1"/>
  <c r="K248" i="1"/>
  <c r="K247" i="1"/>
  <c r="K246" i="1"/>
  <c r="K245" i="1"/>
  <c r="K244" i="1"/>
  <c r="K243" i="1"/>
  <c r="K242" i="1"/>
  <c r="K239" i="1"/>
  <c r="K238" i="1"/>
  <c r="K236" i="1"/>
  <c r="K235" i="1"/>
  <c r="K234" i="1"/>
  <c r="K233" i="1"/>
  <c r="K232" i="1"/>
  <c r="K231" i="1"/>
  <c r="K230" i="1"/>
  <c r="K229" i="1"/>
  <c r="K228" i="1"/>
  <c r="K227" i="1"/>
  <c r="K226" i="1"/>
  <c r="K225" i="1"/>
  <c r="K224" i="1"/>
  <c r="K223" i="1"/>
  <c r="K222" i="1"/>
  <c r="K221" i="1"/>
  <c r="K220" i="1"/>
  <c r="K219" i="1"/>
  <c r="K218" i="1"/>
  <c r="K217" i="1"/>
  <c r="K216" i="1"/>
  <c r="K215" i="1"/>
  <c r="K214" i="1"/>
  <c r="K213" i="1"/>
  <c r="K212" i="1"/>
  <c r="K211" i="1"/>
  <c r="K210" i="1"/>
  <c r="K209" i="1"/>
  <c r="K208" i="1"/>
  <c r="K207" i="1"/>
  <c r="K206" i="1"/>
  <c r="K205" i="1"/>
  <c r="K204" i="1"/>
  <c r="K203" i="1"/>
  <c r="K202" i="1"/>
  <c r="K201" i="1"/>
  <c r="K200" i="1"/>
  <c r="K199" i="1"/>
  <c r="K198" i="1"/>
  <c r="K195" i="1"/>
  <c r="K194" i="1"/>
  <c r="K193" i="1"/>
  <c r="K192" i="1"/>
  <c r="K191" i="1"/>
  <c r="K190" i="1"/>
  <c r="K189" i="1"/>
  <c r="K188" i="1"/>
  <c r="K187" i="1"/>
  <c r="K186" i="1"/>
  <c r="K185" i="1"/>
  <c r="K184" i="1"/>
  <c r="K183" i="1"/>
  <c r="K182" i="1"/>
  <c r="K181" i="1"/>
  <c r="K180" i="1"/>
  <c r="K179" i="1"/>
  <c r="K178" i="1"/>
  <c r="K177" i="1"/>
  <c r="K176" i="1"/>
  <c r="K175" i="1"/>
  <c r="K174" i="1"/>
  <c r="K173" i="1"/>
  <c r="K172" i="1"/>
  <c r="K171" i="1"/>
  <c r="K170" i="1"/>
  <c r="K169" i="1"/>
  <c r="K168" i="1"/>
  <c r="K167" i="1"/>
  <c r="K166" i="1"/>
  <c r="K165" i="1"/>
  <c r="K164" i="1"/>
  <c r="K163" i="1"/>
  <c r="K162" i="1"/>
  <c r="K161" i="1"/>
  <c r="K160" i="1"/>
  <c r="K159" i="1"/>
  <c r="K158" i="1"/>
  <c r="K157" i="1"/>
  <c r="K156" i="1"/>
  <c r="K155" i="1"/>
  <c r="K154" i="1"/>
  <c r="K153" i="1"/>
  <c r="K152" i="1"/>
  <c r="K151" i="1"/>
  <c r="K150" i="1"/>
  <c r="K149" i="1"/>
  <c r="K148" i="1"/>
  <c r="K147" i="1"/>
  <c r="K146" i="1"/>
  <c r="K145" i="1"/>
  <c r="K144" i="1"/>
  <c r="K143" i="1"/>
  <c r="K142" i="1"/>
  <c r="K141" i="1"/>
  <c r="K140" i="1"/>
  <c r="K139" i="1"/>
  <c r="K138" i="1"/>
  <c r="K137" i="1"/>
  <c r="K136" i="1"/>
  <c r="K135" i="1"/>
  <c r="K134" i="1"/>
  <c r="K130" i="1"/>
  <c r="K128" i="1"/>
  <c r="K127" i="1"/>
  <c r="K126" i="1"/>
  <c r="K125" i="1"/>
  <c r="K124" i="1"/>
  <c r="K123" i="1"/>
  <c r="K122" i="1"/>
  <c r="K120" i="1"/>
  <c r="K119" i="1"/>
  <c r="K118" i="1"/>
  <c r="K117" i="1"/>
  <c r="K116" i="1"/>
  <c r="K115" i="1"/>
  <c r="K114" i="1"/>
  <c r="K113" i="1"/>
  <c r="K112" i="1"/>
  <c r="K111" i="1"/>
  <c r="K110" i="1"/>
  <c r="K109" i="1"/>
  <c r="K108" i="1"/>
  <c r="K107" i="1"/>
  <c r="K106" i="1"/>
  <c r="K105" i="1"/>
  <c r="K104" i="1"/>
  <c r="K103" i="1"/>
  <c r="K102" i="1"/>
  <c r="K99" i="1"/>
  <c r="K98" i="1"/>
  <c r="K96" i="1"/>
  <c r="K95" i="1"/>
  <c r="K94" i="1"/>
  <c r="K93" i="1"/>
  <c r="K92" i="1"/>
  <c r="K91" i="1"/>
  <c r="K90" i="1"/>
  <c r="K87" i="1"/>
  <c r="K86" i="1"/>
  <c r="K82" i="1"/>
  <c r="K79" i="1"/>
  <c r="K78" i="1"/>
  <c r="K76" i="1"/>
  <c r="K75" i="1"/>
  <c r="K74" i="1"/>
  <c r="K71" i="1"/>
  <c r="K70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0" i="1"/>
  <c r="K49" i="1"/>
  <c r="K48" i="1"/>
  <c r="K47" i="1"/>
  <c r="K46" i="1"/>
  <c r="K44" i="1"/>
  <c r="K43" i="1"/>
  <c r="K42" i="1"/>
  <c r="K39" i="1"/>
  <c r="K38" i="1"/>
  <c r="K37" i="1"/>
  <c r="K36" i="1"/>
  <c r="K35" i="1"/>
  <c r="K34" i="1"/>
  <c r="K31" i="1"/>
  <c r="K30" i="1"/>
  <c r="K29" i="1"/>
  <c r="K28" i="1"/>
  <c r="K27" i="1"/>
  <c r="K26" i="1"/>
  <c r="K24" i="1"/>
  <c r="K23" i="1"/>
  <c r="K22" i="1"/>
  <c r="K20" i="1"/>
  <c r="K19" i="1"/>
  <c r="K18" i="1"/>
  <c r="K16" i="1"/>
  <c r="K15" i="1"/>
  <c r="K14" i="1"/>
  <c r="K13" i="1"/>
  <c r="K12" i="1"/>
  <c r="K11" i="1"/>
  <c r="K10" i="1"/>
  <c r="K9" i="1"/>
  <c r="K8" i="1"/>
  <c r="K7" i="1"/>
  <c r="K6" i="1"/>
  <c r="K3" i="1"/>
  <c r="K2" i="1"/>
  <c r="M2" i="1" a="1"/>
  <c r="M2" i="1" s="1"/>
  <c r="J513" i="1"/>
  <c r="J512" i="1"/>
  <c r="J511" i="1"/>
  <c r="J510" i="1"/>
  <c r="J509" i="1"/>
  <c r="J508" i="1"/>
  <c r="J507" i="1"/>
  <c r="J506" i="1"/>
  <c r="J505" i="1"/>
  <c r="J504" i="1"/>
  <c r="J503" i="1"/>
  <c r="J502" i="1"/>
  <c r="J501" i="1"/>
  <c r="J500" i="1"/>
  <c r="J499" i="1"/>
  <c r="J498" i="1"/>
  <c r="J497" i="1"/>
  <c r="J496" i="1"/>
  <c r="J495" i="1"/>
  <c r="J494" i="1"/>
  <c r="J493" i="1"/>
  <c r="J492" i="1"/>
  <c r="J491" i="1"/>
  <c r="J490" i="1"/>
  <c r="J489" i="1"/>
  <c r="J488" i="1"/>
  <c r="J487" i="1"/>
  <c r="J486" i="1"/>
  <c r="J485" i="1"/>
  <c r="J484" i="1"/>
  <c r="J483" i="1"/>
  <c r="J482" i="1"/>
  <c r="J481" i="1"/>
  <c r="J480" i="1"/>
  <c r="J479" i="1"/>
  <c r="J478" i="1"/>
  <c r="J477" i="1"/>
  <c r="J476" i="1"/>
  <c r="J475" i="1"/>
  <c r="J474" i="1"/>
  <c r="J473" i="1"/>
  <c r="J472" i="1"/>
  <c r="J471" i="1"/>
  <c r="J470" i="1"/>
  <c r="J469" i="1"/>
  <c r="J468" i="1"/>
  <c r="J467" i="1"/>
  <c r="J466" i="1"/>
  <c r="J465" i="1"/>
  <c r="J464" i="1"/>
  <c r="J463" i="1"/>
  <c r="J462" i="1"/>
  <c r="J461" i="1"/>
  <c r="J460" i="1"/>
  <c r="J459" i="1"/>
  <c r="J458" i="1"/>
  <c r="J457" i="1"/>
  <c r="J456" i="1"/>
  <c r="J455" i="1"/>
  <c r="J454" i="1"/>
  <c r="J453" i="1"/>
  <c r="J452" i="1"/>
  <c r="J451" i="1"/>
  <c r="J450" i="1"/>
  <c r="J449" i="1"/>
  <c r="J448" i="1"/>
  <c r="J447" i="1"/>
  <c r="J446" i="1"/>
  <c r="J445" i="1"/>
  <c r="J444" i="1"/>
  <c r="J443" i="1"/>
  <c r="J442" i="1"/>
  <c r="J441" i="1"/>
  <c r="J440" i="1"/>
  <c r="J439" i="1"/>
  <c r="J438" i="1"/>
  <c r="J437" i="1"/>
  <c r="J436" i="1"/>
  <c r="J435" i="1"/>
  <c r="J434" i="1"/>
  <c r="J433" i="1"/>
  <c r="J432" i="1"/>
  <c r="J431" i="1"/>
  <c r="J430" i="1"/>
  <c r="J429" i="1"/>
  <c r="J428" i="1"/>
  <c r="J427" i="1"/>
  <c r="J426" i="1"/>
  <c r="J425" i="1"/>
  <c r="J424" i="1"/>
  <c r="J423" i="1"/>
  <c r="J422" i="1"/>
  <c r="J421" i="1"/>
  <c r="J420" i="1"/>
  <c r="J419" i="1"/>
  <c r="J418" i="1"/>
  <c r="J417" i="1"/>
  <c r="J416" i="1"/>
  <c r="J415" i="1"/>
  <c r="J414" i="1"/>
  <c r="J413" i="1"/>
  <c r="J412" i="1"/>
  <c r="J411" i="1"/>
  <c r="J410" i="1"/>
  <c r="J409" i="1"/>
  <c r="J408" i="1"/>
  <c r="J407" i="1"/>
  <c r="J406" i="1"/>
  <c r="J405" i="1"/>
  <c r="J404" i="1"/>
  <c r="J403" i="1"/>
  <c r="J402" i="1"/>
  <c r="J401" i="1"/>
  <c r="J400" i="1"/>
  <c r="J399" i="1"/>
  <c r="J398" i="1"/>
  <c r="J397" i="1"/>
  <c r="J396" i="1"/>
  <c r="J395" i="1"/>
  <c r="J394" i="1"/>
  <c r="J393" i="1"/>
  <c r="J392" i="1"/>
  <c r="J391" i="1"/>
  <c r="J390" i="1"/>
  <c r="J389" i="1"/>
  <c r="J388" i="1"/>
  <c r="J387" i="1"/>
  <c r="J386" i="1"/>
  <c r="J385" i="1"/>
  <c r="J384" i="1"/>
  <c r="J383" i="1"/>
  <c r="J382" i="1"/>
  <c r="J381" i="1"/>
  <c r="J380" i="1"/>
  <c r="J379" i="1"/>
  <c r="J378" i="1"/>
  <c r="J377" i="1"/>
  <c r="J376" i="1"/>
  <c r="J375" i="1"/>
  <c r="J374" i="1"/>
  <c r="J373" i="1"/>
  <c r="J372" i="1"/>
  <c r="J371" i="1"/>
  <c r="J370" i="1"/>
  <c r="J369" i="1"/>
  <c r="J368" i="1"/>
  <c r="J367" i="1"/>
  <c r="J366" i="1"/>
  <c r="J365" i="1"/>
  <c r="J364" i="1"/>
  <c r="J363" i="1"/>
  <c r="J362" i="1"/>
  <c r="J361" i="1"/>
  <c r="J360" i="1"/>
  <c r="J359" i="1"/>
  <c r="J358" i="1"/>
  <c r="J357" i="1"/>
  <c r="J356" i="1"/>
  <c r="J355" i="1"/>
  <c r="J354" i="1"/>
  <c r="J353" i="1"/>
  <c r="J352" i="1"/>
  <c r="J351" i="1"/>
  <c r="J350" i="1"/>
  <c r="J349" i="1"/>
  <c r="J348" i="1"/>
  <c r="J347" i="1"/>
  <c r="J346" i="1"/>
  <c r="J345" i="1"/>
  <c r="J344" i="1"/>
  <c r="J343" i="1"/>
  <c r="J342" i="1"/>
  <c r="J341" i="1"/>
  <c r="J340" i="1"/>
  <c r="J339" i="1"/>
  <c r="J338" i="1"/>
  <c r="J337" i="1"/>
  <c r="J336" i="1"/>
  <c r="J335" i="1"/>
  <c r="J334" i="1"/>
  <c r="J333" i="1"/>
  <c r="J332" i="1"/>
  <c r="J331" i="1"/>
  <c r="J330" i="1"/>
  <c r="J329" i="1"/>
  <c r="J328" i="1"/>
  <c r="J327" i="1"/>
  <c r="J326" i="1"/>
  <c r="J325" i="1"/>
  <c r="J324" i="1"/>
  <c r="J323" i="1"/>
  <c r="J322" i="1"/>
  <c r="J321" i="1"/>
  <c r="J320" i="1"/>
  <c r="J319" i="1"/>
  <c r="J318" i="1"/>
  <c r="J317" i="1"/>
  <c r="J316" i="1"/>
  <c r="J315" i="1"/>
  <c r="J314" i="1"/>
  <c r="J313" i="1"/>
  <c r="J312" i="1"/>
  <c r="J311" i="1"/>
  <c r="J310" i="1"/>
  <c r="J309" i="1"/>
  <c r="J308" i="1"/>
  <c r="J307" i="1"/>
  <c r="J306" i="1"/>
  <c r="J305" i="1"/>
  <c r="J304" i="1"/>
  <c r="J303" i="1"/>
  <c r="J302" i="1"/>
  <c r="J301" i="1"/>
  <c r="J300" i="1"/>
  <c r="J299" i="1"/>
  <c r="J298" i="1"/>
  <c r="J297" i="1"/>
  <c r="J296" i="1"/>
  <c r="J295" i="1"/>
  <c r="J294" i="1"/>
  <c r="J293" i="1"/>
  <c r="J292" i="1"/>
  <c r="J291" i="1"/>
  <c r="J290" i="1"/>
  <c r="J289" i="1"/>
  <c r="J288" i="1"/>
  <c r="J287" i="1"/>
  <c r="J286" i="1"/>
  <c r="J285" i="1"/>
  <c r="J284" i="1"/>
  <c r="J283" i="1"/>
  <c r="J282" i="1"/>
  <c r="J281" i="1"/>
  <c r="J280" i="1"/>
  <c r="J279" i="1"/>
  <c r="J278" i="1"/>
  <c r="J277" i="1"/>
  <c r="J276" i="1"/>
  <c r="J275" i="1"/>
  <c r="J274" i="1"/>
  <c r="J273" i="1"/>
  <c r="J272" i="1"/>
  <c r="J271" i="1"/>
  <c r="J270" i="1"/>
  <c r="J266" i="1"/>
  <c r="J263" i="1"/>
  <c r="J262" i="1"/>
  <c r="J260" i="1"/>
  <c r="J259" i="1"/>
  <c r="J258" i="1"/>
  <c r="J257" i="1"/>
  <c r="J256" i="1"/>
  <c r="J255" i="1"/>
  <c r="J254" i="1"/>
  <c r="J253" i="1"/>
  <c r="J252" i="1"/>
  <c r="J251" i="1"/>
  <c r="J250" i="1"/>
  <c r="J249" i="1"/>
  <c r="J248" i="1"/>
  <c r="J247" i="1"/>
  <c r="J246" i="1"/>
  <c r="J245" i="1"/>
  <c r="J244" i="1"/>
  <c r="J243" i="1"/>
  <c r="J242" i="1"/>
  <c r="J239" i="1"/>
  <c r="J238" i="1"/>
  <c r="J236" i="1"/>
  <c r="J235" i="1"/>
  <c r="J234" i="1"/>
  <c r="J233" i="1"/>
  <c r="J232" i="1"/>
  <c r="J231" i="1"/>
  <c r="J230" i="1"/>
  <c r="J229" i="1"/>
  <c r="J228" i="1"/>
  <c r="J227" i="1"/>
  <c r="J226" i="1"/>
  <c r="J225" i="1"/>
  <c r="J224" i="1"/>
  <c r="J223" i="1"/>
  <c r="J222" i="1"/>
  <c r="J221" i="1"/>
  <c r="J220" i="1"/>
  <c r="J219" i="1"/>
  <c r="J218" i="1"/>
  <c r="J217" i="1"/>
  <c r="J216" i="1"/>
  <c r="J215" i="1"/>
  <c r="J214" i="1"/>
  <c r="J213" i="1"/>
  <c r="J212" i="1"/>
  <c r="J211" i="1"/>
  <c r="J210" i="1"/>
  <c r="J209" i="1"/>
  <c r="J208" i="1"/>
  <c r="J207" i="1"/>
  <c r="J206" i="1"/>
  <c r="J205" i="1"/>
  <c r="J204" i="1"/>
  <c r="J203" i="1"/>
  <c r="J202" i="1"/>
  <c r="J201" i="1"/>
  <c r="J200" i="1"/>
  <c r="J199" i="1"/>
  <c r="J198" i="1"/>
  <c r="J195" i="1"/>
  <c r="J194" i="1"/>
  <c r="J193" i="1"/>
  <c r="J192" i="1"/>
  <c r="J191" i="1"/>
  <c r="J190" i="1"/>
  <c r="J189" i="1"/>
  <c r="J188" i="1"/>
  <c r="J187" i="1"/>
  <c r="J186" i="1"/>
  <c r="J185" i="1"/>
  <c r="J184" i="1"/>
  <c r="J183" i="1"/>
  <c r="J182" i="1"/>
  <c r="J181" i="1"/>
  <c r="J180" i="1"/>
  <c r="J179" i="1"/>
  <c r="J178" i="1"/>
  <c r="J177" i="1"/>
  <c r="J176" i="1"/>
  <c r="J175" i="1"/>
  <c r="J174" i="1"/>
  <c r="J173" i="1"/>
  <c r="J172" i="1"/>
  <c r="J171" i="1"/>
  <c r="J170" i="1"/>
  <c r="J169" i="1"/>
  <c r="J168" i="1"/>
  <c r="J167" i="1"/>
  <c r="J166" i="1"/>
  <c r="J165" i="1"/>
  <c r="J164" i="1"/>
  <c r="J163" i="1"/>
  <c r="J162" i="1"/>
  <c r="J161" i="1"/>
  <c r="J160" i="1"/>
  <c r="J159" i="1"/>
  <c r="J158" i="1"/>
  <c r="J157" i="1"/>
  <c r="J156" i="1"/>
  <c r="J155" i="1"/>
  <c r="J154" i="1"/>
  <c r="J153" i="1"/>
  <c r="J152" i="1"/>
  <c r="J151" i="1"/>
  <c r="J150" i="1"/>
  <c r="J149" i="1"/>
  <c r="J148" i="1"/>
  <c r="J147" i="1"/>
  <c r="J146" i="1"/>
  <c r="J145" i="1"/>
  <c r="J144" i="1"/>
  <c r="J143" i="1"/>
  <c r="J142" i="1"/>
  <c r="J141" i="1"/>
  <c r="J140" i="1"/>
  <c r="J139" i="1"/>
  <c r="J138" i="1"/>
  <c r="J137" i="1"/>
  <c r="J136" i="1"/>
  <c r="J135" i="1"/>
  <c r="J134" i="1"/>
  <c r="J130" i="1"/>
  <c r="J128" i="1"/>
  <c r="J127" i="1"/>
  <c r="J126" i="1"/>
  <c r="J125" i="1"/>
  <c r="J124" i="1"/>
  <c r="J123" i="1"/>
  <c r="J122" i="1"/>
  <c r="J120" i="1"/>
  <c r="J119" i="1"/>
  <c r="J118" i="1"/>
  <c r="J117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99" i="1"/>
  <c r="J98" i="1"/>
  <c r="J96" i="1"/>
  <c r="J95" i="1"/>
  <c r="J94" i="1"/>
  <c r="J93" i="1"/>
  <c r="J92" i="1"/>
  <c r="J91" i="1"/>
  <c r="J90" i="1"/>
  <c r="J87" i="1"/>
  <c r="J86" i="1"/>
  <c r="J82" i="1"/>
  <c r="J79" i="1"/>
  <c r="J78" i="1"/>
  <c r="J76" i="1"/>
  <c r="J75" i="1"/>
  <c r="J74" i="1"/>
  <c r="J71" i="1"/>
  <c r="J70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0" i="1"/>
  <c r="J49" i="1"/>
  <c r="J48" i="1"/>
  <c r="J47" i="1"/>
  <c r="J46" i="1"/>
  <c r="J44" i="1"/>
  <c r="J43" i="1"/>
  <c r="J42" i="1"/>
  <c r="J39" i="1"/>
  <c r="J38" i="1"/>
  <c r="J37" i="1"/>
  <c r="J36" i="1"/>
  <c r="J35" i="1"/>
  <c r="J34" i="1"/>
  <c r="J31" i="1"/>
  <c r="J30" i="1"/>
  <c r="J29" i="1"/>
  <c r="J28" i="1"/>
  <c r="J27" i="1"/>
  <c r="J26" i="1"/>
  <c r="J24" i="1"/>
  <c r="J23" i="1"/>
  <c r="J22" i="1"/>
  <c r="J20" i="1"/>
  <c r="J19" i="1"/>
  <c r="J18" i="1"/>
  <c r="J16" i="1"/>
  <c r="J15" i="1"/>
  <c r="J14" i="1"/>
  <c r="J13" i="1"/>
  <c r="J12" i="1"/>
  <c r="J11" i="1"/>
  <c r="J10" i="1"/>
  <c r="J9" i="1"/>
  <c r="J8" i="1"/>
  <c r="J7" i="1"/>
  <c r="J6" i="1"/>
  <c r="J3" i="1"/>
  <c r="J2" i="1"/>
  <c r="I2" i="1" a="1"/>
  <c r="I2" i="1" s="1"/>
  <c r="I513" i="1" a="1"/>
  <c r="I513" i="1" s="1"/>
  <c r="I512" i="1" a="1"/>
  <c r="I512" i="1" s="1"/>
  <c r="I511" i="1" a="1"/>
  <c r="I511" i="1" s="1"/>
  <c r="I510" i="1" a="1"/>
  <c r="I510" i="1" s="1"/>
  <c r="I509" i="1" a="1"/>
  <c r="I509" i="1" s="1"/>
  <c r="I508" i="1" a="1"/>
  <c r="I508" i="1" s="1"/>
  <c r="I507" i="1" a="1"/>
  <c r="I507" i="1" s="1"/>
  <c r="I506" i="1" a="1"/>
  <c r="I506" i="1" s="1"/>
  <c r="I505" i="1" a="1"/>
  <c r="I505" i="1" s="1"/>
  <c r="I504" i="1" a="1"/>
  <c r="I504" i="1" s="1"/>
  <c r="I503" i="1" a="1"/>
  <c r="I503" i="1" s="1"/>
  <c r="I502" i="1" a="1"/>
  <c r="I502" i="1" s="1"/>
  <c r="I501" i="1" a="1"/>
  <c r="I501" i="1" s="1"/>
  <c r="I500" i="1" a="1"/>
  <c r="I500" i="1" s="1"/>
  <c r="I499" i="1" a="1"/>
  <c r="I499" i="1" s="1"/>
  <c r="I498" i="1" a="1"/>
  <c r="I498" i="1" s="1"/>
  <c r="I497" i="1" a="1"/>
  <c r="I497" i="1" s="1"/>
  <c r="I496" i="1" a="1"/>
  <c r="I496" i="1" s="1"/>
  <c r="I495" i="1" a="1"/>
  <c r="I495" i="1" s="1"/>
  <c r="I494" i="1" a="1"/>
  <c r="I494" i="1" s="1"/>
  <c r="I493" i="1" a="1"/>
  <c r="I493" i="1" s="1"/>
  <c r="I492" i="1" a="1"/>
  <c r="I492" i="1" s="1"/>
  <c r="I491" i="1" a="1"/>
  <c r="I491" i="1" s="1"/>
  <c r="I490" i="1" a="1"/>
  <c r="I490" i="1" s="1"/>
  <c r="I489" i="1" a="1"/>
  <c r="I489" i="1" s="1"/>
  <c r="I488" i="1" a="1"/>
  <c r="I488" i="1" s="1"/>
  <c r="I487" i="1" a="1"/>
  <c r="I487" i="1" s="1"/>
  <c r="I486" i="1" a="1"/>
  <c r="I486" i="1" s="1"/>
  <c r="I485" i="1" a="1"/>
  <c r="I485" i="1" s="1"/>
  <c r="I484" i="1" a="1"/>
  <c r="I484" i="1" s="1"/>
  <c r="I483" i="1" a="1"/>
  <c r="I483" i="1" s="1"/>
  <c r="I482" i="1" a="1"/>
  <c r="I482" i="1" s="1"/>
  <c r="I481" i="1" a="1"/>
  <c r="I481" i="1" s="1"/>
  <c r="I480" i="1" a="1"/>
  <c r="I480" i="1" s="1"/>
  <c r="I479" i="1" a="1"/>
  <c r="I479" i="1" s="1"/>
  <c r="I478" i="1" a="1"/>
  <c r="I478" i="1" s="1"/>
  <c r="I477" i="1" a="1"/>
  <c r="I477" i="1" s="1"/>
  <c r="I476" i="1" a="1"/>
  <c r="I476" i="1" s="1"/>
  <c r="I475" i="1" a="1"/>
  <c r="I475" i="1" s="1"/>
  <c r="I474" i="1" a="1"/>
  <c r="I474" i="1" s="1"/>
  <c r="I473" i="1" a="1"/>
  <c r="I473" i="1" s="1"/>
  <c r="I472" i="1" a="1"/>
  <c r="I472" i="1" s="1"/>
  <c r="I471" i="1" a="1"/>
  <c r="I471" i="1" s="1"/>
  <c r="I470" i="1" a="1"/>
  <c r="I470" i="1" s="1"/>
  <c r="I469" i="1" a="1"/>
  <c r="I469" i="1" s="1"/>
  <c r="I468" i="1" a="1"/>
  <c r="I468" i="1" s="1"/>
  <c r="I467" i="1" a="1"/>
  <c r="I467" i="1" s="1"/>
  <c r="I466" i="1" a="1"/>
  <c r="I466" i="1" s="1"/>
  <c r="I465" i="1" a="1"/>
  <c r="I465" i="1" s="1"/>
  <c r="I464" i="1" a="1"/>
  <c r="I464" i="1" s="1"/>
  <c r="I463" i="1" a="1"/>
  <c r="I463" i="1" s="1"/>
  <c r="I462" i="1" a="1"/>
  <c r="I462" i="1" s="1"/>
  <c r="I461" i="1" a="1"/>
  <c r="I461" i="1" s="1"/>
  <c r="I460" i="1" a="1"/>
  <c r="I460" i="1" s="1"/>
  <c r="I459" i="1" a="1"/>
  <c r="I459" i="1" s="1"/>
  <c r="I458" i="1" a="1"/>
  <c r="I458" i="1" s="1"/>
  <c r="I457" i="1" a="1"/>
  <c r="I457" i="1" s="1"/>
  <c r="I456" i="1" a="1"/>
  <c r="I456" i="1" s="1"/>
  <c r="I455" i="1" a="1"/>
  <c r="I455" i="1" s="1"/>
  <c r="I454" i="1" a="1"/>
  <c r="I454" i="1" s="1"/>
  <c r="I453" i="1" a="1"/>
  <c r="I453" i="1" s="1"/>
  <c r="I452" i="1" a="1"/>
  <c r="I452" i="1" s="1"/>
  <c r="I451" i="1" a="1"/>
  <c r="I451" i="1" s="1"/>
  <c r="I450" i="1" a="1"/>
  <c r="I450" i="1" s="1"/>
  <c r="I449" i="1" a="1"/>
  <c r="I449" i="1" s="1"/>
  <c r="I448" i="1" a="1"/>
  <c r="I448" i="1" s="1"/>
  <c r="I447" i="1" a="1"/>
  <c r="I447" i="1" s="1"/>
  <c r="I446" i="1" a="1"/>
  <c r="I446" i="1" s="1"/>
  <c r="I445" i="1" a="1"/>
  <c r="I445" i="1" s="1"/>
  <c r="I444" i="1" a="1"/>
  <c r="I444" i="1" s="1"/>
  <c r="I443" i="1" a="1"/>
  <c r="I443" i="1" s="1"/>
  <c r="I442" i="1" a="1"/>
  <c r="I442" i="1" s="1"/>
  <c r="I441" i="1" a="1"/>
  <c r="I441" i="1" s="1"/>
  <c r="I440" i="1" a="1"/>
  <c r="I440" i="1" s="1"/>
  <c r="I439" i="1" a="1"/>
  <c r="I439" i="1" s="1"/>
  <c r="I438" i="1" a="1"/>
  <c r="I438" i="1" s="1"/>
  <c r="I437" i="1" a="1"/>
  <c r="I437" i="1" s="1"/>
  <c r="I436" i="1" a="1"/>
  <c r="I436" i="1" s="1"/>
  <c r="I435" i="1" a="1"/>
  <c r="I435" i="1" s="1"/>
  <c r="I434" i="1" a="1"/>
  <c r="I434" i="1" s="1"/>
  <c r="I433" i="1" a="1"/>
  <c r="I433" i="1" s="1"/>
  <c r="I432" i="1" a="1"/>
  <c r="I432" i="1" s="1"/>
  <c r="I431" i="1" a="1"/>
  <c r="I431" i="1" s="1"/>
  <c r="I430" i="1" a="1"/>
  <c r="I430" i="1" s="1"/>
  <c r="I429" i="1" a="1"/>
  <c r="I429" i="1" s="1"/>
  <c r="I428" i="1" a="1"/>
  <c r="I428" i="1" s="1"/>
  <c r="I427" i="1" a="1"/>
  <c r="I427" i="1" s="1"/>
  <c r="I426" i="1" a="1"/>
  <c r="I426" i="1" s="1"/>
  <c r="I425" i="1" a="1"/>
  <c r="I425" i="1" s="1"/>
  <c r="I424" i="1" a="1"/>
  <c r="I424" i="1" s="1"/>
  <c r="I423" i="1" a="1"/>
  <c r="I423" i="1" s="1"/>
  <c r="I422" i="1" a="1"/>
  <c r="I422" i="1" s="1"/>
  <c r="I421" i="1" a="1"/>
  <c r="I421" i="1" s="1"/>
  <c r="I420" i="1" a="1"/>
  <c r="I420" i="1" s="1"/>
  <c r="I419" i="1" a="1"/>
  <c r="I419" i="1" s="1"/>
  <c r="I418" i="1" a="1"/>
  <c r="I418" i="1" s="1"/>
  <c r="I417" i="1" a="1"/>
  <c r="I417" i="1" s="1"/>
  <c r="I416" i="1" a="1"/>
  <c r="I416" i="1" s="1"/>
  <c r="I415" i="1" a="1"/>
  <c r="I415" i="1" s="1"/>
  <c r="I414" i="1" a="1"/>
  <c r="I414" i="1" s="1"/>
  <c r="I413" i="1" a="1"/>
  <c r="I413" i="1" s="1"/>
  <c r="I412" i="1" a="1"/>
  <c r="I412" i="1" s="1"/>
  <c r="I411" i="1" a="1"/>
  <c r="I411" i="1" s="1"/>
  <c r="I410" i="1" a="1"/>
  <c r="I410" i="1" s="1"/>
  <c r="I409" i="1" a="1"/>
  <c r="I409" i="1" s="1"/>
  <c r="I408" i="1" a="1"/>
  <c r="I408" i="1" s="1"/>
  <c r="I407" i="1" a="1"/>
  <c r="I407" i="1" s="1"/>
  <c r="I406" i="1" a="1"/>
  <c r="I406" i="1" s="1"/>
  <c r="I405" i="1" a="1"/>
  <c r="I405" i="1" s="1"/>
  <c r="I404" i="1" a="1"/>
  <c r="I404" i="1" s="1"/>
  <c r="I403" i="1" a="1"/>
  <c r="I403" i="1" s="1"/>
  <c r="I402" i="1" a="1"/>
  <c r="I402" i="1" s="1"/>
  <c r="I401" i="1" a="1"/>
  <c r="I401" i="1" s="1"/>
  <c r="I400" i="1" a="1"/>
  <c r="I400" i="1" s="1"/>
  <c r="I399" i="1" a="1"/>
  <c r="I399" i="1" s="1"/>
  <c r="I398" i="1" a="1"/>
  <c r="I398" i="1" s="1"/>
  <c r="I397" i="1" a="1"/>
  <c r="I397" i="1" s="1"/>
  <c r="I396" i="1" a="1"/>
  <c r="I396" i="1" s="1"/>
  <c r="I395" i="1" a="1"/>
  <c r="I395" i="1" s="1"/>
  <c r="I394" i="1" a="1"/>
  <c r="I394" i="1" s="1"/>
  <c r="I393" i="1" a="1"/>
  <c r="I393" i="1" s="1"/>
  <c r="I392" i="1" a="1"/>
  <c r="I392" i="1" s="1"/>
  <c r="I391" i="1" a="1"/>
  <c r="I391" i="1" s="1"/>
  <c r="I390" i="1" a="1"/>
  <c r="I390" i="1" s="1"/>
  <c r="I389" i="1" a="1"/>
  <c r="I389" i="1" s="1"/>
  <c r="I388" i="1" a="1"/>
  <c r="I388" i="1" s="1"/>
  <c r="I387" i="1" a="1"/>
  <c r="I387" i="1" s="1"/>
  <c r="I386" i="1" a="1"/>
  <c r="I386" i="1" s="1"/>
  <c r="I385" i="1" a="1"/>
  <c r="I385" i="1" s="1"/>
  <c r="I384" i="1" a="1"/>
  <c r="I384" i="1" s="1"/>
  <c r="I383" i="1" a="1"/>
  <c r="I383" i="1" s="1"/>
  <c r="I382" i="1" a="1"/>
  <c r="I382" i="1" s="1"/>
  <c r="I381" i="1" a="1"/>
  <c r="I381" i="1" s="1"/>
  <c r="I380" i="1" a="1"/>
  <c r="I380" i="1" s="1"/>
  <c r="I379" i="1" a="1"/>
  <c r="I379" i="1" s="1"/>
  <c r="I378" i="1" a="1"/>
  <c r="I378" i="1" s="1"/>
  <c r="I377" i="1" a="1"/>
  <c r="I377" i="1" s="1"/>
  <c r="I376" i="1" a="1"/>
  <c r="I376" i="1" s="1"/>
  <c r="I375" i="1" a="1"/>
  <c r="I375" i="1" s="1"/>
  <c r="I374" i="1" a="1"/>
  <c r="I374" i="1" s="1"/>
  <c r="I373" i="1" a="1"/>
  <c r="I373" i="1" s="1"/>
  <c r="I372" i="1" a="1"/>
  <c r="I372" i="1" s="1"/>
  <c r="I371" i="1" a="1"/>
  <c r="I371" i="1" s="1"/>
  <c r="I370" i="1" a="1"/>
  <c r="I370" i="1" s="1"/>
  <c r="I369" i="1" a="1"/>
  <c r="I369" i="1" s="1"/>
  <c r="I368" i="1" a="1"/>
  <c r="I368" i="1" s="1"/>
  <c r="I367" i="1" a="1"/>
  <c r="I367" i="1" s="1"/>
  <c r="I366" i="1" a="1"/>
  <c r="I366" i="1" s="1"/>
  <c r="I365" i="1" a="1"/>
  <c r="I365" i="1" s="1"/>
  <c r="I364" i="1" a="1"/>
  <c r="I364" i="1" s="1"/>
  <c r="I363" i="1" a="1"/>
  <c r="I363" i="1" s="1"/>
  <c r="I362" i="1" a="1"/>
  <c r="I362" i="1" s="1"/>
  <c r="I361" i="1" a="1"/>
  <c r="I361" i="1" s="1"/>
  <c r="I360" i="1" a="1"/>
  <c r="I360" i="1" s="1"/>
  <c r="I359" i="1" a="1"/>
  <c r="I359" i="1" s="1"/>
  <c r="I358" i="1" a="1"/>
  <c r="I358" i="1" s="1"/>
  <c r="I357" i="1" a="1"/>
  <c r="I357" i="1" s="1"/>
  <c r="I356" i="1" a="1"/>
  <c r="I356" i="1" s="1"/>
  <c r="I355" i="1" a="1"/>
  <c r="I355" i="1" s="1"/>
  <c r="I354" i="1" a="1"/>
  <c r="I354" i="1" s="1"/>
  <c r="I353" i="1" a="1"/>
  <c r="I353" i="1" s="1"/>
  <c r="I352" i="1" a="1"/>
  <c r="I352" i="1" s="1"/>
  <c r="I351" i="1" a="1"/>
  <c r="I351" i="1" s="1"/>
  <c r="I350" i="1" a="1"/>
  <c r="I350" i="1" s="1"/>
  <c r="I349" i="1" a="1"/>
  <c r="I349" i="1" s="1"/>
  <c r="I348" i="1" a="1"/>
  <c r="I348" i="1" s="1"/>
  <c r="I347" i="1" a="1"/>
  <c r="I347" i="1" s="1"/>
  <c r="I346" i="1" a="1"/>
  <c r="I346" i="1" s="1"/>
  <c r="I345" i="1" a="1"/>
  <c r="I345" i="1" s="1"/>
  <c r="I344" i="1" a="1"/>
  <c r="I344" i="1" s="1"/>
  <c r="I343" i="1" a="1"/>
  <c r="I343" i="1" s="1"/>
  <c r="I342" i="1" a="1"/>
  <c r="I342" i="1" s="1"/>
  <c r="I341" i="1" a="1"/>
  <c r="I341" i="1" s="1"/>
  <c r="I340" i="1" a="1"/>
  <c r="I340" i="1" s="1"/>
  <c r="I339" i="1" a="1"/>
  <c r="I339" i="1" s="1"/>
  <c r="I338" i="1" a="1"/>
  <c r="I338" i="1" s="1"/>
  <c r="I337" i="1" a="1"/>
  <c r="I337" i="1" s="1"/>
  <c r="I336" i="1" a="1"/>
  <c r="I336" i="1" s="1"/>
  <c r="I335" i="1" a="1"/>
  <c r="I335" i="1" s="1"/>
  <c r="I334" i="1" a="1"/>
  <c r="I334" i="1" s="1"/>
  <c r="I333" i="1" a="1"/>
  <c r="I333" i="1" s="1"/>
  <c r="I332" i="1" a="1"/>
  <c r="I332" i="1" s="1"/>
  <c r="I331" i="1" a="1"/>
  <c r="I331" i="1" s="1"/>
  <c r="I330" i="1" a="1"/>
  <c r="I330" i="1" s="1"/>
  <c r="I329" i="1" a="1"/>
  <c r="I329" i="1" s="1"/>
  <c r="I328" i="1" a="1"/>
  <c r="I328" i="1" s="1"/>
  <c r="I327" i="1" a="1"/>
  <c r="I327" i="1" s="1"/>
  <c r="I326" i="1" a="1"/>
  <c r="I326" i="1" s="1"/>
  <c r="I325" i="1" a="1"/>
  <c r="I325" i="1" s="1"/>
  <c r="I324" i="1" a="1"/>
  <c r="I324" i="1" s="1"/>
  <c r="I323" i="1" a="1"/>
  <c r="I323" i="1" s="1"/>
  <c r="I322" i="1" a="1"/>
  <c r="I322" i="1" s="1"/>
  <c r="I321" i="1" a="1"/>
  <c r="I321" i="1" s="1"/>
  <c r="I320" i="1" a="1"/>
  <c r="I320" i="1" s="1"/>
  <c r="I319" i="1" a="1"/>
  <c r="I319" i="1" s="1"/>
  <c r="I318" i="1" a="1"/>
  <c r="I318" i="1" s="1"/>
  <c r="I317" i="1" a="1"/>
  <c r="I317" i="1" s="1"/>
  <c r="I316" i="1" a="1"/>
  <c r="I316" i="1" s="1"/>
  <c r="I315" i="1" a="1"/>
  <c r="I315" i="1" s="1"/>
  <c r="I314" i="1" a="1"/>
  <c r="I314" i="1" s="1"/>
  <c r="I313" i="1" a="1"/>
  <c r="I313" i="1" s="1"/>
  <c r="I312" i="1" a="1"/>
  <c r="I312" i="1" s="1"/>
  <c r="I311" i="1" a="1"/>
  <c r="I311" i="1" s="1"/>
  <c r="I310" i="1" a="1"/>
  <c r="I310" i="1" s="1"/>
  <c r="I309" i="1" a="1"/>
  <c r="I309" i="1" s="1"/>
  <c r="I308" i="1" a="1"/>
  <c r="I308" i="1" s="1"/>
  <c r="I307" i="1" a="1"/>
  <c r="I307" i="1" s="1"/>
  <c r="I306" i="1" a="1"/>
  <c r="I306" i="1" s="1"/>
  <c r="I305" i="1" a="1"/>
  <c r="I305" i="1" s="1"/>
  <c r="I304" i="1" a="1"/>
  <c r="I304" i="1" s="1"/>
  <c r="I303" i="1" a="1"/>
  <c r="I303" i="1" s="1"/>
  <c r="I302" i="1" a="1"/>
  <c r="I302" i="1" s="1"/>
  <c r="I301" i="1" a="1"/>
  <c r="I301" i="1" s="1"/>
  <c r="I300" i="1" a="1"/>
  <c r="I300" i="1" s="1"/>
  <c r="I299" i="1" a="1"/>
  <c r="I299" i="1" s="1"/>
  <c r="I298" i="1" a="1"/>
  <c r="I298" i="1" s="1"/>
  <c r="I297" i="1" a="1"/>
  <c r="I297" i="1" s="1"/>
  <c r="I296" i="1" a="1"/>
  <c r="I296" i="1" s="1"/>
  <c r="I295" i="1" a="1"/>
  <c r="I295" i="1" s="1"/>
  <c r="I294" i="1" a="1"/>
  <c r="I294" i="1" s="1"/>
  <c r="I293" i="1" a="1"/>
  <c r="I293" i="1" s="1"/>
  <c r="I292" i="1" a="1"/>
  <c r="I292" i="1" s="1"/>
  <c r="I291" i="1" a="1"/>
  <c r="I291" i="1" s="1"/>
  <c r="I290" i="1" a="1"/>
  <c r="I290" i="1" s="1"/>
  <c r="I289" i="1" a="1"/>
  <c r="I289" i="1" s="1"/>
  <c r="I288" i="1" a="1"/>
  <c r="I288" i="1" s="1"/>
  <c r="I287" i="1" a="1"/>
  <c r="I287" i="1" s="1"/>
  <c r="I286" i="1" a="1"/>
  <c r="I286" i="1" s="1"/>
  <c r="I285" i="1" a="1"/>
  <c r="I285" i="1" s="1"/>
  <c r="I284" i="1" a="1"/>
  <c r="I284" i="1" s="1"/>
  <c r="I283" i="1" a="1"/>
  <c r="I283" i="1" s="1"/>
  <c r="I282" i="1" a="1"/>
  <c r="I282" i="1" s="1"/>
  <c r="I281" i="1" a="1"/>
  <c r="I281" i="1" s="1"/>
  <c r="I280" i="1" a="1"/>
  <c r="I280" i="1" s="1"/>
  <c r="I279" i="1" a="1"/>
  <c r="I279" i="1" s="1"/>
  <c r="I278" i="1" a="1"/>
  <c r="I278" i="1" s="1"/>
  <c r="I277" i="1" a="1"/>
  <c r="I277" i="1" s="1"/>
  <c r="I276" i="1" a="1"/>
  <c r="I276" i="1" s="1"/>
  <c r="I275" i="1" a="1"/>
  <c r="I275" i="1" s="1"/>
  <c r="I274" i="1" a="1"/>
  <c r="I274" i="1" s="1"/>
  <c r="I273" i="1" a="1"/>
  <c r="I273" i="1" s="1"/>
  <c r="I272" i="1" a="1"/>
  <c r="I272" i="1" s="1"/>
  <c r="I271" i="1" a="1"/>
  <c r="I271" i="1" s="1"/>
  <c r="I270" i="1" a="1"/>
  <c r="I270" i="1" s="1"/>
  <c r="I266" i="1" a="1"/>
  <c r="I266" i="1" s="1"/>
  <c r="I263" i="1" a="1"/>
  <c r="I263" i="1" s="1"/>
  <c r="I262" i="1" a="1"/>
  <c r="I262" i="1" s="1"/>
  <c r="I260" i="1" a="1"/>
  <c r="I260" i="1" s="1"/>
  <c r="I259" i="1" a="1"/>
  <c r="I259" i="1" s="1"/>
  <c r="I258" i="1" a="1"/>
  <c r="I258" i="1" s="1"/>
  <c r="I257" i="1" a="1"/>
  <c r="I257" i="1" s="1"/>
  <c r="I256" i="1" a="1"/>
  <c r="I256" i="1" s="1"/>
  <c r="I255" i="1" a="1"/>
  <c r="I255" i="1" s="1"/>
  <c r="I254" i="1" a="1"/>
  <c r="I254" i="1" s="1"/>
  <c r="I253" i="1" a="1"/>
  <c r="I253" i="1" s="1"/>
  <c r="I252" i="1" a="1"/>
  <c r="I252" i="1" s="1"/>
  <c r="I251" i="1" a="1"/>
  <c r="I251" i="1" s="1"/>
  <c r="I250" i="1" a="1"/>
  <c r="I250" i="1" s="1"/>
  <c r="I249" i="1" a="1"/>
  <c r="I249" i="1" s="1"/>
  <c r="I248" i="1" a="1"/>
  <c r="I248" i="1" s="1"/>
  <c r="I247" i="1" a="1"/>
  <c r="I247" i="1" s="1"/>
  <c r="I246" i="1" a="1"/>
  <c r="I246" i="1" s="1"/>
  <c r="I245" i="1" a="1"/>
  <c r="I245" i="1" s="1"/>
  <c r="I244" i="1" a="1"/>
  <c r="I244" i="1" s="1"/>
  <c r="I243" i="1" a="1"/>
  <c r="I243" i="1" s="1"/>
  <c r="I242" i="1" a="1"/>
  <c r="I242" i="1" s="1"/>
  <c r="I239" i="1" a="1"/>
  <c r="I239" i="1" s="1"/>
  <c r="I238" i="1" a="1"/>
  <c r="I238" i="1" s="1"/>
  <c r="I236" i="1" a="1"/>
  <c r="I236" i="1" s="1"/>
  <c r="I235" i="1" a="1"/>
  <c r="I235" i="1" s="1"/>
  <c r="I234" i="1" a="1"/>
  <c r="I234" i="1" s="1"/>
  <c r="I233" i="1" a="1"/>
  <c r="I233" i="1" s="1"/>
  <c r="I232" i="1" a="1"/>
  <c r="I232" i="1" s="1"/>
  <c r="I231" i="1" a="1"/>
  <c r="I231" i="1" s="1"/>
  <c r="I230" i="1" a="1"/>
  <c r="I230" i="1" s="1"/>
  <c r="I229" i="1" a="1"/>
  <c r="I229" i="1" s="1"/>
  <c r="I228" i="1" a="1"/>
  <c r="I228" i="1" s="1"/>
  <c r="I227" i="1" a="1"/>
  <c r="I227" i="1" s="1"/>
  <c r="I226" i="1" a="1"/>
  <c r="I226" i="1" s="1"/>
  <c r="I225" i="1" a="1"/>
  <c r="I225" i="1" s="1"/>
  <c r="I224" i="1" a="1"/>
  <c r="I224" i="1" s="1"/>
  <c r="I223" i="1" a="1"/>
  <c r="I223" i="1" s="1"/>
  <c r="I222" i="1" a="1"/>
  <c r="I222" i="1" s="1"/>
  <c r="I221" i="1" a="1"/>
  <c r="I221" i="1" s="1"/>
  <c r="I220" i="1" a="1"/>
  <c r="I220" i="1" s="1"/>
  <c r="I219" i="1" a="1"/>
  <c r="I219" i="1" s="1"/>
  <c r="I218" i="1" a="1"/>
  <c r="I218" i="1" s="1"/>
  <c r="I217" i="1" a="1"/>
  <c r="I217" i="1" s="1"/>
  <c r="I216" i="1" a="1"/>
  <c r="I216" i="1" s="1"/>
  <c r="I215" i="1" a="1"/>
  <c r="I215" i="1" s="1"/>
  <c r="I214" i="1" a="1"/>
  <c r="I214" i="1" s="1"/>
  <c r="I213" i="1" a="1"/>
  <c r="I213" i="1" s="1"/>
  <c r="I212" i="1" a="1"/>
  <c r="I212" i="1" s="1"/>
  <c r="I211" i="1" a="1"/>
  <c r="I211" i="1" s="1"/>
  <c r="I210" i="1" a="1"/>
  <c r="I210" i="1" s="1"/>
  <c r="I209" i="1" a="1"/>
  <c r="I209" i="1" s="1"/>
  <c r="I208" i="1" a="1"/>
  <c r="I208" i="1" s="1"/>
  <c r="I207" i="1" a="1"/>
  <c r="I207" i="1" s="1"/>
  <c r="I206" i="1" a="1"/>
  <c r="I206" i="1" s="1"/>
  <c r="I205" i="1" a="1"/>
  <c r="I205" i="1" s="1"/>
  <c r="I204" i="1" a="1"/>
  <c r="I204" i="1" s="1"/>
  <c r="I203" i="1" a="1"/>
  <c r="I203" i="1" s="1"/>
  <c r="I202" i="1" a="1"/>
  <c r="I202" i="1" s="1"/>
  <c r="I201" i="1" a="1"/>
  <c r="I201" i="1" s="1"/>
  <c r="I200" i="1" a="1"/>
  <c r="I200" i="1" s="1"/>
  <c r="I199" i="1" a="1"/>
  <c r="I199" i="1" s="1"/>
  <c r="I198" i="1" a="1"/>
  <c r="I198" i="1" s="1"/>
  <c r="I195" i="1" a="1"/>
  <c r="I195" i="1" s="1"/>
  <c r="I194" i="1" a="1"/>
  <c r="I194" i="1" s="1"/>
  <c r="I193" i="1" a="1"/>
  <c r="I193" i="1" s="1"/>
  <c r="I192" i="1" a="1"/>
  <c r="I192" i="1" s="1"/>
  <c r="I191" i="1" a="1"/>
  <c r="I191" i="1" s="1"/>
  <c r="I190" i="1" a="1"/>
  <c r="I190" i="1" s="1"/>
  <c r="I189" i="1" a="1"/>
  <c r="I189" i="1" s="1"/>
  <c r="I188" i="1" a="1"/>
  <c r="I188" i="1" s="1"/>
  <c r="I187" i="1" a="1"/>
  <c r="I187" i="1" s="1"/>
  <c r="I186" i="1" a="1"/>
  <c r="I186" i="1" s="1"/>
  <c r="I185" i="1" a="1"/>
  <c r="I185" i="1" s="1"/>
  <c r="I184" i="1" a="1"/>
  <c r="I184" i="1" s="1"/>
  <c r="I183" i="1" a="1"/>
  <c r="I183" i="1" s="1"/>
  <c r="I182" i="1" a="1"/>
  <c r="I182" i="1" s="1"/>
  <c r="I181" i="1" a="1"/>
  <c r="I181" i="1" s="1"/>
  <c r="I180" i="1" a="1"/>
  <c r="I180" i="1" s="1"/>
  <c r="I179" i="1" a="1"/>
  <c r="I179" i="1" s="1"/>
  <c r="I178" i="1" a="1"/>
  <c r="I178" i="1" s="1"/>
  <c r="I177" i="1" a="1"/>
  <c r="I177" i="1" s="1"/>
  <c r="I176" i="1" a="1"/>
  <c r="I176" i="1" s="1"/>
  <c r="I175" i="1" a="1"/>
  <c r="I175" i="1" s="1"/>
  <c r="I174" i="1" a="1"/>
  <c r="I174" i="1" s="1"/>
  <c r="I173" i="1" a="1"/>
  <c r="I173" i="1" s="1"/>
  <c r="I172" i="1" a="1"/>
  <c r="I172" i="1" s="1"/>
  <c r="I171" i="1" a="1"/>
  <c r="I171" i="1" s="1"/>
  <c r="I170" i="1" a="1"/>
  <c r="I170" i="1" s="1"/>
  <c r="I169" i="1" a="1"/>
  <c r="I169" i="1" s="1"/>
  <c r="I168" i="1" a="1"/>
  <c r="I168" i="1" s="1"/>
  <c r="I167" i="1" a="1"/>
  <c r="I167" i="1" s="1"/>
  <c r="I166" i="1" a="1"/>
  <c r="I166" i="1" s="1"/>
  <c r="I165" i="1" a="1"/>
  <c r="I165" i="1" s="1"/>
  <c r="I164" i="1" a="1"/>
  <c r="I164" i="1" s="1"/>
  <c r="I163" i="1" a="1"/>
  <c r="I163" i="1" s="1"/>
  <c r="I162" i="1" a="1"/>
  <c r="I162" i="1" s="1"/>
  <c r="I161" i="1" a="1"/>
  <c r="I161" i="1" s="1"/>
  <c r="I160" i="1" a="1"/>
  <c r="I160" i="1" s="1"/>
  <c r="I159" i="1" a="1"/>
  <c r="I159" i="1" s="1"/>
  <c r="I158" i="1" a="1"/>
  <c r="I158" i="1" s="1"/>
  <c r="I157" i="1" a="1"/>
  <c r="I157" i="1" s="1"/>
  <c r="I156" i="1" a="1"/>
  <c r="I156" i="1" s="1"/>
  <c r="I155" i="1" a="1"/>
  <c r="I155" i="1" s="1"/>
  <c r="I154" i="1" a="1"/>
  <c r="I154" i="1" s="1"/>
  <c r="I153" i="1" a="1"/>
  <c r="I153" i="1" s="1"/>
  <c r="I152" i="1" a="1"/>
  <c r="I152" i="1" s="1"/>
  <c r="I151" i="1" a="1"/>
  <c r="I151" i="1" s="1"/>
  <c r="I150" i="1" a="1"/>
  <c r="I150" i="1" s="1"/>
  <c r="I149" i="1" a="1"/>
  <c r="I149" i="1" s="1"/>
  <c r="I148" i="1" a="1"/>
  <c r="I148" i="1" s="1"/>
  <c r="I147" i="1" a="1"/>
  <c r="I147" i="1" s="1"/>
  <c r="I146" i="1" a="1"/>
  <c r="I146" i="1" s="1"/>
  <c r="I145" i="1" a="1"/>
  <c r="I145" i="1" s="1"/>
  <c r="I144" i="1" a="1"/>
  <c r="I144" i="1" s="1"/>
  <c r="I143" i="1" a="1"/>
  <c r="I143" i="1" s="1"/>
  <c r="I142" i="1" a="1"/>
  <c r="I142" i="1" s="1"/>
  <c r="I141" i="1" a="1"/>
  <c r="I141" i="1" s="1"/>
  <c r="I140" i="1" a="1"/>
  <c r="I140" i="1" s="1"/>
  <c r="I139" i="1" a="1"/>
  <c r="I139" i="1" s="1"/>
  <c r="I138" i="1" a="1"/>
  <c r="I138" i="1" s="1"/>
  <c r="I137" i="1" a="1"/>
  <c r="I137" i="1" s="1"/>
  <c r="I136" i="1" a="1"/>
  <c r="I136" i="1" s="1"/>
  <c r="I135" i="1" a="1"/>
  <c r="I135" i="1" s="1"/>
  <c r="I134" i="1" a="1"/>
  <c r="I134" i="1" s="1"/>
  <c r="I130" i="1" a="1"/>
  <c r="I130" i="1" s="1"/>
  <c r="I128" i="1" a="1"/>
  <c r="I128" i="1" s="1"/>
  <c r="I127" i="1" a="1"/>
  <c r="I127" i="1" s="1"/>
  <c r="I126" i="1" a="1"/>
  <c r="I126" i="1" s="1"/>
  <c r="I125" i="1" a="1"/>
  <c r="I125" i="1" s="1"/>
  <c r="I124" i="1" a="1"/>
  <c r="I124" i="1" s="1"/>
  <c r="I123" i="1" a="1"/>
  <c r="I123" i="1" s="1"/>
  <c r="I122" i="1" a="1"/>
  <c r="I122" i="1" s="1"/>
  <c r="I120" i="1" a="1"/>
  <c r="I120" i="1" s="1"/>
  <c r="I119" i="1" a="1"/>
  <c r="I119" i="1" s="1"/>
  <c r="I118" i="1" a="1"/>
  <c r="I118" i="1" s="1"/>
  <c r="I117" i="1" a="1"/>
  <c r="I117" i="1" s="1"/>
  <c r="I116" i="1" a="1"/>
  <c r="I116" i="1" s="1"/>
  <c r="I115" i="1" a="1"/>
  <c r="I115" i="1" s="1"/>
  <c r="I114" i="1" a="1"/>
  <c r="I114" i="1" s="1"/>
  <c r="I113" i="1" a="1"/>
  <c r="I113" i="1" s="1"/>
  <c r="I112" i="1" a="1"/>
  <c r="I112" i="1" s="1"/>
  <c r="I111" i="1" a="1"/>
  <c r="I111" i="1" s="1"/>
  <c r="I110" i="1" a="1"/>
  <c r="I110" i="1" s="1"/>
  <c r="I109" i="1" a="1"/>
  <c r="I109" i="1" s="1"/>
  <c r="I108" i="1" a="1"/>
  <c r="I108" i="1" s="1"/>
  <c r="I107" i="1" a="1"/>
  <c r="I107" i="1" s="1"/>
  <c r="I106" i="1" a="1"/>
  <c r="I106" i="1" s="1"/>
  <c r="I105" i="1" a="1"/>
  <c r="I105" i="1" s="1"/>
  <c r="I104" i="1" a="1"/>
  <c r="I104" i="1" s="1"/>
  <c r="I103" i="1" a="1"/>
  <c r="I103" i="1" s="1"/>
  <c r="I102" i="1" a="1"/>
  <c r="I102" i="1" s="1"/>
  <c r="I99" i="1" a="1"/>
  <c r="I99" i="1" s="1"/>
  <c r="I98" i="1" a="1"/>
  <c r="I98" i="1" s="1"/>
  <c r="I96" i="1" a="1"/>
  <c r="I96" i="1" s="1"/>
  <c r="I95" i="1" a="1"/>
  <c r="I95" i="1" s="1"/>
  <c r="I94" i="1" a="1"/>
  <c r="I94" i="1" s="1"/>
  <c r="I93" i="1" a="1"/>
  <c r="I93" i="1" s="1"/>
  <c r="I92" i="1" a="1"/>
  <c r="I92" i="1" s="1"/>
  <c r="I91" i="1" a="1"/>
  <c r="I91" i="1" s="1"/>
  <c r="I90" i="1" a="1"/>
  <c r="I90" i="1" s="1"/>
  <c r="I87" i="1" a="1"/>
  <c r="I87" i="1" s="1"/>
  <c r="I86" i="1" a="1"/>
  <c r="I86" i="1" s="1"/>
  <c r="I82" i="1" a="1"/>
  <c r="I82" i="1" s="1"/>
  <c r="I79" i="1" a="1"/>
  <c r="I79" i="1" s="1"/>
  <c r="I78" i="1" a="1"/>
  <c r="I78" i="1" s="1"/>
  <c r="I76" i="1" a="1"/>
  <c r="I76" i="1" s="1"/>
  <c r="I75" i="1" a="1"/>
  <c r="I75" i="1" s="1"/>
  <c r="I74" i="1" a="1"/>
  <c r="I74" i="1" s="1"/>
  <c r="I71" i="1" a="1"/>
  <c r="I71" i="1" s="1"/>
  <c r="I70" i="1" a="1"/>
  <c r="I70" i="1" s="1"/>
  <c r="I66" i="1" a="1"/>
  <c r="I66" i="1" s="1"/>
  <c r="I65" i="1" a="1"/>
  <c r="I65" i="1" s="1"/>
  <c r="I64" i="1" a="1"/>
  <c r="I64" i="1" s="1"/>
  <c r="I63" i="1" a="1"/>
  <c r="I63" i="1" s="1"/>
  <c r="I62" i="1" a="1"/>
  <c r="I62" i="1" s="1"/>
  <c r="I61" i="1" a="1"/>
  <c r="I61" i="1" s="1"/>
  <c r="I60" i="1" a="1"/>
  <c r="I60" i="1" s="1"/>
  <c r="I59" i="1" a="1"/>
  <c r="I59" i="1" s="1"/>
  <c r="I58" i="1" a="1"/>
  <c r="I58" i="1" s="1"/>
  <c r="I57" i="1" a="1"/>
  <c r="I57" i="1" s="1"/>
  <c r="I56" i="1" a="1"/>
  <c r="I56" i="1" s="1"/>
  <c r="I55" i="1" a="1"/>
  <c r="I55" i="1" s="1"/>
  <c r="I54" i="1" a="1"/>
  <c r="I54" i="1" s="1"/>
  <c r="I50" i="1" a="1"/>
  <c r="I50" i="1" s="1"/>
  <c r="I49" i="1" a="1"/>
  <c r="I49" i="1" s="1"/>
  <c r="I48" i="1" a="1"/>
  <c r="I48" i="1" s="1"/>
  <c r="I47" i="1" a="1"/>
  <c r="I47" i="1" s="1"/>
  <c r="I46" i="1" a="1"/>
  <c r="I46" i="1" s="1"/>
  <c r="I44" i="1" a="1"/>
  <c r="I44" i="1" s="1"/>
  <c r="I43" i="1" a="1"/>
  <c r="I43" i="1" s="1"/>
  <c r="I42" i="1" a="1"/>
  <c r="I42" i="1" s="1"/>
  <c r="I39" i="1" a="1"/>
  <c r="I39" i="1" s="1"/>
  <c r="I38" i="1" a="1"/>
  <c r="I38" i="1" s="1"/>
  <c r="I37" i="1" a="1"/>
  <c r="I37" i="1" s="1"/>
  <c r="I36" i="1" a="1"/>
  <c r="I36" i="1" s="1"/>
  <c r="I35" i="1" a="1"/>
  <c r="I35" i="1" s="1"/>
  <c r="I34" i="1" a="1"/>
  <c r="I34" i="1" s="1"/>
  <c r="I31" i="1" a="1"/>
  <c r="I31" i="1" s="1"/>
  <c r="I30" i="1" a="1"/>
  <c r="I30" i="1" s="1"/>
  <c r="I29" i="1" a="1"/>
  <c r="I29" i="1" s="1"/>
  <c r="I28" i="1" a="1"/>
  <c r="I28" i="1" s="1"/>
  <c r="I27" i="1" a="1"/>
  <c r="I27" i="1" s="1"/>
  <c r="I26" i="1" a="1"/>
  <c r="I26" i="1" s="1"/>
  <c r="I24" i="1" a="1"/>
  <c r="I24" i="1" s="1"/>
  <c r="I23" i="1" a="1"/>
  <c r="I23" i="1" s="1"/>
  <c r="I22" i="1" a="1"/>
  <c r="I22" i="1" s="1"/>
  <c r="I20" i="1" a="1"/>
  <c r="I20" i="1" s="1"/>
  <c r="I19" i="1" a="1"/>
  <c r="I19" i="1" s="1"/>
  <c r="I18" i="1" a="1"/>
  <c r="I18" i="1" s="1"/>
  <c r="I16" i="1" a="1"/>
  <c r="I16" i="1" s="1"/>
  <c r="I15" i="1" a="1"/>
  <c r="I15" i="1" s="1"/>
  <c r="I14" i="1" a="1"/>
  <c r="I14" i="1" s="1"/>
  <c r="I13" i="1" a="1"/>
  <c r="I13" i="1" s="1"/>
  <c r="I12" i="1" a="1"/>
  <c r="I12" i="1" s="1"/>
  <c r="I11" i="1" a="1"/>
  <c r="I11" i="1" s="1"/>
  <c r="I10" i="1" a="1"/>
  <c r="I10" i="1" s="1"/>
  <c r="I9" i="1" a="1"/>
  <c r="I9" i="1" s="1"/>
  <c r="I8" i="1" a="1"/>
  <c r="I8" i="1" s="1"/>
  <c r="I7" i="1" a="1"/>
  <c r="I7" i="1" s="1"/>
  <c r="I6" i="1" a="1"/>
  <c r="I6" i="1" s="1"/>
  <c r="I3" i="1" a="1"/>
  <c r="I3" i="1" s="1"/>
  <c r="M513" i="1" a="1"/>
  <c r="M513" i="1" s="1"/>
  <c r="T513" i="1" s="1" a="1"/>
  <c r="T513" i="1" s="1"/>
  <c r="M512" i="1" a="1"/>
  <c r="M512" i="1" s="1"/>
  <c r="T512" i="1" s="1" a="1"/>
  <c r="T512" i="1" s="1"/>
  <c r="M511" i="1" a="1"/>
  <c r="M511" i="1" s="1"/>
  <c r="T511" i="1" s="1" a="1"/>
  <c r="T511" i="1" s="1"/>
  <c r="M510" i="1" a="1"/>
  <c r="M510" i="1" s="1"/>
  <c r="T510" i="1" s="1" a="1"/>
  <c r="T510" i="1" s="1"/>
  <c r="M509" i="1" a="1"/>
  <c r="M509" i="1" s="1"/>
  <c r="M508" i="1" a="1"/>
  <c r="M508" i="1" s="1"/>
  <c r="M507" i="1" a="1"/>
  <c r="M507" i="1" s="1"/>
  <c r="M506" i="1" a="1"/>
  <c r="M506" i="1" s="1"/>
  <c r="M505" i="1" a="1"/>
  <c r="M505" i="1" s="1"/>
  <c r="M504" i="1" a="1"/>
  <c r="M504" i="1" s="1"/>
  <c r="T504" i="1" s="1" a="1"/>
  <c r="T504" i="1" s="1"/>
  <c r="M503" i="1" a="1"/>
  <c r="M503" i="1" s="1"/>
  <c r="T503" i="1" s="1" a="1"/>
  <c r="T503" i="1" s="1"/>
  <c r="M502" i="1" a="1"/>
  <c r="M502" i="1" s="1"/>
  <c r="M501" i="1" a="1"/>
  <c r="M501" i="1" s="1"/>
  <c r="T501" i="1" s="1" a="1"/>
  <c r="T501" i="1" s="1"/>
  <c r="M500" i="1" a="1"/>
  <c r="M500" i="1" s="1"/>
  <c r="T500" i="1" s="1" a="1"/>
  <c r="T500" i="1" s="1"/>
  <c r="M499" i="1" a="1"/>
  <c r="M499" i="1" s="1"/>
  <c r="T499" i="1" s="1" a="1"/>
  <c r="T499" i="1" s="1"/>
  <c r="M498" i="1" a="1"/>
  <c r="M498" i="1" s="1"/>
  <c r="T498" i="1" s="1" a="1"/>
  <c r="T498" i="1" s="1"/>
  <c r="M497" i="1" a="1"/>
  <c r="M497" i="1" s="1"/>
  <c r="T497" i="1" s="1" a="1"/>
  <c r="T497" i="1" s="1"/>
  <c r="M496" i="1" a="1"/>
  <c r="M496" i="1" s="1"/>
  <c r="T496" i="1" s="1" a="1"/>
  <c r="T496" i="1" s="1"/>
  <c r="M495" i="1" a="1"/>
  <c r="M495" i="1" s="1"/>
  <c r="T495" i="1" s="1" a="1"/>
  <c r="T495" i="1" s="1"/>
  <c r="M494" i="1" a="1"/>
  <c r="M494" i="1" s="1"/>
  <c r="T494" i="1" s="1" a="1"/>
  <c r="T494" i="1" s="1"/>
  <c r="M493" i="1" a="1"/>
  <c r="M493" i="1" s="1"/>
  <c r="T493" i="1" s="1" a="1"/>
  <c r="T493" i="1" s="1"/>
  <c r="M492" i="1" a="1"/>
  <c r="M492" i="1" s="1"/>
  <c r="T492" i="1" s="1" a="1"/>
  <c r="T492" i="1" s="1"/>
  <c r="M491" i="1" a="1"/>
  <c r="M491" i="1" s="1"/>
  <c r="T491" i="1" s="1" a="1"/>
  <c r="T491" i="1" s="1"/>
  <c r="M490" i="1" a="1"/>
  <c r="M490" i="1" s="1"/>
  <c r="T490" i="1" s="1" a="1"/>
  <c r="T490" i="1" s="1"/>
  <c r="M489" i="1" a="1"/>
  <c r="M489" i="1" s="1"/>
  <c r="T489" i="1" s="1" a="1"/>
  <c r="T489" i="1" s="1"/>
  <c r="M488" i="1" a="1"/>
  <c r="M488" i="1" s="1"/>
  <c r="T488" i="1" s="1" a="1"/>
  <c r="T488" i="1" s="1"/>
  <c r="M487" i="1" a="1"/>
  <c r="M487" i="1" s="1"/>
  <c r="T487" i="1" s="1" a="1"/>
  <c r="T487" i="1" s="1"/>
  <c r="M486" i="1" a="1"/>
  <c r="M486" i="1" s="1"/>
  <c r="T486" i="1" s="1" a="1"/>
  <c r="T486" i="1" s="1"/>
  <c r="M485" i="1" a="1"/>
  <c r="M485" i="1" s="1"/>
  <c r="M484" i="1" a="1"/>
  <c r="M484" i="1" s="1"/>
  <c r="M483" i="1" a="1"/>
  <c r="M483" i="1" s="1"/>
  <c r="M482" i="1" a="1"/>
  <c r="M482" i="1" s="1"/>
  <c r="M481" i="1" a="1"/>
  <c r="M481" i="1" s="1"/>
  <c r="M480" i="1" a="1"/>
  <c r="M480" i="1" s="1"/>
  <c r="T480" i="1" s="1" a="1"/>
  <c r="T480" i="1" s="1"/>
  <c r="M479" i="1" a="1"/>
  <c r="M479" i="1" s="1"/>
  <c r="T479" i="1" s="1" a="1"/>
  <c r="T479" i="1" s="1"/>
  <c r="M478" i="1" a="1"/>
  <c r="M478" i="1" s="1"/>
  <c r="M477" i="1" a="1"/>
  <c r="M477" i="1" s="1"/>
  <c r="T477" i="1" s="1" a="1"/>
  <c r="T477" i="1" s="1"/>
  <c r="M476" i="1" a="1"/>
  <c r="M476" i="1" s="1"/>
  <c r="T476" i="1" s="1" a="1"/>
  <c r="T476" i="1" s="1"/>
  <c r="M475" i="1" a="1"/>
  <c r="M475" i="1" s="1"/>
  <c r="T475" i="1" s="1" a="1"/>
  <c r="T475" i="1" s="1"/>
  <c r="M474" i="1" a="1"/>
  <c r="M474" i="1" s="1"/>
  <c r="T474" i="1" s="1" a="1"/>
  <c r="T474" i="1" s="1"/>
  <c r="M473" i="1" a="1"/>
  <c r="M473" i="1" s="1"/>
  <c r="T473" i="1" s="1" a="1"/>
  <c r="T473" i="1" s="1"/>
  <c r="M472" i="1" a="1"/>
  <c r="M472" i="1" s="1"/>
  <c r="T472" i="1" s="1" a="1"/>
  <c r="T472" i="1" s="1"/>
  <c r="M471" i="1" a="1"/>
  <c r="M471" i="1" s="1"/>
  <c r="T471" i="1" s="1" a="1"/>
  <c r="T471" i="1" s="1"/>
  <c r="M470" i="1" a="1"/>
  <c r="M470" i="1" s="1"/>
  <c r="T470" i="1" s="1" a="1"/>
  <c r="T470" i="1" s="1"/>
  <c r="M469" i="1" a="1"/>
  <c r="M469" i="1" s="1"/>
  <c r="T469" i="1" s="1" a="1"/>
  <c r="T469" i="1" s="1"/>
  <c r="M468" i="1" a="1"/>
  <c r="M468" i="1" s="1"/>
  <c r="T468" i="1" s="1" a="1"/>
  <c r="T468" i="1" s="1"/>
  <c r="M467" i="1" a="1"/>
  <c r="M467" i="1" s="1"/>
  <c r="T467" i="1" s="1" a="1"/>
  <c r="T467" i="1" s="1"/>
  <c r="M466" i="1" a="1"/>
  <c r="M466" i="1" s="1"/>
  <c r="T466" i="1" s="1" a="1"/>
  <c r="T466" i="1" s="1"/>
  <c r="M465" i="1" a="1"/>
  <c r="M465" i="1" s="1"/>
  <c r="T465" i="1" s="1" a="1"/>
  <c r="T465" i="1" s="1"/>
  <c r="M464" i="1" a="1"/>
  <c r="M464" i="1" s="1"/>
  <c r="T464" i="1" s="1" a="1"/>
  <c r="T464" i="1" s="1"/>
  <c r="M463" i="1" a="1"/>
  <c r="M463" i="1" s="1"/>
  <c r="T463" i="1" s="1" a="1"/>
  <c r="T463" i="1" s="1"/>
  <c r="M462" i="1" a="1"/>
  <c r="M462" i="1" s="1"/>
  <c r="T462" i="1" s="1" a="1"/>
  <c r="T462" i="1" s="1"/>
  <c r="M461" i="1" a="1"/>
  <c r="M461" i="1" s="1"/>
  <c r="M460" i="1" a="1"/>
  <c r="M460" i="1" s="1"/>
  <c r="M459" i="1" a="1"/>
  <c r="M459" i="1" s="1"/>
  <c r="M458" i="1" a="1"/>
  <c r="M458" i="1" s="1"/>
  <c r="M457" i="1" a="1"/>
  <c r="M457" i="1" s="1"/>
  <c r="M456" i="1" a="1"/>
  <c r="M456" i="1" s="1"/>
  <c r="T456" i="1" s="1" a="1"/>
  <c r="T456" i="1" s="1"/>
  <c r="M455" i="1" a="1"/>
  <c r="M455" i="1" s="1"/>
  <c r="T455" i="1" s="1" a="1"/>
  <c r="T455" i="1" s="1"/>
  <c r="M454" i="1" a="1"/>
  <c r="M454" i="1" s="1"/>
  <c r="M453" i="1" a="1"/>
  <c r="M453" i="1" s="1"/>
  <c r="T453" i="1" s="1" a="1"/>
  <c r="T453" i="1" s="1"/>
  <c r="M452" i="1" a="1"/>
  <c r="M452" i="1" s="1"/>
  <c r="T452" i="1" s="1" a="1"/>
  <c r="T452" i="1" s="1"/>
  <c r="M451" i="1" a="1"/>
  <c r="M451" i="1" s="1"/>
  <c r="T451" i="1" s="1" a="1"/>
  <c r="T451" i="1" s="1"/>
  <c r="M450" i="1" a="1"/>
  <c r="M450" i="1" s="1"/>
  <c r="M449" i="1" a="1"/>
  <c r="M449" i="1" s="1"/>
  <c r="M448" i="1" a="1"/>
  <c r="M448" i="1" s="1"/>
  <c r="M447" i="1" a="1"/>
  <c r="M447" i="1" s="1"/>
  <c r="M446" i="1" a="1"/>
  <c r="M446" i="1" s="1"/>
  <c r="M445" i="1" a="1"/>
  <c r="M445" i="1" s="1"/>
  <c r="M444" i="1" a="1"/>
  <c r="M444" i="1" s="1"/>
  <c r="M443" i="1" a="1"/>
  <c r="M443" i="1" s="1"/>
  <c r="T443" i="1" s="1" a="1"/>
  <c r="T443" i="1" s="1"/>
  <c r="M442" i="1" a="1"/>
  <c r="M442" i="1" s="1"/>
  <c r="M441" i="1" a="1"/>
  <c r="M441" i="1" s="1"/>
  <c r="T441" i="1" s="1" a="1"/>
  <c r="T441" i="1" s="1"/>
  <c r="M440" i="1" a="1"/>
  <c r="M440" i="1" s="1"/>
  <c r="T440" i="1" s="1" a="1"/>
  <c r="T440" i="1" s="1"/>
  <c r="M439" i="1" a="1"/>
  <c r="M439" i="1" s="1"/>
  <c r="T439" i="1" s="1" a="1"/>
  <c r="T439" i="1" s="1"/>
  <c r="M438" i="1" a="1"/>
  <c r="M438" i="1" s="1"/>
  <c r="T438" i="1" s="1" a="1"/>
  <c r="T438" i="1" s="1"/>
  <c r="M437" i="1" a="1"/>
  <c r="M437" i="1" s="1"/>
  <c r="M436" i="1" a="1"/>
  <c r="M436" i="1" s="1"/>
  <c r="T436" i="1" s="1" a="1"/>
  <c r="T436" i="1" s="1"/>
  <c r="M435" i="1" a="1"/>
  <c r="M435" i="1" s="1"/>
  <c r="M434" i="1" a="1"/>
  <c r="M434" i="1" s="1"/>
  <c r="T434" i="1" s="1" a="1"/>
  <c r="T434" i="1" s="1"/>
  <c r="M433" i="1" a="1"/>
  <c r="M433" i="1" s="1"/>
  <c r="T433" i="1" s="1" a="1"/>
  <c r="T433" i="1" s="1"/>
  <c r="M432" i="1" a="1"/>
  <c r="M432" i="1" s="1"/>
  <c r="T432" i="1" s="1" a="1"/>
  <c r="T432" i="1" s="1"/>
  <c r="M431" i="1" a="1"/>
  <c r="M431" i="1" s="1"/>
  <c r="T431" i="1" s="1" a="1"/>
  <c r="T431" i="1" s="1"/>
  <c r="M430" i="1" a="1"/>
  <c r="M430" i="1" s="1"/>
  <c r="T430" i="1" s="1" a="1"/>
  <c r="T430" i="1" s="1"/>
  <c r="M429" i="1" a="1"/>
  <c r="M429" i="1" s="1"/>
  <c r="T429" i="1" s="1" a="1"/>
  <c r="T429" i="1" s="1"/>
  <c r="M428" i="1" a="1"/>
  <c r="M428" i="1" s="1"/>
  <c r="T428" i="1" s="1" a="1"/>
  <c r="T428" i="1" s="1"/>
  <c r="M427" i="1" a="1"/>
  <c r="M427" i="1" s="1"/>
  <c r="T427" i="1" s="1" a="1"/>
  <c r="T427" i="1" s="1"/>
  <c r="M426" i="1" a="1"/>
  <c r="M426" i="1" s="1"/>
  <c r="T426" i="1" s="1" a="1"/>
  <c r="T426" i="1" s="1"/>
  <c r="M425" i="1" a="1"/>
  <c r="M425" i="1" s="1"/>
  <c r="T425" i="1" s="1" a="1"/>
  <c r="T425" i="1" s="1"/>
  <c r="M424" i="1" a="1"/>
  <c r="M424" i="1" s="1"/>
  <c r="T424" i="1" s="1" a="1"/>
  <c r="T424" i="1" s="1"/>
  <c r="M423" i="1" a="1"/>
  <c r="M423" i="1" s="1"/>
  <c r="T423" i="1" s="1" a="1"/>
  <c r="T423" i="1" s="1"/>
  <c r="M422" i="1" a="1"/>
  <c r="M422" i="1" s="1"/>
  <c r="T422" i="1" s="1" a="1"/>
  <c r="T422" i="1" s="1"/>
  <c r="M421" i="1" a="1"/>
  <c r="M421" i="1" s="1"/>
  <c r="T421" i="1" s="1" a="1"/>
  <c r="T421" i="1" s="1"/>
  <c r="M420" i="1" a="1"/>
  <c r="M420" i="1" s="1"/>
  <c r="T420" i="1" s="1" a="1"/>
  <c r="T420" i="1" s="1"/>
  <c r="M419" i="1" a="1"/>
  <c r="M419" i="1" s="1"/>
  <c r="T419" i="1" s="1" a="1"/>
  <c r="T419" i="1" s="1"/>
  <c r="M418" i="1" a="1"/>
  <c r="M418" i="1" s="1"/>
  <c r="T418" i="1" s="1" a="1"/>
  <c r="T418" i="1" s="1"/>
  <c r="M417" i="1" a="1"/>
  <c r="M417" i="1" s="1"/>
  <c r="T417" i="1" s="1" a="1"/>
  <c r="T417" i="1" s="1"/>
  <c r="M416" i="1" a="1"/>
  <c r="M416" i="1" s="1"/>
  <c r="T416" i="1" s="1" a="1"/>
  <c r="T416" i="1" s="1"/>
  <c r="M415" i="1" a="1"/>
  <c r="M415" i="1" s="1"/>
  <c r="T415" i="1" s="1" a="1"/>
  <c r="T415" i="1" s="1"/>
  <c r="M414" i="1" a="1"/>
  <c r="M414" i="1" s="1"/>
  <c r="T414" i="1" s="1" a="1"/>
  <c r="T414" i="1" s="1"/>
  <c r="M413" i="1" a="1"/>
  <c r="M413" i="1" s="1"/>
  <c r="M412" i="1" a="1"/>
  <c r="M412" i="1" s="1"/>
  <c r="M411" i="1" a="1"/>
  <c r="M411" i="1" s="1"/>
  <c r="M410" i="1" a="1"/>
  <c r="M410" i="1" s="1"/>
  <c r="M409" i="1" a="1"/>
  <c r="M409" i="1" s="1"/>
  <c r="M408" i="1" a="1"/>
  <c r="M408" i="1" s="1"/>
  <c r="T408" i="1" s="1" a="1"/>
  <c r="T408" i="1" s="1"/>
  <c r="M407" i="1" a="1"/>
  <c r="M407" i="1" s="1"/>
  <c r="T407" i="1" s="1" a="1"/>
  <c r="T407" i="1" s="1"/>
  <c r="M406" i="1" a="1"/>
  <c r="M406" i="1" s="1"/>
  <c r="M405" i="1" a="1"/>
  <c r="M405" i="1" s="1"/>
  <c r="T405" i="1" s="1" a="1"/>
  <c r="T405" i="1" s="1"/>
  <c r="M404" i="1" a="1"/>
  <c r="M404" i="1" s="1"/>
  <c r="T404" i="1" s="1" a="1"/>
  <c r="T404" i="1" s="1"/>
  <c r="M403" i="1" a="1"/>
  <c r="M403" i="1" s="1"/>
  <c r="T403" i="1" s="1" a="1"/>
  <c r="T403" i="1" s="1"/>
  <c r="M402" i="1" a="1"/>
  <c r="M402" i="1" s="1"/>
  <c r="M401" i="1" a="1"/>
  <c r="M401" i="1" s="1"/>
  <c r="M400" i="1" a="1"/>
  <c r="M400" i="1" s="1"/>
  <c r="M399" i="1" a="1"/>
  <c r="M399" i="1" s="1"/>
  <c r="T399" i="1" s="1" a="1"/>
  <c r="T399" i="1" s="1"/>
  <c r="M398" i="1" a="1"/>
  <c r="M398" i="1" s="1"/>
  <c r="T398" i="1" s="1" a="1"/>
  <c r="T398" i="1" s="1"/>
  <c r="M397" i="1" a="1"/>
  <c r="M397" i="1" s="1"/>
  <c r="T397" i="1" s="1" a="1"/>
  <c r="T397" i="1" s="1"/>
  <c r="M396" i="1" a="1"/>
  <c r="M396" i="1" s="1"/>
  <c r="T396" i="1" s="1" a="1"/>
  <c r="T396" i="1" s="1"/>
  <c r="M395" i="1" a="1"/>
  <c r="M395" i="1" s="1"/>
  <c r="T395" i="1" s="1" a="1"/>
  <c r="T395" i="1" s="1"/>
  <c r="M394" i="1" a="1"/>
  <c r="M394" i="1" s="1"/>
  <c r="T394" i="1" s="1" a="1"/>
  <c r="T394" i="1" s="1"/>
  <c r="M393" i="1" a="1"/>
  <c r="M393" i="1" s="1"/>
  <c r="T393" i="1" s="1" a="1"/>
  <c r="T393" i="1" s="1"/>
  <c r="M392" i="1" a="1"/>
  <c r="M392" i="1" s="1"/>
  <c r="T392" i="1" s="1" a="1"/>
  <c r="T392" i="1" s="1"/>
  <c r="M391" i="1" a="1"/>
  <c r="M391" i="1" s="1"/>
  <c r="T391" i="1" s="1" a="1"/>
  <c r="T391" i="1" s="1"/>
  <c r="M390" i="1" a="1"/>
  <c r="M390" i="1" s="1"/>
  <c r="T390" i="1" s="1" a="1"/>
  <c r="T390" i="1" s="1"/>
  <c r="M389" i="1" a="1"/>
  <c r="M389" i="1" s="1"/>
  <c r="M388" i="1" a="1"/>
  <c r="M388" i="1" s="1"/>
  <c r="M387" i="1" a="1"/>
  <c r="M387" i="1" s="1"/>
  <c r="M386" i="1" a="1"/>
  <c r="M386" i="1" s="1"/>
  <c r="M385" i="1" a="1"/>
  <c r="M385" i="1" s="1"/>
  <c r="M384" i="1" a="1"/>
  <c r="M384" i="1" s="1"/>
  <c r="T384" i="1" s="1" a="1"/>
  <c r="T384" i="1" s="1"/>
  <c r="M383" i="1" a="1"/>
  <c r="M383" i="1" s="1"/>
  <c r="T383" i="1" s="1" a="1"/>
  <c r="T383" i="1" s="1"/>
  <c r="M382" i="1" a="1"/>
  <c r="M382" i="1" s="1"/>
  <c r="M381" i="1" a="1"/>
  <c r="M381" i="1" s="1"/>
  <c r="T381" i="1" s="1" a="1"/>
  <c r="T381" i="1" s="1"/>
  <c r="M380" i="1" a="1"/>
  <c r="M380" i="1" s="1"/>
  <c r="T380" i="1" s="1" a="1"/>
  <c r="T380" i="1" s="1"/>
  <c r="M379" i="1" a="1"/>
  <c r="M379" i="1" s="1"/>
  <c r="T379" i="1" s="1" a="1"/>
  <c r="T379" i="1" s="1"/>
  <c r="M378" i="1" a="1"/>
  <c r="M378" i="1" s="1"/>
  <c r="M377" i="1" a="1"/>
  <c r="M377" i="1" s="1"/>
  <c r="M376" i="1" a="1"/>
  <c r="M376" i="1" s="1"/>
  <c r="M375" i="1" a="1"/>
  <c r="M375" i="1" s="1"/>
  <c r="M374" i="1" a="1"/>
  <c r="M374" i="1" s="1"/>
  <c r="M373" i="1" a="1"/>
  <c r="M373" i="1" s="1"/>
  <c r="M372" i="1" a="1"/>
  <c r="M372" i="1" s="1"/>
  <c r="M371" i="1" a="1"/>
  <c r="M371" i="1" s="1"/>
  <c r="T371" i="1" s="1" a="1"/>
  <c r="T371" i="1" s="1"/>
  <c r="M370" i="1" a="1"/>
  <c r="M370" i="1" s="1"/>
  <c r="T370" i="1" s="1" a="1"/>
  <c r="T370" i="1" s="1"/>
  <c r="M369" i="1" a="1"/>
  <c r="M369" i="1" s="1"/>
  <c r="T369" i="1" s="1" a="1"/>
  <c r="T369" i="1" s="1"/>
  <c r="M368" i="1" a="1"/>
  <c r="M368" i="1" s="1"/>
  <c r="T368" i="1" s="1" a="1"/>
  <c r="T368" i="1" s="1"/>
  <c r="M367" i="1" a="1"/>
  <c r="M367" i="1" s="1"/>
  <c r="T367" i="1" s="1" a="1"/>
  <c r="T367" i="1" s="1"/>
  <c r="M366" i="1" a="1"/>
  <c r="M366" i="1" s="1"/>
  <c r="T366" i="1" s="1" a="1"/>
  <c r="T366" i="1" s="1"/>
  <c r="M365" i="1" a="1"/>
  <c r="M365" i="1" s="1"/>
  <c r="M364" i="1" a="1"/>
  <c r="M364" i="1" s="1"/>
  <c r="M363" i="1" a="1"/>
  <c r="M363" i="1" s="1"/>
  <c r="M362" i="1" a="1"/>
  <c r="M362" i="1" s="1"/>
  <c r="T362" i="1" s="1" a="1"/>
  <c r="T362" i="1" s="1"/>
  <c r="M361" i="1" a="1"/>
  <c r="M361" i="1" s="1"/>
  <c r="T361" i="1" s="1" a="1"/>
  <c r="T361" i="1" s="1"/>
  <c r="M360" i="1" a="1"/>
  <c r="M360" i="1" s="1"/>
  <c r="T360" i="1" s="1" a="1"/>
  <c r="T360" i="1" s="1"/>
  <c r="M359" i="1" a="1"/>
  <c r="M359" i="1" s="1"/>
  <c r="T359" i="1" s="1" a="1"/>
  <c r="T359" i="1" s="1"/>
  <c r="M358" i="1" a="1"/>
  <c r="M358" i="1" s="1"/>
  <c r="T358" i="1" s="1" a="1"/>
  <c r="T358" i="1" s="1"/>
  <c r="M357" i="1" a="1"/>
  <c r="M357" i="1" s="1"/>
  <c r="T357" i="1" s="1" a="1"/>
  <c r="T357" i="1" s="1"/>
  <c r="M356" i="1" a="1"/>
  <c r="M356" i="1" s="1"/>
  <c r="T356" i="1" s="1" a="1"/>
  <c r="T356" i="1" s="1"/>
  <c r="M355" i="1" a="1"/>
  <c r="M355" i="1" s="1"/>
  <c r="T355" i="1" s="1" a="1"/>
  <c r="T355" i="1" s="1"/>
  <c r="M354" i="1" a="1"/>
  <c r="M354" i="1" s="1"/>
  <c r="T354" i="1" s="1" a="1"/>
  <c r="T354" i="1" s="1"/>
  <c r="M353" i="1" a="1"/>
  <c r="M353" i="1" s="1"/>
  <c r="T353" i="1" s="1" a="1"/>
  <c r="T353" i="1" s="1"/>
  <c r="M352" i="1" a="1"/>
  <c r="M352" i="1" s="1"/>
  <c r="T352" i="1" s="1" a="1"/>
  <c r="T352" i="1" s="1"/>
  <c r="M351" i="1" a="1"/>
  <c r="M351" i="1" s="1"/>
  <c r="T351" i="1" s="1" a="1"/>
  <c r="T351" i="1" s="1"/>
  <c r="M350" i="1" a="1"/>
  <c r="M350" i="1" s="1"/>
  <c r="T350" i="1" s="1" a="1"/>
  <c r="T350" i="1" s="1"/>
  <c r="M349" i="1" a="1"/>
  <c r="M349" i="1" s="1"/>
  <c r="T349" i="1" s="1" a="1"/>
  <c r="T349" i="1" s="1"/>
  <c r="M348" i="1" a="1"/>
  <c r="M348" i="1" s="1"/>
  <c r="T348" i="1" s="1" a="1"/>
  <c r="T348" i="1" s="1"/>
  <c r="M347" i="1" a="1"/>
  <c r="M347" i="1" s="1"/>
  <c r="T347" i="1" s="1" a="1"/>
  <c r="T347" i="1" s="1"/>
  <c r="M346" i="1" a="1"/>
  <c r="M346" i="1" s="1"/>
  <c r="T346" i="1" s="1" a="1"/>
  <c r="T346" i="1" s="1"/>
  <c r="M345" i="1" a="1"/>
  <c r="M345" i="1" s="1"/>
  <c r="T345" i="1" s="1" a="1"/>
  <c r="T345" i="1" s="1"/>
  <c r="M344" i="1" a="1"/>
  <c r="M344" i="1" s="1"/>
  <c r="T344" i="1" s="1" a="1"/>
  <c r="T344" i="1" s="1"/>
  <c r="M343" i="1" a="1"/>
  <c r="M343" i="1" s="1"/>
  <c r="T343" i="1" s="1" a="1"/>
  <c r="T343" i="1" s="1"/>
  <c r="M342" i="1" a="1"/>
  <c r="M342" i="1" s="1"/>
  <c r="T342" i="1" s="1" a="1"/>
  <c r="T342" i="1" s="1"/>
  <c r="M341" i="1" a="1"/>
  <c r="M341" i="1" s="1"/>
  <c r="M340" i="1" a="1"/>
  <c r="M340" i="1" s="1"/>
  <c r="M339" i="1" a="1"/>
  <c r="M339" i="1" s="1"/>
  <c r="M338" i="1" a="1"/>
  <c r="M338" i="1" s="1"/>
  <c r="M337" i="1" a="1"/>
  <c r="M337" i="1" s="1"/>
  <c r="M336" i="1" a="1"/>
  <c r="M336" i="1" s="1"/>
  <c r="T336" i="1" s="1" a="1"/>
  <c r="T336" i="1" s="1"/>
  <c r="M335" i="1" a="1"/>
  <c r="M335" i="1" s="1"/>
  <c r="T335" i="1" s="1" a="1"/>
  <c r="T335" i="1" s="1"/>
  <c r="M334" i="1" a="1"/>
  <c r="M334" i="1" s="1"/>
  <c r="M333" i="1" a="1"/>
  <c r="M333" i="1" s="1"/>
  <c r="T333" i="1" s="1" a="1"/>
  <c r="T333" i="1" s="1"/>
  <c r="M332" i="1" a="1"/>
  <c r="M332" i="1" s="1"/>
  <c r="T332" i="1" s="1" a="1"/>
  <c r="T332" i="1" s="1"/>
  <c r="M331" i="1" a="1"/>
  <c r="M331" i="1" s="1"/>
  <c r="T331" i="1" s="1" a="1"/>
  <c r="T331" i="1" s="1"/>
  <c r="M330" i="1" a="1"/>
  <c r="M330" i="1" s="1"/>
  <c r="M329" i="1" a="1"/>
  <c r="M329" i="1" s="1"/>
  <c r="M328" i="1" a="1"/>
  <c r="M328" i="1" s="1"/>
  <c r="M327" i="1" a="1"/>
  <c r="M327" i="1" s="1"/>
  <c r="M326" i="1" a="1"/>
  <c r="M326" i="1" s="1"/>
  <c r="M325" i="1" a="1"/>
  <c r="M325" i="1" s="1"/>
  <c r="M324" i="1" a="1"/>
  <c r="M324" i="1" s="1"/>
  <c r="T324" i="1" s="1" a="1"/>
  <c r="T324" i="1" s="1"/>
  <c r="M323" i="1" a="1"/>
  <c r="M323" i="1" s="1"/>
  <c r="T323" i="1" s="1" a="1"/>
  <c r="T323" i="1" s="1"/>
  <c r="M322" i="1" a="1"/>
  <c r="M322" i="1" s="1"/>
  <c r="T322" i="1" s="1" a="1"/>
  <c r="T322" i="1" s="1"/>
  <c r="M321" i="1" a="1"/>
  <c r="M321" i="1" s="1"/>
  <c r="T321" i="1" s="1" a="1"/>
  <c r="T321" i="1" s="1"/>
  <c r="M320" i="1" a="1"/>
  <c r="M320" i="1" s="1"/>
  <c r="T320" i="1" s="1" a="1"/>
  <c r="T320" i="1" s="1"/>
  <c r="M319" i="1" a="1"/>
  <c r="M319" i="1" s="1"/>
  <c r="T319" i="1" s="1" a="1"/>
  <c r="T319" i="1" s="1"/>
  <c r="M318" i="1" a="1"/>
  <c r="M318" i="1" s="1"/>
  <c r="T318" i="1" s="1" a="1"/>
  <c r="T318" i="1" s="1"/>
  <c r="M317" i="1" a="1"/>
  <c r="M317" i="1" s="1"/>
  <c r="M316" i="1" a="1"/>
  <c r="M316" i="1" s="1"/>
  <c r="M315" i="1" a="1"/>
  <c r="M315" i="1" s="1"/>
  <c r="M314" i="1" a="1"/>
  <c r="M314" i="1" s="1"/>
  <c r="M313" i="1" a="1"/>
  <c r="M313" i="1" s="1"/>
  <c r="M312" i="1" a="1"/>
  <c r="M312" i="1" s="1"/>
  <c r="T312" i="1" s="1" a="1"/>
  <c r="T312" i="1" s="1"/>
  <c r="M311" i="1" a="1"/>
  <c r="M311" i="1" s="1"/>
  <c r="T311" i="1" s="1" a="1"/>
  <c r="T311" i="1" s="1"/>
  <c r="M310" i="1" a="1"/>
  <c r="M310" i="1" s="1"/>
  <c r="M309" i="1" a="1"/>
  <c r="M309" i="1" s="1"/>
  <c r="T309" i="1" s="1" a="1"/>
  <c r="T309" i="1" s="1"/>
  <c r="M308" i="1" a="1"/>
  <c r="M308" i="1" s="1"/>
  <c r="T308" i="1" s="1" a="1"/>
  <c r="T308" i="1" s="1"/>
  <c r="M307" i="1" a="1"/>
  <c r="M307" i="1" s="1"/>
  <c r="T307" i="1" s="1" a="1"/>
  <c r="T307" i="1" s="1"/>
  <c r="M306" i="1" a="1"/>
  <c r="M306" i="1" s="1"/>
  <c r="M305" i="1" a="1"/>
  <c r="M305" i="1" s="1"/>
  <c r="T305" i="1" s="1" a="1"/>
  <c r="T305" i="1" s="1"/>
  <c r="M304" i="1" a="1"/>
  <c r="M304" i="1" s="1"/>
  <c r="M303" i="1" a="1"/>
  <c r="M303" i="1" s="1"/>
  <c r="T303" i="1" s="1" a="1"/>
  <c r="T303" i="1" s="1"/>
  <c r="M302" i="1" a="1"/>
  <c r="M302" i="1" s="1"/>
  <c r="T302" i="1" s="1" a="1"/>
  <c r="T302" i="1" s="1"/>
  <c r="M301" i="1" a="1"/>
  <c r="M301" i="1" s="1"/>
  <c r="T301" i="1" s="1" a="1"/>
  <c r="T301" i="1" s="1"/>
  <c r="M300" i="1" a="1"/>
  <c r="M300" i="1" s="1"/>
  <c r="T300" i="1" s="1" a="1"/>
  <c r="T300" i="1" s="1"/>
  <c r="M299" i="1" a="1"/>
  <c r="M299" i="1" s="1"/>
  <c r="T299" i="1" s="1" a="1"/>
  <c r="T299" i="1" s="1"/>
  <c r="M298" i="1" a="1"/>
  <c r="M298" i="1" s="1"/>
  <c r="T298" i="1" s="1" a="1"/>
  <c r="T298" i="1" s="1"/>
  <c r="M297" i="1" a="1"/>
  <c r="M297" i="1" s="1"/>
  <c r="T297" i="1" s="1" a="1"/>
  <c r="T297" i="1" s="1"/>
  <c r="M296" i="1" a="1"/>
  <c r="M296" i="1" s="1"/>
  <c r="T296" i="1" s="1" a="1"/>
  <c r="T296" i="1" s="1"/>
  <c r="M295" i="1" a="1"/>
  <c r="M295" i="1" s="1"/>
  <c r="T295" i="1" s="1" a="1"/>
  <c r="T295" i="1" s="1"/>
  <c r="M294" i="1" a="1"/>
  <c r="M294" i="1" s="1"/>
  <c r="T294" i="1" s="1" a="1"/>
  <c r="T294" i="1" s="1"/>
  <c r="M293" i="1" a="1"/>
  <c r="M293" i="1" s="1"/>
  <c r="M292" i="1" a="1"/>
  <c r="M292" i="1" s="1"/>
  <c r="M291" i="1" a="1"/>
  <c r="M291" i="1" s="1"/>
  <c r="M290" i="1" a="1"/>
  <c r="M290" i="1" s="1"/>
  <c r="M289" i="1" a="1"/>
  <c r="M289" i="1" s="1"/>
  <c r="M288" i="1" a="1"/>
  <c r="M288" i="1" s="1"/>
  <c r="T288" i="1" s="1" a="1"/>
  <c r="T288" i="1" s="1"/>
  <c r="M287" i="1" a="1"/>
  <c r="M287" i="1" s="1"/>
  <c r="T287" i="1" s="1" a="1"/>
  <c r="T287" i="1" s="1"/>
  <c r="M286" i="1" a="1"/>
  <c r="M286" i="1" s="1"/>
  <c r="M285" i="1" a="1"/>
  <c r="M285" i="1" s="1"/>
  <c r="S285" i="1" s="1" a="1"/>
  <c r="S285" i="1" s="1"/>
  <c r="M284" i="1" a="1"/>
  <c r="M284" i="1" s="1"/>
  <c r="T284" i="1" s="1" a="1"/>
  <c r="T284" i="1" s="1"/>
  <c r="M283" i="1" a="1"/>
  <c r="M283" i="1" s="1"/>
  <c r="S283" i="1" s="1" a="1"/>
  <c r="S283" i="1" s="1"/>
  <c r="M282" i="1" a="1"/>
  <c r="M282" i="1" s="1"/>
  <c r="T282" i="1" s="1" a="1"/>
  <c r="T282" i="1" s="1"/>
  <c r="M281" i="1" a="1"/>
  <c r="M281" i="1" s="1"/>
  <c r="T281" i="1" s="1" a="1"/>
  <c r="T281" i="1" s="1"/>
  <c r="M280" i="1" a="1"/>
  <c r="M280" i="1" s="1"/>
  <c r="T280" i="1" s="1" a="1"/>
  <c r="T280" i="1" s="1"/>
  <c r="M279" i="1" a="1"/>
  <c r="M279" i="1" s="1"/>
  <c r="T279" i="1" s="1" a="1"/>
  <c r="T279" i="1" s="1"/>
  <c r="M278" i="1" a="1"/>
  <c r="M278" i="1" s="1"/>
  <c r="T278" i="1" s="1" a="1"/>
  <c r="T278" i="1" s="1"/>
  <c r="M277" i="1" a="1"/>
  <c r="M277" i="1" s="1"/>
  <c r="T277" i="1" s="1" a="1"/>
  <c r="T277" i="1" s="1"/>
  <c r="M276" i="1" a="1"/>
  <c r="M276" i="1" s="1"/>
  <c r="T276" i="1" s="1" a="1"/>
  <c r="T276" i="1" s="1"/>
  <c r="M275" i="1" a="1"/>
  <c r="M275" i="1" s="1"/>
  <c r="T275" i="1" s="1" a="1"/>
  <c r="T275" i="1" s="1"/>
  <c r="M274" i="1" a="1"/>
  <c r="M274" i="1" s="1"/>
  <c r="T274" i="1" s="1" a="1"/>
  <c r="T274" i="1" s="1"/>
  <c r="M273" i="1" a="1"/>
  <c r="M273" i="1" s="1"/>
  <c r="T273" i="1" s="1" a="1"/>
  <c r="T273" i="1" s="1"/>
  <c r="M272" i="1" a="1"/>
  <c r="M272" i="1" s="1"/>
  <c r="T272" i="1" s="1" a="1"/>
  <c r="T272" i="1" s="1"/>
  <c r="M271" i="1" a="1"/>
  <c r="M271" i="1" s="1"/>
  <c r="T271" i="1" s="1" a="1"/>
  <c r="T271" i="1" s="1"/>
  <c r="M270" i="1" a="1"/>
  <c r="M270" i="1" s="1"/>
  <c r="T270" i="1" s="1" a="1"/>
  <c r="T270" i="1" s="1"/>
  <c r="M266" i="1" a="1"/>
  <c r="M266" i="1" s="1"/>
  <c r="T264" i="1" a="1"/>
  <c r="T264" i="1" s="1"/>
  <c r="M263" i="1" a="1"/>
  <c r="M263" i="1" s="1"/>
  <c r="T263" i="1" s="1" a="1"/>
  <c r="T263" i="1" s="1"/>
  <c r="M262" i="1" a="1"/>
  <c r="M262" i="1" s="1"/>
  <c r="T261" i="1" a="1"/>
  <c r="T261" i="1" s="1"/>
  <c r="M260" i="1" a="1"/>
  <c r="M260" i="1" s="1"/>
  <c r="T260" i="1" s="1" a="1"/>
  <c r="T260" i="1" s="1"/>
  <c r="M259" i="1" a="1"/>
  <c r="M259" i="1" s="1"/>
  <c r="T259" i="1" s="1" a="1"/>
  <c r="T259" i="1" s="1"/>
  <c r="M258" i="1" a="1"/>
  <c r="M258" i="1" s="1"/>
  <c r="M257" i="1" a="1"/>
  <c r="M257" i="1" s="1"/>
  <c r="M256" i="1" a="1"/>
  <c r="M256" i="1" s="1"/>
  <c r="M255" i="1" a="1"/>
  <c r="M255" i="1" s="1"/>
  <c r="M254" i="1" a="1"/>
  <c r="M254" i="1" s="1"/>
  <c r="M253" i="1" a="1"/>
  <c r="M253" i="1" s="1"/>
  <c r="M252" i="1" a="1"/>
  <c r="M252" i="1" s="1"/>
  <c r="M251" i="1" a="1"/>
  <c r="M251" i="1" s="1"/>
  <c r="T251" i="1" s="1" a="1"/>
  <c r="T251" i="1" s="1"/>
  <c r="M250" i="1" a="1"/>
  <c r="M250" i="1" s="1"/>
  <c r="M249" i="1" a="1"/>
  <c r="M249" i="1" s="1"/>
  <c r="T249" i="1" s="1" a="1"/>
  <c r="T249" i="1" s="1"/>
  <c r="M248" i="1" a="1"/>
  <c r="M248" i="1" s="1"/>
  <c r="T248" i="1" s="1" a="1"/>
  <c r="T248" i="1" s="1"/>
  <c r="M247" i="1" a="1"/>
  <c r="M247" i="1" s="1"/>
  <c r="T247" i="1" s="1" a="1"/>
  <c r="T247" i="1" s="1"/>
  <c r="M246" i="1" a="1"/>
  <c r="M246" i="1" s="1"/>
  <c r="M245" i="1" a="1"/>
  <c r="M245" i="1" s="1"/>
  <c r="M244" i="1" a="1"/>
  <c r="M244" i="1" s="1"/>
  <c r="T244" i="1" s="1" a="1"/>
  <c r="T244" i="1" s="1"/>
  <c r="M243" i="1" a="1"/>
  <c r="M243" i="1" s="1"/>
  <c r="U243" i="1" s="1" a="1"/>
  <c r="U243" i="1" s="1"/>
  <c r="M242" i="1" a="1"/>
  <c r="M242" i="1" s="1"/>
  <c r="T242" i="1" s="1" a="1"/>
  <c r="T242" i="1" s="1"/>
  <c r="T241" i="1" a="1"/>
  <c r="T241" i="1" s="1"/>
  <c r="T240" i="1" a="1"/>
  <c r="T240" i="1" s="1"/>
  <c r="M239" i="1" a="1"/>
  <c r="M239" i="1" s="1"/>
  <c r="T239" i="1" s="1" a="1"/>
  <c r="T239" i="1" s="1"/>
  <c r="M238" i="1" a="1"/>
  <c r="M238" i="1" s="1"/>
  <c r="T238" i="1" s="1" a="1"/>
  <c r="T238" i="1" s="1"/>
  <c r="T237" i="1" a="1"/>
  <c r="T237" i="1" s="1"/>
  <c r="M236" i="1" a="1"/>
  <c r="M236" i="1" s="1"/>
  <c r="T236" i="1" s="1" a="1"/>
  <c r="T236" i="1" s="1"/>
  <c r="M235" i="1" a="1"/>
  <c r="M235" i="1" s="1"/>
  <c r="T235" i="1" s="1" a="1"/>
  <c r="T235" i="1" s="1"/>
  <c r="M234" i="1" a="1"/>
  <c r="M234" i="1" s="1"/>
  <c r="T234" i="1" s="1" a="1"/>
  <c r="T234" i="1" s="1"/>
  <c r="M233" i="1" a="1"/>
  <c r="M233" i="1" s="1"/>
  <c r="T233" i="1" s="1" a="1"/>
  <c r="T233" i="1" s="1"/>
  <c r="M232" i="1" a="1"/>
  <c r="M232" i="1" s="1"/>
  <c r="T232" i="1" s="1" a="1"/>
  <c r="T232" i="1" s="1"/>
  <c r="M231" i="1" a="1"/>
  <c r="M231" i="1" s="1"/>
  <c r="T231" i="1" s="1" a="1"/>
  <c r="T231" i="1" s="1"/>
  <c r="M230" i="1" a="1"/>
  <c r="M230" i="1" s="1"/>
  <c r="T230" i="1" s="1" a="1"/>
  <c r="T230" i="1" s="1"/>
  <c r="M229" i="1" a="1"/>
  <c r="M229" i="1" s="1"/>
  <c r="T229" i="1" s="1" a="1"/>
  <c r="T229" i="1" s="1"/>
  <c r="M228" i="1" a="1"/>
  <c r="M228" i="1" s="1"/>
  <c r="T228" i="1" s="1" a="1"/>
  <c r="T228" i="1" s="1"/>
  <c r="M227" i="1" a="1"/>
  <c r="M227" i="1" s="1"/>
  <c r="S227" i="1" s="1" a="1"/>
  <c r="S227" i="1" s="1"/>
  <c r="M226" i="1" a="1"/>
  <c r="M226" i="1" s="1"/>
  <c r="T226" i="1" s="1" a="1"/>
  <c r="T226" i="1" s="1"/>
  <c r="M225" i="1" a="1"/>
  <c r="M225" i="1" s="1"/>
  <c r="T225" i="1" s="1" a="1"/>
  <c r="T225" i="1" s="1"/>
  <c r="M224" i="1" a="1"/>
  <c r="M224" i="1" s="1"/>
  <c r="T224" i="1" s="1" a="1"/>
  <c r="T224" i="1" s="1"/>
  <c r="M223" i="1" a="1"/>
  <c r="M223" i="1" s="1"/>
  <c r="T223" i="1" s="1" a="1"/>
  <c r="T223" i="1" s="1"/>
  <c r="M222" i="1" a="1"/>
  <c r="M222" i="1" s="1"/>
  <c r="T222" i="1" s="1" a="1"/>
  <c r="T222" i="1" s="1"/>
  <c r="M221" i="1" a="1"/>
  <c r="M221" i="1" s="1"/>
  <c r="M220" i="1" a="1"/>
  <c r="M220" i="1" s="1"/>
  <c r="M219" i="1" a="1"/>
  <c r="M219" i="1" s="1"/>
  <c r="M218" i="1" a="1"/>
  <c r="M218" i="1" s="1"/>
  <c r="M217" i="1" a="1"/>
  <c r="M217" i="1" s="1"/>
  <c r="M216" i="1" a="1"/>
  <c r="M216" i="1" s="1"/>
  <c r="T216" i="1" s="1" a="1"/>
  <c r="T216" i="1" s="1"/>
  <c r="M215" i="1" a="1"/>
  <c r="M215" i="1" s="1"/>
  <c r="T215" i="1" s="1" a="1"/>
  <c r="T215" i="1" s="1"/>
  <c r="M214" i="1" a="1"/>
  <c r="M214" i="1" s="1"/>
  <c r="M213" i="1" a="1"/>
  <c r="M213" i="1" s="1"/>
  <c r="T213" i="1" s="1" a="1"/>
  <c r="T213" i="1" s="1"/>
  <c r="M212" i="1" a="1"/>
  <c r="M212" i="1" s="1"/>
  <c r="T212" i="1" s="1" a="1"/>
  <c r="T212" i="1" s="1"/>
  <c r="M211" i="1" a="1"/>
  <c r="M211" i="1" s="1"/>
  <c r="T211" i="1" s="1" a="1"/>
  <c r="T211" i="1" s="1"/>
  <c r="M210" i="1" a="1"/>
  <c r="M210" i="1" s="1"/>
  <c r="M209" i="1" a="1"/>
  <c r="M209" i="1" s="1"/>
  <c r="M208" i="1" a="1"/>
  <c r="M208" i="1" s="1"/>
  <c r="M207" i="1" a="1"/>
  <c r="M207" i="1" s="1"/>
  <c r="T207" i="1" s="1" a="1"/>
  <c r="T207" i="1" s="1"/>
  <c r="M206" i="1" a="1"/>
  <c r="M206" i="1" s="1"/>
  <c r="M205" i="1" a="1"/>
  <c r="M205" i="1" s="1"/>
  <c r="T205" i="1" s="1" a="1"/>
  <c r="T205" i="1" s="1"/>
  <c r="M204" i="1" a="1"/>
  <c r="M204" i="1" s="1"/>
  <c r="T204" i="1" s="1" a="1"/>
  <c r="T204" i="1" s="1"/>
  <c r="M203" i="1" a="1"/>
  <c r="M203" i="1" s="1"/>
  <c r="T203" i="1" s="1" a="1"/>
  <c r="T203" i="1" s="1"/>
  <c r="M202" i="1" a="1"/>
  <c r="M202" i="1" s="1"/>
  <c r="T202" i="1" s="1" a="1"/>
  <c r="T202" i="1" s="1"/>
  <c r="M201" i="1" a="1"/>
  <c r="M201" i="1" s="1"/>
  <c r="T201" i="1" s="1" a="1"/>
  <c r="T201" i="1" s="1"/>
  <c r="M200" i="1" a="1"/>
  <c r="M200" i="1" s="1"/>
  <c r="T200" i="1" s="1" a="1"/>
  <c r="T200" i="1" s="1"/>
  <c r="M199" i="1" a="1"/>
  <c r="M199" i="1" s="1"/>
  <c r="T199" i="1" s="1" a="1"/>
  <c r="T199" i="1" s="1"/>
  <c r="M198" i="1" a="1"/>
  <c r="M198" i="1" s="1"/>
  <c r="T198" i="1" s="1" a="1"/>
  <c r="T198" i="1" s="1"/>
  <c r="M195" i="1" a="1"/>
  <c r="M195" i="1" s="1"/>
  <c r="M194" i="1" a="1"/>
  <c r="M194" i="1" s="1"/>
  <c r="M193" i="1" a="1"/>
  <c r="M193" i="1" s="1"/>
  <c r="M192" i="1" a="1"/>
  <c r="M192" i="1" s="1"/>
  <c r="T192" i="1" s="1" a="1"/>
  <c r="T192" i="1" s="1"/>
  <c r="M191" i="1" a="1"/>
  <c r="M191" i="1" s="1"/>
  <c r="T191" i="1" s="1" a="1"/>
  <c r="T191" i="1" s="1"/>
  <c r="M190" i="1" a="1"/>
  <c r="M190" i="1" s="1"/>
  <c r="M189" i="1" a="1"/>
  <c r="M189" i="1" s="1"/>
  <c r="T189" i="1" s="1" a="1"/>
  <c r="T189" i="1" s="1"/>
  <c r="M188" i="1" a="1"/>
  <c r="M188" i="1" s="1"/>
  <c r="T188" i="1" s="1" a="1"/>
  <c r="T188" i="1" s="1"/>
  <c r="M187" i="1" a="1"/>
  <c r="M187" i="1" s="1"/>
  <c r="T187" i="1" s="1" a="1"/>
  <c r="T187" i="1" s="1"/>
  <c r="M186" i="1" a="1"/>
  <c r="M186" i="1" s="1"/>
  <c r="M185" i="1" a="1"/>
  <c r="M185" i="1" s="1"/>
  <c r="M184" i="1" a="1"/>
  <c r="M184" i="1" s="1"/>
  <c r="M183" i="1" a="1"/>
  <c r="M183" i="1" s="1"/>
  <c r="M182" i="1" a="1"/>
  <c r="M182" i="1" s="1"/>
  <c r="M181" i="1" a="1"/>
  <c r="M181" i="1" s="1"/>
  <c r="M180" i="1" a="1"/>
  <c r="M180" i="1" s="1"/>
  <c r="M179" i="1" a="1"/>
  <c r="M179" i="1" s="1"/>
  <c r="T179" i="1" s="1" a="1"/>
  <c r="T179" i="1" s="1"/>
  <c r="M178" i="1" a="1"/>
  <c r="M178" i="1" s="1"/>
  <c r="M177" i="1" a="1"/>
  <c r="M177" i="1" s="1"/>
  <c r="T177" i="1" s="1" a="1"/>
  <c r="T177" i="1" s="1"/>
  <c r="M176" i="1" a="1"/>
  <c r="M176" i="1" s="1"/>
  <c r="T176" i="1" s="1" a="1"/>
  <c r="T176" i="1" s="1"/>
  <c r="M175" i="1" a="1"/>
  <c r="M175" i="1" s="1"/>
  <c r="T175" i="1" s="1" a="1"/>
  <c r="T175" i="1" s="1"/>
  <c r="M174" i="1" a="1"/>
  <c r="M174" i="1" s="1"/>
  <c r="T174" i="1" s="1" a="1"/>
  <c r="T174" i="1" s="1"/>
  <c r="M173" i="1" a="1"/>
  <c r="M173" i="1" s="1"/>
  <c r="T173" i="1" s="1" a="1"/>
  <c r="T173" i="1" s="1"/>
  <c r="M172" i="1" a="1"/>
  <c r="M172" i="1" s="1"/>
  <c r="T172" i="1" s="1" a="1"/>
  <c r="T172" i="1" s="1"/>
  <c r="M171" i="1" a="1"/>
  <c r="M171" i="1" s="1"/>
  <c r="M170" i="1" a="1"/>
  <c r="M170" i="1" s="1"/>
  <c r="T170" i="1" s="1" a="1"/>
  <c r="T170" i="1" s="1"/>
  <c r="M169" i="1" a="1"/>
  <c r="M169" i="1" s="1"/>
  <c r="T169" i="1" s="1" a="1"/>
  <c r="T169" i="1" s="1"/>
  <c r="M168" i="1" a="1"/>
  <c r="M168" i="1" s="1"/>
  <c r="T168" i="1" s="1" a="1"/>
  <c r="T168" i="1" s="1"/>
  <c r="M167" i="1" a="1"/>
  <c r="M167" i="1" s="1"/>
  <c r="T167" i="1" s="1" a="1"/>
  <c r="T167" i="1" s="1"/>
  <c r="M166" i="1" a="1"/>
  <c r="M166" i="1" s="1"/>
  <c r="M165" i="1" a="1"/>
  <c r="M165" i="1" s="1"/>
  <c r="T165" i="1" s="1" a="1"/>
  <c r="T165" i="1" s="1"/>
  <c r="M164" i="1" a="1"/>
  <c r="M164" i="1" s="1"/>
  <c r="T164" i="1" s="1" a="1"/>
  <c r="T164" i="1" s="1"/>
  <c r="M163" i="1" a="1"/>
  <c r="M163" i="1" s="1"/>
  <c r="T163" i="1" s="1" a="1"/>
  <c r="T163" i="1" s="1"/>
  <c r="M162" i="1" a="1"/>
  <c r="M162" i="1" s="1"/>
  <c r="T162" i="1" s="1" a="1"/>
  <c r="T162" i="1" s="1"/>
  <c r="M161" i="1" a="1"/>
  <c r="M161" i="1" s="1"/>
  <c r="T161" i="1" s="1" a="1"/>
  <c r="T161" i="1" s="1"/>
  <c r="M160" i="1" a="1"/>
  <c r="M160" i="1" s="1"/>
  <c r="T160" i="1" s="1" a="1"/>
  <c r="T160" i="1" s="1"/>
  <c r="M159" i="1" a="1"/>
  <c r="M159" i="1" s="1"/>
  <c r="T159" i="1" s="1" a="1"/>
  <c r="T159" i="1" s="1"/>
  <c r="M158" i="1" a="1"/>
  <c r="M158" i="1" s="1"/>
  <c r="T158" i="1" s="1" a="1"/>
  <c r="T158" i="1" s="1"/>
  <c r="M157" i="1" a="1"/>
  <c r="M157" i="1" s="1"/>
  <c r="T157" i="1" s="1" a="1"/>
  <c r="T157" i="1" s="1"/>
  <c r="M156" i="1" a="1"/>
  <c r="M156" i="1" s="1"/>
  <c r="T156" i="1" s="1" a="1"/>
  <c r="T156" i="1" s="1"/>
  <c r="M155" i="1" a="1"/>
  <c r="M155" i="1" s="1"/>
  <c r="T155" i="1" s="1" a="1"/>
  <c r="T155" i="1" s="1"/>
  <c r="M154" i="1" a="1"/>
  <c r="M154" i="1" s="1"/>
  <c r="T154" i="1" s="1" a="1"/>
  <c r="T154" i="1" s="1"/>
  <c r="M153" i="1" a="1"/>
  <c r="M153" i="1" s="1"/>
  <c r="T153" i="1" s="1" a="1"/>
  <c r="T153" i="1" s="1"/>
  <c r="M152" i="1" a="1"/>
  <c r="M152" i="1" s="1"/>
  <c r="T152" i="1" s="1" a="1"/>
  <c r="T152" i="1" s="1"/>
  <c r="M151" i="1" a="1"/>
  <c r="M151" i="1" s="1"/>
  <c r="T151" i="1" s="1" a="1"/>
  <c r="T151" i="1" s="1"/>
  <c r="M150" i="1" a="1"/>
  <c r="M150" i="1" s="1"/>
  <c r="T150" i="1" s="1" a="1"/>
  <c r="T150" i="1" s="1"/>
  <c r="M149" i="1" a="1"/>
  <c r="M149" i="1" s="1"/>
  <c r="T149" i="1" s="1" a="1"/>
  <c r="T149" i="1" s="1"/>
  <c r="M148" i="1" a="1"/>
  <c r="M148" i="1" s="1"/>
  <c r="T148" i="1" s="1" a="1"/>
  <c r="T148" i="1" s="1"/>
  <c r="M147" i="1" a="1"/>
  <c r="M147" i="1" s="1"/>
  <c r="M146" i="1" a="1"/>
  <c r="M146" i="1" s="1"/>
  <c r="M145" i="1" a="1"/>
  <c r="M145" i="1" s="1"/>
  <c r="M144" i="1" a="1"/>
  <c r="M144" i="1" s="1"/>
  <c r="T144" i="1" s="1" a="1"/>
  <c r="T144" i="1" s="1"/>
  <c r="M143" i="1" a="1"/>
  <c r="M143" i="1" s="1"/>
  <c r="S143" i="1" s="1" a="1"/>
  <c r="S143" i="1" s="1"/>
  <c r="M142" i="1" a="1"/>
  <c r="M142" i="1" s="1"/>
  <c r="M141" i="1" a="1"/>
  <c r="M141" i="1" s="1"/>
  <c r="M140" i="1" a="1"/>
  <c r="M140" i="1" s="1"/>
  <c r="M139" i="1" a="1"/>
  <c r="M139" i="1" s="1"/>
  <c r="T139" i="1" s="1" a="1"/>
  <c r="T139" i="1" s="1"/>
  <c r="M138" i="1" a="1"/>
  <c r="M138" i="1" s="1"/>
  <c r="M137" i="1" a="1"/>
  <c r="M137" i="1" s="1"/>
  <c r="T137" i="1" s="1" a="1"/>
  <c r="T137" i="1" s="1"/>
  <c r="M136" i="1" a="1"/>
  <c r="M136" i="1" s="1"/>
  <c r="T136" i="1" s="1" a="1"/>
  <c r="T136" i="1" s="1"/>
  <c r="M135" i="1" a="1"/>
  <c r="M135" i="1" s="1"/>
  <c r="T135" i="1" s="1" a="1"/>
  <c r="T135" i="1" s="1"/>
  <c r="M134" i="1" a="1"/>
  <c r="M134" i="1" s="1"/>
  <c r="T134" i="1" s="1" a="1"/>
  <c r="T134" i="1" s="1"/>
  <c r="M130" i="1" a="1"/>
  <c r="M130" i="1" s="1"/>
  <c r="T130" i="1" s="1" a="1"/>
  <c r="T130" i="1" s="1"/>
  <c r="M128" i="1" a="1"/>
  <c r="M128" i="1" s="1"/>
  <c r="T128" i="1" s="1" a="1"/>
  <c r="T128" i="1" s="1"/>
  <c r="M127" i="1" a="1"/>
  <c r="M127" i="1" s="1"/>
  <c r="T127" i="1" s="1" a="1"/>
  <c r="T127" i="1" s="1"/>
  <c r="M126" i="1" a="1"/>
  <c r="M126" i="1" s="1"/>
  <c r="T126" i="1" s="1" a="1"/>
  <c r="T126" i="1" s="1"/>
  <c r="M125" i="1" a="1"/>
  <c r="M125" i="1" s="1"/>
  <c r="M124" i="1" a="1"/>
  <c r="M124" i="1" s="1"/>
  <c r="T124" i="1" s="1" a="1"/>
  <c r="T124" i="1" s="1"/>
  <c r="M123" i="1" a="1"/>
  <c r="M123" i="1" s="1"/>
  <c r="M122" i="1" a="1"/>
  <c r="M122" i="1" s="1"/>
  <c r="T122" i="1" s="1" a="1"/>
  <c r="T122" i="1" s="1"/>
  <c r="M120" i="1" a="1"/>
  <c r="M120" i="1" s="1"/>
  <c r="T120" i="1" s="1" a="1"/>
  <c r="T120" i="1" s="1"/>
  <c r="M119" i="1" a="1"/>
  <c r="M119" i="1" s="1"/>
  <c r="T119" i="1" s="1" a="1"/>
  <c r="T119" i="1" s="1"/>
  <c r="M118" i="1" a="1"/>
  <c r="M118" i="1" s="1"/>
  <c r="M117" i="1" a="1"/>
  <c r="M117" i="1" s="1"/>
  <c r="M116" i="1" a="1"/>
  <c r="M116" i="1" s="1"/>
  <c r="M115" i="1" a="1"/>
  <c r="M115" i="1" s="1"/>
  <c r="T115" i="1" s="1" a="1"/>
  <c r="T115" i="1" s="1"/>
  <c r="M114" i="1" a="1"/>
  <c r="M114" i="1" s="1"/>
  <c r="M113" i="1" a="1"/>
  <c r="M113" i="1" s="1"/>
  <c r="M112" i="1" a="1"/>
  <c r="M112" i="1" s="1"/>
  <c r="M111" i="1" a="1"/>
  <c r="M111" i="1" s="1"/>
  <c r="M110" i="1" a="1"/>
  <c r="M110" i="1" s="1"/>
  <c r="T110" i="1" s="1" a="1"/>
  <c r="T110" i="1" s="1"/>
  <c r="M109" i="1" a="1"/>
  <c r="M109" i="1" s="1"/>
  <c r="T109" i="1" s="1" a="1"/>
  <c r="T109" i="1" s="1"/>
  <c r="M108" i="1" a="1"/>
  <c r="M108" i="1" s="1"/>
  <c r="T108" i="1" s="1" a="1"/>
  <c r="T108" i="1" s="1"/>
  <c r="M107" i="1" a="1"/>
  <c r="M107" i="1" s="1"/>
  <c r="T107" i="1" s="1" a="1"/>
  <c r="T107" i="1" s="1"/>
  <c r="M106" i="1" a="1"/>
  <c r="M106" i="1" s="1"/>
  <c r="T106" i="1" s="1" a="1"/>
  <c r="T106" i="1" s="1"/>
  <c r="M105" i="1" a="1"/>
  <c r="M105" i="1" s="1"/>
  <c r="T105" i="1" s="1" a="1"/>
  <c r="T105" i="1" s="1"/>
  <c r="M104" i="1" a="1"/>
  <c r="M104" i="1" s="1"/>
  <c r="M103" i="1" a="1"/>
  <c r="M103" i="1" s="1"/>
  <c r="T103" i="1" s="1" a="1"/>
  <c r="T103" i="1" s="1"/>
  <c r="M102" i="1" a="1"/>
  <c r="M102" i="1" s="1"/>
  <c r="T102" i="1" s="1" a="1"/>
  <c r="T102" i="1" s="1"/>
  <c r="M99" i="1" a="1"/>
  <c r="M99" i="1" s="1"/>
  <c r="T99" i="1" s="1" a="1"/>
  <c r="T99" i="1" s="1"/>
  <c r="M98" i="1" a="1"/>
  <c r="M98" i="1" s="1"/>
  <c r="T98" i="1" s="1" a="1"/>
  <c r="T98" i="1" s="1"/>
  <c r="M96" i="1" a="1"/>
  <c r="M96" i="1" s="1"/>
  <c r="T96" i="1" s="1" a="1"/>
  <c r="T96" i="1" s="1"/>
  <c r="M95" i="1" a="1"/>
  <c r="M95" i="1" s="1"/>
  <c r="T95" i="1" s="1" a="1"/>
  <c r="T95" i="1" s="1"/>
  <c r="M94" i="1" a="1"/>
  <c r="M94" i="1" s="1"/>
  <c r="T94" i="1" s="1" a="1"/>
  <c r="T94" i="1" s="1"/>
  <c r="M93" i="1" a="1"/>
  <c r="M93" i="1" s="1"/>
  <c r="T93" i="1" s="1" a="1"/>
  <c r="T93" i="1" s="1"/>
  <c r="M92" i="1" a="1"/>
  <c r="M92" i="1" s="1"/>
  <c r="T92" i="1" s="1" a="1"/>
  <c r="T92" i="1" s="1"/>
  <c r="M91" i="1" a="1"/>
  <c r="M91" i="1" s="1"/>
  <c r="T91" i="1" s="1" a="1"/>
  <c r="T91" i="1" s="1"/>
  <c r="M90" i="1" a="1"/>
  <c r="M90" i="1" s="1"/>
  <c r="M87" i="1" a="1"/>
  <c r="M87" i="1" s="1"/>
  <c r="M86" i="1" a="1"/>
  <c r="M86" i="1" s="1"/>
  <c r="M82" i="1" a="1"/>
  <c r="M82" i="1" s="1"/>
  <c r="T82" i="1" s="1" a="1"/>
  <c r="T82" i="1" s="1"/>
  <c r="M79" i="1" a="1"/>
  <c r="M79" i="1" s="1"/>
  <c r="T79" i="1" s="1" a="1"/>
  <c r="T79" i="1" s="1"/>
  <c r="M78" i="1" a="1"/>
  <c r="M78" i="1" s="1"/>
  <c r="T78" i="1" s="1" a="1"/>
  <c r="T78" i="1" s="1"/>
  <c r="M76" i="1" a="1"/>
  <c r="M76" i="1" s="1"/>
  <c r="U76" i="1" s="1" a="1"/>
  <c r="U76" i="1" s="1"/>
  <c r="M75" i="1" a="1"/>
  <c r="M75" i="1" s="1"/>
  <c r="T75" i="1" s="1" a="1"/>
  <c r="T75" i="1" s="1"/>
  <c r="M74" i="1" a="1"/>
  <c r="M74" i="1" s="1"/>
  <c r="T74" i="1" s="1" a="1"/>
  <c r="T74" i="1" s="1"/>
  <c r="M71" i="1" a="1"/>
  <c r="M71" i="1" s="1"/>
  <c r="M70" i="1" a="1"/>
  <c r="M70" i="1" s="1"/>
  <c r="M66" i="1" a="1"/>
  <c r="M66" i="1" s="1"/>
  <c r="M65" i="1" a="1"/>
  <c r="M65" i="1" s="1"/>
  <c r="M64" i="1" a="1"/>
  <c r="M64" i="1" s="1"/>
  <c r="M63" i="1" a="1"/>
  <c r="M63" i="1" s="1"/>
  <c r="M62" i="1" a="1"/>
  <c r="M62" i="1" s="1"/>
  <c r="M61" i="1" a="1"/>
  <c r="M61" i="1" s="1"/>
  <c r="M60" i="1" a="1"/>
  <c r="M60" i="1" s="1"/>
  <c r="M59" i="1" a="1"/>
  <c r="M59" i="1" s="1"/>
  <c r="T59" i="1" s="1" a="1"/>
  <c r="T59" i="1" s="1"/>
  <c r="M58" i="1" a="1"/>
  <c r="M58" i="1" s="1"/>
  <c r="T58" i="1" s="1" a="1"/>
  <c r="T58" i="1" s="1"/>
  <c r="M57" i="1" a="1"/>
  <c r="M57" i="1" s="1"/>
  <c r="T57" i="1" s="1" a="1"/>
  <c r="T57" i="1" s="1"/>
  <c r="M56" i="1" a="1"/>
  <c r="M56" i="1" s="1"/>
  <c r="T56" i="1" s="1" a="1"/>
  <c r="T56" i="1" s="1"/>
  <c r="M55" i="1" a="1"/>
  <c r="M55" i="1" s="1"/>
  <c r="T55" i="1" s="1" a="1"/>
  <c r="T55" i="1" s="1"/>
  <c r="M54" i="1" a="1"/>
  <c r="M54" i="1" s="1"/>
  <c r="M50" i="1" a="1"/>
  <c r="M50" i="1" s="1"/>
  <c r="M49" i="1" a="1"/>
  <c r="M49" i="1" s="1"/>
  <c r="M48" i="1" a="1"/>
  <c r="M48" i="1" s="1"/>
  <c r="M47" i="1" a="1"/>
  <c r="M47" i="1" s="1"/>
  <c r="M46" i="1" a="1"/>
  <c r="M46" i="1" s="1"/>
  <c r="M44" i="1" a="1"/>
  <c r="M44" i="1" s="1"/>
  <c r="M43" i="1" a="1"/>
  <c r="M43" i="1" s="1"/>
  <c r="M42" i="1" a="1"/>
  <c r="M42" i="1" s="1"/>
  <c r="M39" i="1" a="1"/>
  <c r="M39" i="1" s="1"/>
  <c r="M38" i="1" a="1"/>
  <c r="M38" i="1" s="1"/>
  <c r="M37" i="1" a="1"/>
  <c r="M37" i="1" s="1"/>
  <c r="M36" i="1" a="1"/>
  <c r="M36" i="1" s="1"/>
  <c r="M35" i="1" a="1"/>
  <c r="M35" i="1" s="1"/>
  <c r="T35" i="1" s="1" a="1"/>
  <c r="T35" i="1" s="1"/>
  <c r="M34" i="1" a="1"/>
  <c r="M34" i="1" s="1"/>
  <c r="T34" i="1" s="1" a="1"/>
  <c r="T34" i="1" s="1"/>
  <c r="M31" i="1" a="1"/>
  <c r="M31" i="1" s="1"/>
  <c r="T31" i="1" s="1" a="1"/>
  <c r="T31" i="1" s="1"/>
  <c r="M30" i="1" a="1"/>
  <c r="M30" i="1" s="1"/>
  <c r="T30" i="1" s="1" a="1"/>
  <c r="T30" i="1" s="1"/>
  <c r="M29" i="1" a="1"/>
  <c r="M29" i="1" s="1"/>
  <c r="T29" i="1" s="1" a="1"/>
  <c r="T29" i="1" s="1"/>
  <c r="M28" i="1" a="1"/>
  <c r="M28" i="1" s="1"/>
  <c r="M27" i="1" a="1"/>
  <c r="M27" i="1" s="1"/>
  <c r="M26" i="1" a="1"/>
  <c r="M26" i="1" s="1"/>
  <c r="T26" i="1" s="1" a="1"/>
  <c r="T26" i="1" s="1"/>
  <c r="M24" i="1" a="1"/>
  <c r="M24" i="1" s="1"/>
  <c r="T24" i="1" s="1" a="1"/>
  <c r="T24" i="1" s="1"/>
  <c r="M23" i="1" a="1"/>
  <c r="M23" i="1" s="1"/>
  <c r="T23" i="1" s="1" a="1"/>
  <c r="T23" i="1" s="1"/>
  <c r="M22" i="1" a="1"/>
  <c r="M22" i="1" s="1"/>
  <c r="T22" i="1" s="1" a="1"/>
  <c r="T22" i="1" s="1"/>
  <c r="M20" i="1" a="1"/>
  <c r="M20" i="1" s="1"/>
  <c r="M19" i="1" a="1"/>
  <c r="M19" i="1" s="1"/>
  <c r="M18" i="1" a="1"/>
  <c r="M18" i="1" s="1"/>
  <c r="M16" i="1" a="1"/>
  <c r="M16" i="1" s="1"/>
  <c r="M15" i="1" a="1"/>
  <c r="M15" i="1" s="1"/>
  <c r="M14" i="1" a="1"/>
  <c r="M14" i="1" s="1"/>
  <c r="M13" i="1" a="1"/>
  <c r="M13" i="1" s="1"/>
  <c r="M12" i="1" a="1"/>
  <c r="M12" i="1" s="1"/>
  <c r="M11" i="1" a="1"/>
  <c r="M11" i="1" s="1"/>
  <c r="T11" i="1" s="1" a="1"/>
  <c r="T11" i="1" s="1"/>
  <c r="M10" i="1" a="1"/>
  <c r="M10" i="1" s="1"/>
  <c r="M9" i="1" a="1"/>
  <c r="M9" i="1" s="1"/>
  <c r="T9" i="1" s="1" a="1"/>
  <c r="T9" i="1" s="1"/>
  <c r="M8" i="1" a="1"/>
  <c r="M8" i="1" s="1"/>
  <c r="M7" i="1" a="1"/>
  <c r="M7" i="1" s="1"/>
  <c r="T7" i="1" s="1" a="1"/>
  <c r="T7" i="1" s="1"/>
  <c r="M6" i="1" a="1"/>
  <c r="M6" i="1" s="1"/>
  <c r="T6" i="1" s="1" a="1"/>
  <c r="T6" i="1" s="1"/>
  <c r="M3" i="1" a="1"/>
  <c r="M3" i="1" s="1"/>
  <c r="T3" i="1" s="1" a="1"/>
  <c r="T3" i="1" s="1"/>
  <c r="F2" i="1" a="1"/>
  <c r="F2" i="1" s="1"/>
  <c r="F513" i="1" a="1"/>
  <c r="F513" i="1" s="1"/>
  <c r="F512" i="1" a="1"/>
  <c r="F512" i="1" s="1"/>
  <c r="F511" i="1" a="1"/>
  <c r="F511" i="1" s="1"/>
  <c r="F510" i="1" a="1"/>
  <c r="F510" i="1" s="1"/>
  <c r="F509" i="1" a="1"/>
  <c r="F509" i="1" s="1"/>
  <c r="F508" i="1" a="1"/>
  <c r="F508" i="1" s="1"/>
  <c r="F507" i="1" a="1"/>
  <c r="F507" i="1" s="1"/>
  <c r="F506" i="1" a="1"/>
  <c r="F506" i="1" s="1"/>
  <c r="F505" i="1" a="1"/>
  <c r="F505" i="1" s="1"/>
  <c r="F504" i="1" a="1"/>
  <c r="F504" i="1" s="1"/>
  <c r="F503" i="1" a="1"/>
  <c r="F503" i="1" s="1"/>
  <c r="F502" i="1" a="1"/>
  <c r="F502" i="1" s="1"/>
  <c r="F501" i="1" a="1"/>
  <c r="F501" i="1" s="1"/>
  <c r="F500" i="1" a="1"/>
  <c r="F500" i="1" s="1"/>
  <c r="F499" i="1" a="1"/>
  <c r="F499" i="1" s="1"/>
  <c r="F498" i="1" a="1"/>
  <c r="F498" i="1" s="1"/>
  <c r="F497" i="1" a="1"/>
  <c r="F497" i="1" s="1"/>
  <c r="F496" i="1" a="1"/>
  <c r="F496" i="1" s="1"/>
  <c r="F495" i="1" a="1"/>
  <c r="F495" i="1" s="1"/>
  <c r="F494" i="1" a="1"/>
  <c r="F494" i="1" s="1"/>
  <c r="F493" i="1" a="1"/>
  <c r="F493" i="1" s="1"/>
  <c r="F492" i="1" a="1"/>
  <c r="F492" i="1" s="1"/>
  <c r="F491" i="1" a="1"/>
  <c r="F491" i="1" s="1"/>
  <c r="F490" i="1" a="1"/>
  <c r="F490" i="1" s="1"/>
  <c r="F489" i="1" a="1"/>
  <c r="F489" i="1" s="1"/>
  <c r="F488" i="1" a="1"/>
  <c r="F488" i="1" s="1"/>
  <c r="F487" i="1" a="1"/>
  <c r="F487" i="1" s="1"/>
  <c r="F486" i="1" a="1"/>
  <c r="F486" i="1" s="1"/>
  <c r="F485" i="1" a="1"/>
  <c r="F485" i="1" s="1"/>
  <c r="F484" i="1" a="1"/>
  <c r="F484" i="1" s="1"/>
  <c r="F483" i="1" a="1"/>
  <c r="F483" i="1" s="1"/>
  <c r="F482" i="1" a="1"/>
  <c r="F482" i="1" s="1"/>
  <c r="F481" i="1" a="1"/>
  <c r="F481" i="1" s="1"/>
  <c r="F480" i="1" a="1"/>
  <c r="F480" i="1" s="1"/>
  <c r="F479" i="1" a="1"/>
  <c r="F479" i="1" s="1"/>
  <c r="F478" i="1" a="1"/>
  <c r="F478" i="1" s="1"/>
  <c r="F477" i="1" a="1"/>
  <c r="F477" i="1" s="1"/>
  <c r="F476" i="1" a="1"/>
  <c r="F476" i="1" s="1"/>
  <c r="F475" i="1" a="1"/>
  <c r="F475" i="1" s="1"/>
  <c r="F474" i="1" a="1"/>
  <c r="F474" i="1" s="1"/>
  <c r="F473" i="1" a="1"/>
  <c r="F473" i="1" s="1"/>
  <c r="F472" i="1" a="1"/>
  <c r="F472" i="1" s="1"/>
  <c r="F471" i="1" a="1"/>
  <c r="F471" i="1" s="1"/>
  <c r="F470" i="1" a="1"/>
  <c r="F470" i="1" s="1"/>
  <c r="F469" i="1" a="1"/>
  <c r="F469" i="1" s="1"/>
  <c r="F468" i="1" a="1"/>
  <c r="F468" i="1" s="1"/>
  <c r="F467" i="1" a="1"/>
  <c r="F467" i="1" s="1"/>
  <c r="F466" i="1" a="1"/>
  <c r="F466" i="1" s="1"/>
  <c r="F465" i="1" a="1"/>
  <c r="F465" i="1" s="1"/>
  <c r="F464" i="1" a="1"/>
  <c r="F464" i="1" s="1"/>
  <c r="F463" i="1" a="1"/>
  <c r="F463" i="1" s="1"/>
  <c r="F462" i="1" a="1"/>
  <c r="F462" i="1" s="1"/>
  <c r="F461" i="1" a="1"/>
  <c r="F461" i="1" s="1"/>
  <c r="F460" i="1" a="1"/>
  <c r="F460" i="1" s="1"/>
  <c r="F459" i="1" a="1"/>
  <c r="F459" i="1" s="1"/>
  <c r="F458" i="1" a="1"/>
  <c r="F458" i="1" s="1"/>
  <c r="F457" i="1" a="1"/>
  <c r="F457" i="1" s="1"/>
  <c r="F456" i="1" a="1"/>
  <c r="F456" i="1" s="1"/>
  <c r="F455" i="1" a="1"/>
  <c r="F455" i="1" s="1"/>
  <c r="F454" i="1" a="1"/>
  <c r="F454" i="1" s="1"/>
  <c r="F453" i="1" a="1"/>
  <c r="F453" i="1" s="1"/>
  <c r="F452" i="1" a="1"/>
  <c r="F452" i="1" s="1"/>
  <c r="F451" i="1" a="1"/>
  <c r="F451" i="1" s="1"/>
  <c r="F450" i="1" a="1"/>
  <c r="F450" i="1" s="1"/>
  <c r="F449" i="1" a="1"/>
  <c r="F449" i="1" s="1"/>
  <c r="F448" i="1" a="1"/>
  <c r="F448" i="1" s="1"/>
  <c r="F447" i="1" a="1"/>
  <c r="F447" i="1" s="1"/>
  <c r="F446" i="1" a="1"/>
  <c r="F446" i="1" s="1"/>
  <c r="F445" i="1" a="1"/>
  <c r="F445" i="1" s="1"/>
  <c r="F444" i="1" a="1"/>
  <c r="F444" i="1" s="1"/>
  <c r="F443" i="1" a="1"/>
  <c r="F443" i="1" s="1"/>
  <c r="F442" i="1" a="1"/>
  <c r="F442" i="1" s="1"/>
  <c r="F441" i="1" a="1"/>
  <c r="F441" i="1" s="1"/>
  <c r="F440" i="1" a="1"/>
  <c r="F440" i="1" s="1"/>
  <c r="F439" i="1" a="1"/>
  <c r="F439" i="1" s="1"/>
  <c r="F438" i="1" a="1"/>
  <c r="F438" i="1" s="1"/>
  <c r="F437" i="1" a="1"/>
  <c r="F437" i="1" s="1"/>
  <c r="F436" i="1" a="1"/>
  <c r="F436" i="1" s="1"/>
  <c r="F435" i="1" a="1"/>
  <c r="F435" i="1" s="1"/>
  <c r="F434" i="1" a="1"/>
  <c r="F434" i="1" s="1"/>
  <c r="F433" i="1" a="1"/>
  <c r="F433" i="1" s="1"/>
  <c r="F432" i="1" a="1"/>
  <c r="F432" i="1" s="1"/>
  <c r="F431" i="1" a="1"/>
  <c r="F431" i="1" s="1"/>
  <c r="F430" i="1" a="1"/>
  <c r="F430" i="1" s="1"/>
  <c r="F429" i="1" a="1"/>
  <c r="F429" i="1" s="1"/>
  <c r="F428" i="1" a="1"/>
  <c r="F428" i="1" s="1"/>
  <c r="F427" i="1" a="1"/>
  <c r="F427" i="1" s="1"/>
  <c r="F426" i="1" a="1"/>
  <c r="F426" i="1" s="1"/>
  <c r="F425" i="1" a="1"/>
  <c r="F425" i="1" s="1"/>
  <c r="F424" i="1" a="1"/>
  <c r="F424" i="1" s="1"/>
  <c r="F423" i="1" a="1"/>
  <c r="F423" i="1" s="1"/>
  <c r="F422" i="1" a="1"/>
  <c r="F422" i="1" s="1"/>
  <c r="F421" i="1" a="1"/>
  <c r="F421" i="1" s="1"/>
  <c r="F420" i="1" a="1"/>
  <c r="F420" i="1" s="1"/>
  <c r="F419" i="1" a="1"/>
  <c r="F419" i="1" s="1"/>
  <c r="F418" i="1" a="1"/>
  <c r="F418" i="1" s="1"/>
  <c r="F417" i="1" a="1"/>
  <c r="F417" i="1" s="1"/>
  <c r="F416" i="1" a="1"/>
  <c r="F416" i="1" s="1"/>
  <c r="F415" i="1" a="1"/>
  <c r="F415" i="1" s="1"/>
  <c r="F414" i="1" a="1"/>
  <c r="F414" i="1" s="1"/>
  <c r="F413" i="1" a="1"/>
  <c r="F413" i="1" s="1"/>
  <c r="F412" i="1" a="1"/>
  <c r="F412" i="1" s="1"/>
  <c r="F411" i="1" a="1"/>
  <c r="F411" i="1" s="1"/>
  <c r="F410" i="1" a="1"/>
  <c r="F410" i="1" s="1"/>
  <c r="F409" i="1" a="1"/>
  <c r="F409" i="1" s="1"/>
  <c r="F408" i="1" a="1"/>
  <c r="F408" i="1" s="1"/>
  <c r="F407" i="1" a="1"/>
  <c r="F407" i="1" s="1"/>
  <c r="F406" i="1" a="1"/>
  <c r="F406" i="1" s="1"/>
  <c r="F405" i="1" a="1"/>
  <c r="F405" i="1" s="1"/>
  <c r="F404" i="1" a="1"/>
  <c r="F404" i="1" s="1"/>
  <c r="F403" i="1" a="1"/>
  <c r="F403" i="1" s="1"/>
  <c r="F402" i="1" a="1"/>
  <c r="F402" i="1" s="1"/>
  <c r="F401" i="1" a="1"/>
  <c r="F401" i="1" s="1"/>
  <c r="F400" i="1" a="1"/>
  <c r="F400" i="1" s="1"/>
  <c r="F399" i="1" a="1"/>
  <c r="F399" i="1" s="1"/>
  <c r="F398" i="1" a="1"/>
  <c r="F398" i="1" s="1"/>
  <c r="F397" i="1" a="1"/>
  <c r="F397" i="1" s="1"/>
  <c r="F396" i="1" a="1"/>
  <c r="F396" i="1" s="1"/>
  <c r="F395" i="1" a="1"/>
  <c r="F395" i="1" s="1"/>
  <c r="F394" i="1" a="1"/>
  <c r="F394" i="1" s="1"/>
  <c r="F393" i="1" a="1"/>
  <c r="F393" i="1" s="1"/>
  <c r="F392" i="1" a="1"/>
  <c r="F392" i="1" s="1"/>
  <c r="F391" i="1" a="1"/>
  <c r="F391" i="1" s="1"/>
  <c r="F390" i="1" a="1"/>
  <c r="F390" i="1" s="1"/>
  <c r="F389" i="1" a="1"/>
  <c r="F389" i="1" s="1"/>
  <c r="F388" i="1" a="1"/>
  <c r="F388" i="1" s="1"/>
  <c r="F387" i="1" a="1"/>
  <c r="F387" i="1" s="1"/>
  <c r="F386" i="1" a="1"/>
  <c r="F386" i="1" s="1"/>
  <c r="F385" i="1" a="1"/>
  <c r="F385" i="1" s="1"/>
  <c r="F384" i="1" a="1"/>
  <c r="F384" i="1" s="1"/>
  <c r="F383" i="1" a="1"/>
  <c r="F383" i="1" s="1"/>
  <c r="F382" i="1" a="1"/>
  <c r="F382" i="1" s="1"/>
  <c r="F381" i="1" a="1"/>
  <c r="F381" i="1" s="1"/>
  <c r="F380" i="1" a="1"/>
  <c r="F380" i="1" s="1"/>
  <c r="F379" i="1" a="1"/>
  <c r="F379" i="1" s="1"/>
  <c r="F378" i="1" a="1"/>
  <c r="F378" i="1" s="1"/>
  <c r="F377" i="1" a="1"/>
  <c r="F377" i="1" s="1"/>
  <c r="F376" i="1" a="1"/>
  <c r="F376" i="1" s="1"/>
  <c r="F375" i="1" a="1"/>
  <c r="F375" i="1" s="1"/>
  <c r="F374" i="1" a="1"/>
  <c r="F374" i="1" s="1"/>
  <c r="F373" i="1" a="1"/>
  <c r="F373" i="1" s="1"/>
  <c r="F372" i="1" a="1"/>
  <c r="F372" i="1" s="1"/>
  <c r="F371" i="1" a="1"/>
  <c r="F371" i="1" s="1"/>
  <c r="F370" i="1" a="1"/>
  <c r="F370" i="1" s="1"/>
  <c r="F369" i="1" a="1"/>
  <c r="F369" i="1" s="1"/>
  <c r="F368" i="1" a="1"/>
  <c r="F368" i="1" s="1"/>
  <c r="F367" i="1" a="1"/>
  <c r="F367" i="1" s="1"/>
  <c r="F366" i="1" a="1"/>
  <c r="F366" i="1" s="1"/>
  <c r="F365" i="1" a="1"/>
  <c r="F365" i="1" s="1"/>
  <c r="F364" i="1" a="1"/>
  <c r="F364" i="1" s="1"/>
  <c r="F363" i="1" a="1"/>
  <c r="F363" i="1" s="1"/>
  <c r="F362" i="1" a="1"/>
  <c r="F362" i="1" s="1"/>
  <c r="F361" i="1" a="1"/>
  <c r="F361" i="1" s="1"/>
  <c r="F360" i="1" a="1"/>
  <c r="F360" i="1" s="1"/>
  <c r="F359" i="1" a="1"/>
  <c r="F359" i="1" s="1"/>
  <c r="F358" i="1" a="1"/>
  <c r="F358" i="1" s="1"/>
  <c r="F357" i="1" a="1"/>
  <c r="F357" i="1" s="1"/>
  <c r="F356" i="1" a="1"/>
  <c r="F356" i="1" s="1"/>
  <c r="F355" i="1" a="1"/>
  <c r="F355" i="1" s="1"/>
  <c r="F354" i="1" a="1"/>
  <c r="F354" i="1" s="1"/>
  <c r="F353" i="1" a="1"/>
  <c r="F353" i="1" s="1"/>
  <c r="F352" i="1" a="1"/>
  <c r="F352" i="1" s="1"/>
  <c r="F351" i="1" a="1"/>
  <c r="F351" i="1" s="1"/>
  <c r="F350" i="1" a="1"/>
  <c r="F350" i="1" s="1"/>
  <c r="F349" i="1" a="1"/>
  <c r="F349" i="1" s="1"/>
  <c r="F348" i="1" a="1"/>
  <c r="F348" i="1" s="1"/>
  <c r="F347" i="1" a="1"/>
  <c r="F347" i="1" s="1"/>
  <c r="F346" i="1" a="1"/>
  <c r="F346" i="1" s="1"/>
  <c r="F345" i="1" a="1"/>
  <c r="F345" i="1" s="1"/>
  <c r="F344" i="1" a="1"/>
  <c r="F344" i="1" s="1"/>
  <c r="F343" i="1" a="1"/>
  <c r="F343" i="1" s="1"/>
  <c r="F342" i="1" a="1"/>
  <c r="F342" i="1" s="1"/>
  <c r="F341" i="1" a="1"/>
  <c r="F341" i="1" s="1"/>
  <c r="F340" i="1" a="1"/>
  <c r="F340" i="1" s="1"/>
  <c r="F339" i="1" a="1"/>
  <c r="F339" i="1" s="1"/>
  <c r="F338" i="1" a="1"/>
  <c r="F338" i="1" s="1"/>
  <c r="F337" i="1" a="1"/>
  <c r="F337" i="1" s="1"/>
  <c r="F336" i="1" a="1"/>
  <c r="F336" i="1" s="1"/>
  <c r="F335" i="1" a="1"/>
  <c r="F335" i="1" s="1"/>
  <c r="F334" i="1" a="1"/>
  <c r="F334" i="1" s="1"/>
  <c r="F333" i="1" a="1"/>
  <c r="F333" i="1" s="1"/>
  <c r="F332" i="1" a="1"/>
  <c r="F332" i="1" s="1"/>
  <c r="F331" i="1" a="1"/>
  <c r="F331" i="1" s="1"/>
  <c r="F330" i="1" a="1"/>
  <c r="F330" i="1" s="1"/>
  <c r="F329" i="1" a="1"/>
  <c r="F329" i="1" s="1"/>
  <c r="F328" i="1" a="1"/>
  <c r="F328" i="1" s="1"/>
  <c r="F327" i="1" a="1"/>
  <c r="F327" i="1" s="1"/>
  <c r="F326" i="1" a="1"/>
  <c r="F326" i="1" s="1"/>
  <c r="F325" i="1" a="1"/>
  <c r="F325" i="1" s="1"/>
  <c r="F324" i="1" a="1"/>
  <c r="F324" i="1" s="1"/>
  <c r="F323" i="1" a="1"/>
  <c r="F323" i="1" s="1"/>
  <c r="F322" i="1" a="1"/>
  <c r="F322" i="1" s="1"/>
  <c r="F321" i="1" a="1"/>
  <c r="F321" i="1" s="1"/>
  <c r="F320" i="1" a="1"/>
  <c r="F320" i="1" s="1"/>
  <c r="F319" i="1" a="1"/>
  <c r="F319" i="1" s="1"/>
  <c r="F318" i="1" a="1"/>
  <c r="F318" i="1" s="1"/>
  <c r="F317" i="1" a="1"/>
  <c r="F317" i="1" s="1"/>
  <c r="F316" i="1" a="1"/>
  <c r="F316" i="1" s="1"/>
  <c r="F315" i="1" a="1"/>
  <c r="F315" i="1" s="1"/>
  <c r="F314" i="1" a="1"/>
  <c r="F314" i="1" s="1"/>
  <c r="F313" i="1" a="1"/>
  <c r="F313" i="1" s="1"/>
  <c r="F312" i="1" a="1"/>
  <c r="F312" i="1" s="1"/>
  <c r="F311" i="1" a="1"/>
  <c r="F311" i="1" s="1"/>
  <c r="F310" i="1" a="1"/>
  <c r="F310" i="1" s="1"/>
  <c r="F309" i="1" a="1"/>
  <c r="F309" i="1" s="1"/>
  <c r="F308" i="1" a="1"/>
  <c r="F308" i="1" s="1"/>
  <c r="F307" i="1" a="1"/>
  <c r="F307" i="1" s="1"/>
  <c r="F306" i="1" a="1"/>
  <c r="F306" i="1" s="1"/>
  <c r="F305" i="1" a="1"/>
  <c r="F305" i="1" s="1"/>
  <c r="F304" i="1" a="1"/>
  <c r="F304" i="1" s="1"/>
  <c r="F303" i="1" a="1"/>
  <c r="F303" i="1" s="1"/>
  <c r="F302" i="1" a="1"/>
  <c r="F302" i="1" s="1"/>
  <c r="F301" i="1" a="1"/>
  <c r="F301" i="1" s="1"/>
  <c r="F300" i="1" a="1"/>
  <c r="F300" i="1" s="1"/>
  <c r="F299" i="1" a="1"/>
  <c r="F299" i="1" s="1"/>
  <c r="F298" i="1" a="1"/>
  <c r="F298" i="1" s="1"/>
  <c r="F297" i="1" a="1"/>
  <c r="F297" i="1" s="1"/>
  <c r="F296" i="1" a="1"/>
  <c r="F296" i="1" s="1"/>
  <c r="F295" i="1" a="1"/>
  <c r="F295" i="1" s="1"/>
  <c r="F294" i="1" a="1"/>
  <c r="F294" i="1" s="1"/>
  <c r="F293" i="1" a="1"/>
  <c r="F293" i="1" s="1"/>
  <c r="F292" i="1" a="1"/>
  <c r="F292" i="1" s="1"/>
  <c r="F291" i="1" a="1"/>
  <c r="F291" i="1" s="1"/>
  <c r="F290" i="1" a="1"/>
  <c r="F290" i="1" s="1"/>
  <c r="F289" i="1" a="1"/>
  <c r="F289" i="1" s="1"/>
  <c r="F288" i="1" a="1"/>
  <c r="F288" i="1" s="1"/>
  <c r="F287" i="1" a="1"/>
  <c r="F287" i="1" s="1"/>
  <c r="F286" i="1" a="1"/>
  <c r="F286" i="1" s="1"/>
  <c r="F285" i="1" a="1"/>
  <c r="F285" i="1" s="1"/>
  <c r="F284" i="1" a="1"/>
  <c r="F284" i="1" s="1"/>
  <c r="F283" i="1" a="1"/>
  <c r="F283" i="1" s="1"/>
  <c r="F282" i="1" a="1"/>
  <c r="F282" i="1" s="1"/>
  <c r="F281" i="1" a="1"/>
  <c r="F281" i="1" s="1"/>
  <c r="F280" i="1" a="1"/>
  <c r="F280" i="1" s="1"/>
  <c r="F279" i="1" a="1"/>
  <c r="F279" i="1" s="1"/>
  <c r="F278" i="1" a="1"/>
  <c r="F278" i="1" s="1"/>
  <c r="F277" i="1" a="1"/>
  <c r="F277" i="1" s="1"/>
  <c r="F276" i="1" a="1"/>
  <c r="F276" i="1" s="1"/>
  <c r="F275" i="1" a="1"/>
  <c r="F275" i="1" s="1"/>
  <c r="F274" i="1" a="1"/>
  <c r="F274" i="1" s="1"/>
  <c r="F273" i="1" a="1"/>
  <c r="F273" i="1" s="1"/>
  <c r="F272" i="1" a="1"/>
  <c r="F272" i="1" s="1"/>
  <c r="F271" i="1" a="1"/>
  <c r="F271" i="1" s="1"/>
  <c r="F270" i="1" a="1"/>
  <c r="F270" i="1" s="1"/>
  <c r="F266" i="1" a="1"/>
  <c r="F266" i="1" s="1"/>
  <c r="F263" i="1" a="1"/>
  <c r="F263" i="1" s="1"/>
  <c r="F262" i="1" a="1"/>
  <c r="F262" i="1" s="1"/>
  <c r="F260" i="1" a="1"/>
  <c r="F260" i="1" s="1"/>
  <c r="F259" i="1" a="1"/>
  <c r="F259" i="1" s="1"/>
  <c r="F258" i="1" a="1"/>
  <c r="F258" i="1" s="1"/>
  <c r="F257" i="1" a="1"/>
  <c r="F257" i="1" s="1"/>
  <c r="F256" i="1" a="1"/>
  <c r="F256" i="1" s="1"/>
  <c r="F255" i="1" a="1"/>
  <c r="F255" i="1" s="1"/>
  <c r="F254" i="1" a="1"/>
  <c r="F254" i="1" s="1"/>
  <c r="F253" i="1" a="1"/>
  <c r="F253" i="1" s="1"/>
  <c r="F252" i="1" a="1"/>
  <c r="F252" i="1" s="1"/>
  <c r="F251" i="1" a="1"/>
  <c r="F251" i="1" s="1"/>
  <c r="F250" i="1" a="1"/>
  <c r="F250" i="1" s="1"/>
  <c r="F249" i="1" a="1"/>
  <c r="F249" i="1" s="1"/>
  <c r="F248" i="1" a="1"/>
  <c r="F248" i="1" s="1"/>
  <c r="F247" i="1" a="1"/>
  <c r="F247" i="1" s="1"/>
  <c r="F246" i="1" a="1"/>
  <c r="F246" i="1" s="1"/>
  <c r="F245" i="1" a="1"/>
  <c r="F245" i="1" s="1"/>
  <c r="F244" i="1" a="1"/>
  <c r="F244" i="1" s="1"/>
  <c r="F243" i="1" a="1"/>
  <c r="F243" i="1" s="1"/>
  <c r="F242" i="1" a="1"/>
  <c r="F242" i="1" s="1"/>
  <c r="F239" i="1" a="1"/>
  <c r="F239" i="1" s="1"/>
  <c r="F238" i="1" a="1"/>
  <c r="F238" i="1" s="1"/>
  <c r="F236" i="1" a="1"/>
  <c r="F236" i="1" s="1"/>
  <c r="F235" i="1" a="1"/>
  <c r="F235" i="1" s="1"/>
  <c r="F234" i="1" a="1"/>
  <c r="F234" i="1" s="1"/>
  <c r="F233" i="1" a="1"/>
  <c r="F233" i="1" s="1"/>
  <c r="F232" i="1" a="1"/>
  <c r="F232" i="1" s="1"/>
  <c r="F231" i="1" a="1"/>
  <c r="F231" i="1" s="1"/>
  <c r="F230" i="1" a="1"/>
  <c r="F230" i="1" s="1"/>
  <c r="F229" i="1" a="1"/>
  <c r="F229" i="1" s="1"/>
  <c r="F228" i="1" a="1"/>
  <c r="F228" i="1" s="1"/>
  <c r="F227" i="1" a="1"/>
  <c r="F227" i="1" s="1"/>
  <c r="F226" i="1" a="1"/>
  <c r="F226" i="1" s="1"/>
  <c r="F225" i="1" a="1"/>
  <c r="F225" i="1" s="1"/>
  <c r="F224" i="1" a="1"/>
  <c r="F224" i="1" s="1"/>
  <c r="F223" i="1" a="1"/>
  <c r="F223" i="1" s="1"/>
  <c r="F222" i="1" a="1"/>
  <c r="F222" i="1" s="1"/>
  <c r="F221" i="1" a="1"/>
  <c r="F221" i="1" s="1"/>
  <c r="F220" i="1" a="1"/>
  <c r="F220" i="1" s="1"/>
  <c r="F219" i="1" a="1"/>
  <c r="F219" i="1" s="1"/>
  <c r="F218" i="1" a="1"/>
  <c r="F218" i="1" s="1"/>
  <c r="F217" i="1" a="1"/>
  <c r="F217" i="1" s="1"/>
  <c r="F216" i="1" a="1"/>
  <c r="F216" i="1" s="1"/>
  <c r="F215" i="1" a="1"/>
  <c r="F215" i="1" s="1"/>
  <c r="F214" i="1" a="1"/>
  <c r="F214" i="1" s="1"/>
  <c r="F213" i="1" a="1"/>
  <c r="F213" i="1" s="1"/>
  <c r="F212" i="1" a="1"/>
  <c r="F212" i="1" s="1"/>
  <c r="F211" i="1" a="1"/>
  <c r="F211" i="1" s="1"/>
  <c r="F210" i="1" a="1"/>
  <c r="F210" i="1" s="1"/>
  <c r="F209" i="1" a="1"/>
  <c r="F209" i="1" s="1"/>
  <c r="F208" i="1" a="1"/>
  <c r="F208" i="1" s="1"/>
  <c r="F207" i="1" a="1"/>
  <c r="F207" i="1" s="1"/>
  <c r="F206" i="1" a="1"/>
  <c r="F206" i="1" s="1"/>
  <c r="F205" i="1" a="1"/>
  <c r="F205" i="1" s="1"/>
  <c r="F204" i="1" a="1"/>
  <c r="F204" i="1" s="1"/>
  <c r="F203" i="1" a="1"/>
  <c r="F203" i="1" s="1"/>
  <c r="F202" i="1" a="1"/>
  <c r="F202" i="1" s="1"/>
  <c r="F201" i="1" a="1"/>
  <c r="F201" i="1" s="1"/>
  <c r="F200" i="1" a="1"/>
  <c r="F200" i="1" s="1"/>
  <c r="F199" i="1" a="1"/>
  <c r="F199" i="1" s="1"/>
  <c r="F198" i="1" a="1"/>
  <c r="F198" i="1" s="1"/>
  <c r="F195" i="1" a="1"/>
  <c r="F195" i="1" s="1"/>
  <c r="F194" i="1" a="1"/>
  <c r="F194" i="1" s="1"/>
  <c r="F193" i="1" a="1"/>
  <c r="F193" i="1" s="1"/>
  <c r="F192" i="1" a="1"/>
  <c r="F192" i="1" s="1"/>
  <c r="F191" i="1" a="1"/>
  <c r="F191" i="1" s="1"/>
  <c r="F190" i="1" a="1"/>
  <c r="F190" i="1" s="1"/>
  <c r="F189" i="1" a="1"/>
  <c r="F189" i="1" s="1"/>
  <c r="F188" i="1" a="1"/>
  <c r="F188" i="1" s="1"/>
  <c r="F187" i="1" a="1"/>
  <c r="F187" i="1" s="1"/>
  <c r="F186" i="1" a="1"/>
  <c r="F186" i="1" s="1"/>
  <c r="F185" i="1" a="1"/>
  <c r="F185" i="1" s="1"/>
  <c r="F184" i="1" a="1"/>
  <c r="F184" i="1" s="1"/>
  <c r="F183" i="1" a="1"/>
  <c r="F183" i="1" s="1"/>
  <c r="F182" i="1" a="1"/>
  <c r="F182" i="1" s="1"/>
  <c r="F181" i="1" a="1"/>
  <c r="F181" i="1" s="1"/>
  <c r="F180" i="1" a="1"/>
  <c r="F180" i="1" s="1"/>
  <c r="F179" i="1" a="1"/>
  <c r="F179" i="1" s="1"/>
  <c r="F178" i="1" a="1"/>
  <c r="F178" i="1" s="1"/>
  <c r="F177" i="1" a="1"/>
  <c r="F177" i="1" s="1"/>
  <c r="F176" i="1" a="1"/>
  <c r="F176" i="1" s="1"/>
  <c r="F175" i="1" a="1"/>
  <c r="F175" i="1" s="1"/>
  <c r="F174" i="1" a="1"/>
  <c r="F174" i="1" s="1"/>
  <c r="F173" i="1" a="1"/>
  <c r="F173" i="1" s="1"/>
  <c r="F172" i="1" a="1"/>
  <c r="F172" i="1" s="1"/>
  <c r="F171" i="1" a="1"/>
  <c r="F171" i="1" s="1"/>
  <c r="F170" i="1" a="1"/>
  <c r="F170" i="1" s="1"/>
  <c r="F169" i="1" a="1"/>
  <c r="F169" i="1" s="1"/>
  <c r="F168" i="1" a="1"/>
  <c r="F168" i="1" s="1"/>
  <c r="F167" i="1" a="1"/>
  <c r="F167" i="1" s="1"/>
  <c r="F166" i="1" a="1"/>
  <c r="F166" i="1" s="1"/>
  <c r="F165" i="1" a="1"/>
  <c r="F165" i="1" s="1"/>
  <c r="F164" i="1" a="1"/>
  <c r="F164" i="1" s="1"/>
  <c r="F163" i="1" a="1"/>
  <c r="F163" i="1" s="1"/>
  <c r="F162" i="1" a="1"/>
  <c r="F162" i="1" s="1"/>
  <c r="F161" i="1" a="1"/>
  <c r="F161" i="1" s="1"/>
  <c r="F160" i="1" a="1"/>
  <c r="F160" i="1" s="1"/>
  <c r="F159" i="1" a="1"/>
  <c r="F159" i="1" s="1"/>
  <c r="F158" i="1" a="1"/>
  <c r="F158" i="1" s="1"/>
  <c r="F157" i="1" a="1"/>
  <c r="F157" i="1" s="1"/>
  <c r="F156" i="1" a="1"/>
  <c r="F156" i="1" s="1"/>
  <c r="F155" i="1" a="1"/>
  <c r="F155" i="1" s="1"/>
  <c r="F154" i="1" a="1"/>
  <c r="F154" i="1" s="1"/>
  <c r="F153" i="1" a="1"/>
  <c r="F153" i="1" s="1"/>
  <c r="F152" i="1" a="1"/>
  <c r="F152" i="1" s="1"/>
  <c r="F151" i="1" a="1"/>
  <c r="F151" i="1" s="1"/>
  <c r="F150" i="1" a="1"/>
  <c r="F150" i="1" s="1"/>
  <c r="F149" i="1" a="1"/>
  <c r="F149" i="1" s="1"/>
  <c r="F148" i="1" a="1"/>
  <c r="F148" i="1" s="1"/>
  <c r="F147" i="1" a="1"/>
  <c r="F147" i="1" s="1"/>
  <c r="F146" i="1" a="1"/>
  <c r="F146" i="1" s="1"/>
  <c r="F145" i="1" a="1"/>
  <c r="F145" i="1" s="1"/>
  <c r="F144" i="1" a="1"/>
  <c r="F144" i="1" s="1"/>
  <c r="F143" i="1" a="1"/>
  <c r="F143" i="1" s="1"/>
  <c r="F142" i="1" a="1"/>
  <c r="F142" i="1" s="1"/>
  <c r="F141" i="1" a="1"/>
  <c r="F141" i="1" s="1"/>
  <c r="F140" i="1" a="1"/>
  <c r="F140" i="1" s="1"/>
  <c r="F139" i="1" a="1"/>
  <c r="F139" i="1" s="1"/>
  <c r="F138" i="1" a="1"/>
  <c r="F138" i="1" s="1"/>
  <c r="F137" i="1" a="1"/>
  <c r="F137" i="1" s="1"/>
  <c r="F136" i="1" a="1"/>
  <c r="F136" i="1" s="1"/>
  <c r="F135" i="1" a="1"/>
  <c r="F135" i="1" s="1"/>
  <c r="F134" i="1" a="1"/>
  <c r="F134" i="1" s="1"/>
  <c r="F130" i="1" a="1"/>
  <c r="F130" i="1" s="1"/>
  <c r="F128" i="1" a="1"/>
  <c r="F128" i="1" s="1"/>
  <c r="F127" i="1" a="1"/>
  <c r="F127" i="1" s="1"/>
  <c r="F126" i="1" a="1"/>
  <c r="F126" i="1" s="1"/>
  <c r="F125" i="1" a="1"/>
  <c r="F125" i="1" s="1"/>
  <c r="F124" i="1" a="1"/>
  <c r="F124" i="1" s="1"/>
  <c r="F123" i="1" a="1"/>
  <c r="F123" i="1" s="1"/>
  <c r="F122" i="1" a="1"/>
  <c r="F122" i="1" s="1"/>
  <c r="F120" i="1" a="1"/>
  <c r="F120" i="1" s="1"/>
  <c r="F119" i="1" a="1"/>
  <c r="F119" i="1" s="1"/>
  <c r="F118" i="1" a="1"/>
  <c r="F118" i="1" s="1"/>
  <c r="F117" i="1" a="1"/>
  <c r="F117" i="1" s="1"/>
  <c r="F116" i="1" a="1"/>
  <c r="F116" i="1" s="1"/>
  <c r="F115" i="1" a="1"/>
  <c r="F115" i="1" s="1"/>
  <c r="F114" i="1" a="1"/>
  <c r="F114" i="1" s="1"/>
  <c r="F113" i="1" a="1"/>
  <c r="F113" i="1" s="1"/>
  <c r="F112" i="1" a="1"/>
  <c r="F112" i="1" s="1"/>
  <c r="F111" i="1" a="1"/>
  <c r="F111" i="1" s="1"/>
  <c r="F110" i="1" a="1"/>
  <c r="F110" i="1" s="1"/>
  <c r="F109" i="1" a="1"/>
  <c r="F109" i="1" s="1"/>
  <c r="F108" i="1" a="1"/>
  <c r="F108" i="1" s="1"/>
  <c r="F107" i="1" a="1"/>
  <c r="F107" i="1" s="1"/>
  <c r="F106" i="1" a="1"/>
  <c r="F106" i="1" s="1"/>
  <c r="F105" i="1" a="1"/>
  <c r="F105" i="1" s="1"/>
  <c r="F104" i="1" a="1"/>
  <c r="F104" i="1" s="1"/>
  <c r="F103" i="1" a="1"/>
  <c r="F103" i="1" s="1"/>
  <c r="F102" i="1" a="1"/>
  <c r="F102" i="1" s="1"/>
  <c r="F99" i="1" a="1"/>
  <c r="F99" i="1" s="1"/>
  <c r="F98" i="1" a="1"/>
  <c r="F98" i="1" s="1"/>
  <c r="F96" i="1" a="1"/>
  <c r="F96" i="1" s="1"/>
  <c r="F95" i="1" a="1"/>
  <c r="F95" i="1" s="1"/>
  <c r="F94" i="1" a="1"/>
  <c r="F94" i="1" s="1"/>
  <c r="F93" i="1" a="1"/>
  <c r="F93" i="1" s="1"/>
  <c r="F92" i="1" a="1"/>
  <c r="F92" i="1" s="1"/>
  <c r="F91" i="1" a="1"/>
  <c r="F91" i="1" s="1"/>
  <c r="F90" i="1" a="1"/>
  <c r="F90" i="1" s="1"/>
  <c r="F87" i="1" a="1"/>
  <c r="F87" i="1" s="1"/>
  <c r="F86" i="1" a="1"/>
  <c r="F86" i="1" s="1"/>
  <c r="F82" i="1" a="1"/>
  <c r="F82" i="1" s="1"/>
  <c r="F79" i="1" a="1"/>
  <c r="F79" i="1" s="1"/>
  <c r="F78" i="1" a="1"/>
  <c r="F78" i="1" s="1"/>
  <c r="F76" i="1" a="1"/>
  <c r="F76" i="1" s="1"/>
  <c r="F75" i="1" a="1"/>
  <c r="F75" i="1" s="1"/>
  <c r="F74" i="1" a="1"/>
  <c r="F74" i="1" s="1"/>
  <c r="F71" i="1" a="1"/>
  <c r="F71" i="1" s="1"/>
  <c r="F70" i="1" a="1"/>
  <c r="F70" i="1" s="1"/>
  <c r="F66" i="1" a="1"/>
  <c r="F66" i="1" s="1"/>
  <c r="F65" i="1" a="1"/>
  <c r="F65" i="1" s="1"/>
  <c r="F64" i="1" a="1"/>
  <c r="F64" i="1" s="1"/>
  <c r="F63" i="1" a="1"/>
  <c r="F63" i="1" s="1"/>
  <c r="F62" i="1" a="1"/>
  <c r="F62" i="1" s="1"/>
  <c r="F61" i="1" a="1"/>
  <c r="F61" i="1" s="1"/>
  <c r="F60" i="1" a="1"/>
  <c r="F60" i="1" s="1"/>
  <c r="F59" i="1" a="1"/>
  <c r="F59" i="1" s="1"/>
  <c r="F58" i="1" a="1"/>
  <c r="F58" i="1" s="1"/>
  <c r="F57" i="1" a="1"/>
  <c r="F57" i="1" s="1"/>
  <c r="F56" i="1" a="1"/>
  <c r="F56" i="1" s="1"/>
  <c r="F55" i="1" a="1"/>
  <c r="F55" i="1" s="1"/>
  <c r="F54" i="1" a="1"/>
  <c r="F54" i="1" s="1"/>
  <c r="F50" i="1" a="1"/>
  <c r="F50" i="1" s="1"/>
  <c r="F49" i="1" a="1"/>
  <c r="F49" i="1" s="1"/>
  <c r="F48" i="1" a="1"/>
  <c r="F48" i="1" s="1"/>
  <c r="F47" i="1" a="1"/>
  <c r="F47" i="1" s="1"/>
  <c r="F46" i="1" a="1"/>
  <c r="F46" i="1" s="1"/>
  <c r="F44" i="1" a="1"/>
  <c r="F44" i="1" s="1"/>
  <c r="F43" i="1" a="1"/>
  <c r="F43" i="1" s="1"/>
  <c r="F42" i="1" a="1"/>
  <c r="F42" i="1" s="1"/>
  <c r="F39" i="1" a="1"/>
  <c r="F39" i="1" s="1"/>
  <c r="F38" i="1" a="1"/>
  <c r="F38" i="1" s="1"/>
  <c r="F37" i="1" a="1"/>
  <c r="F37" i="1" s="1"/>
  <c r="F36" i="1" a="1"/>
  <c r="F36" i="1" s="1"/>
  <c r="F35" i="1" a="1"/>
  <c r="F35" i="1" s="1"/>
  <c r="F34" i="1" a="1"/>
  <c r="F34" i="1" s="1"/>
  <c r="F31" i="1" a="1"/>
  <c r="F31" i="1" s="1"/>
  <c r="F30" i="1" a="1"/>
  <c r="F30" i="1" s="1"/>
  <c r="F29" i="1" a="1"/>
  <c r="F29" i="1" s="1"/>
  <c r="F28" i="1" a="1"/>
  <c r="F28" i="1" s="1"/>
  <c r="F27" i="1" a="1"/>
  <c r="F27" i="1" s="1"/>
  <c r="F26" i="1" a="1"/>
  <c r="F26" i="1" s="1"/>
  <c r="F24" i="1" a="1"/>
  <c r="F24" i="1" s="1"/>
  <c r="F23" i="1" a="1"/>
  <c r="F23" i="1" s="1"/>
  <c r="F22" i="1" a="1"/>
  <c r="F22" i="1" s="1"/>
  <c r="F20" i="1" a="1"/>
  <c r="F20" i="1" s="1"/>
  <c r="F19" i="1" a="1"/>
  <c r="F19" i="1" s="1"/>
  <c r="F18" i="1" a="1"/>
  <c r="F18" i="1" s="1"/>
  <c r="F16" i="1" a="1"/>
  <c r="F16" i="1" s="1"/>
  <c r="F15" i="1" a="1"/>
  <c r="F15" i="1" s="1"/>
  <c r="F14" i="1" a="1"/>
  <c r="F14" i="1" s="1"/>
  <c r="F13" i="1" a="1"/>
  <c r="F13" i="1" s="1"/>
  <c r="F12" i="1" a="1"/>
  <c r="F12" i="1" s="1"/>
  <c r="F11" i="1" a="1"/>
  <c r="F11" i="1" s="1"/>
  <c r="F10" i="1" a="1"/>
  <c r="F10" i="1" s="1"/>
  <c r="F9" i="1" a="1"/>
  <c r="F9" i="1" s="1"/>
  <c r="F8" i="1" a="1"/>
  <c r="F8" i="1" s="1"/>
  <c r="F7" i="1" a="1"/>
  <c r="F7" i="1" s="1"/>
  <c r="F6" i="1" a="1"/>
  <c r="F6" i="1" s="1"/>
  <c r="F3" i="1" a="1"/>
  <c r="F3" i="1" s="1"/>
  <c r="A1029" i="1"/>
  <c r="A1028" i="1"/>
  <c r="A1027" i="1"/>
  <c r="A1026" i="1"/>
  <c r="A1025" i="1"/>
  <c r="A1024" i="1"/>
  <c r="A1023" i="1"/>
  <c r="A1022" i="1"/>
  <c r="A1021" i="1"/>
  <c r="A1020" i="1"/>
  <c r="A1019" i="1"/>
  <c r="A1018" i="1"/>
  <c r="A1017" i="1"/>
  <c r="A1016" i="1"/>
  <c r="A1015" i="1"/>
  <c r="A1014" i="1"/>
  <c r="A1013" i="1"/>
  <c r="A1012" i="1"/>
  <c r="A1011" i="1"/>
  <c r="A1010" i="1"/>
  <c r="A1009" i="1"/>
  <c r="A1008" i="1"/>
  <c r="A1007" i="1"/>
  <c r="A1006" i="1"/>
  <c r="A1005" i="1"/>
  <c r="A1004" i="1"/>
  <c r="A1003" i="1"/>
  <c r="A1002" i="1"/>
  <c r="A1001" i="1"/>
  <c r="A1000" i="1"/>
  <c r="A999" i="1"/>
  <c r="A998" i="1"/>
  <c r="A997" i="1"/>
  <c r="A996" i="1"/>
  <c r="A995" i="1"/>
  <c r="A994" i="1"/>
  <c r="A993" i="1"/>
  <c r="A992" i="1"/>
  <c r="A991" i="1"/>
  <c r="A990" i="1"/>
  <c r="A989" i="1"/>
  <c r="A988" i="1"/>
  <c r="A987" i="1"/>
  <c r="A986" i="1"/>
  <c r="A985" i="1"/>
  <c r="A984" i="1"/>
  <c r="A983" i="1"/>
  <c r="A982" i="1"/>
  <c r="A981" i="1"/>
  <c r="A980" i="1"/>
  <c r="A979" i="1"/>
  <c r="A978" i="1"/>
  <c r="A977" i="1"/>
  <c r="A976" i="1"/>
  <c r="A975" i="1"/>
  <c r="A974" i="1"/>
  <c r="A973" i="1"/>
  <c r="A972" i="1"/>
  <c r="A971" i="1"/>
  <c r="A970" i="1"/>
  <c r="A969" i="1"/>
  <c r="A968" i="1"/>
  <c r="A967" i="1"/>
  <c r="A966" i="1"/>
  <c r="A965" i="1"/>
  <c r="A964" i="1"/>
  <c r="A963" i="1"/>
  <c r="A962" i="1"/>
  <c r="A961" i="1"/>
  <c r="A960" i="1"/>
  <c r="A959" i="1"/>
  <c r="A958" i="1"/>
  <c r="A957" i="1"/>
  <c r="A956" i="1"/>
  <c r="A955" i="1"/>
  <c r="A954" i="1"/>
  <c r="A953" i="1"/>
  <c r="A952" i="1"/>
  <c r="A951" i="1"/>
  <c r="A950" i="1"/>
  <c r="A949" i="1"/>
  <c r="A948" i="1"/>
  <c r="A947" i="1"/>
  <c r="A946" i="1"/>
  <c r="A945" i="1"/>
  <c r="A944" i="1"/>
  <c r="A943" i="1"/>
  <c r="A942" i="1"/>
  <c r="A941" i="1"/>
  <c r="A940" i="1"/>
  <c r="A939" i="1"/>
  <c r="A938" i="1"/>
  <c r="A937" i="1"/>
  <c r="A936" i="1"/>
  <c r="A935" i="1"/>
  <c r="A934" i="1"/>
  <c r="A933" i="1"/>
  <c r="A932" i="1"/>
  <c r="A931" i="1"/>
  <c r="A930" i="1"/>
  <c r="A929" i="1"/>
  <c r="A928" i="1"/>
  <c r="A927" i="1"/>
  <c r="A926" i="1"/>
  <c r="A925" i="1"/>
  <c r="A924" i="1"/>
  <c r="A923" i="1"/>
  <c r="A922" i="1"/>
  <c r="A921" i="1"/>
  <c r="A920" i="1"/>
  <c r="A919" i="1"/>
  <c r="A918" i="1"/>
  <c r="A917" i="1"/>
  <c r="A916" i="1"/>
  <c r="A915" i="1"/>
  <c r="A914" i="1"/>
  <c r="A913" i="1"/>
  <c r="A912" i="1"/>
  <c r="A911" i="1"/>
  <c r="A910" i="1"/>
  <c r="A909" i="1"/>
  <c r="A908" i="1"/>
  <c r="A907" i="1"/>
  <c r="A906" i="1"/>
  <c r="A905" i="1"/>
  <c r="A904" i="1"/>
  <c r="A903" i="1"/>
  <c r="A902" i="1"/>
  <c r="A901" i="1"/>
  <c r="A900" i="1"/>
  <c r="A899" i="1"/>
  <c r="A898" i="1"/>
  <c r="A897" i="1"/>
  <c r="A896" i="1"/>
  <c r="A895" i="1"/>
  <c r="A894" i="1"/>
  <c r="A893" i="1"/>
  <c r="A892" i="1"/>
  <c r="A891" i="1"/>
  <c r="A890" i="1"/>
  <c r="A889" i="1"/>
  <c r="A888" i="1"/>
  <c r="A887" i="1"/>
  <c r="A886" i="1"/>
  <c r="A885" i="1"/>
  <c r="A884" i="1"/>
  <c r="A883" i="1"/>
  <c r="A882" i="1"/>
  <c r="A881" i="1"/>
  <c r="A880" i="1"/>
  <c r="A879" i="1"/>
  <c r="A878" i="1"/>
  <c r="A877" i="1"/>
  <c r="A876" i="1"/>
  <c r="A875" i="1"/>
  <c r="A874" i="1"/>
  <c r="A873" i="1"/>
  <c r="A872" i="1"/>
  <c r="A871" i="1"/>
  <c r="A870" i="1"/>
  <c r="A869" i="1"/>
  <c r="A868" i="1"/>
  <c r="A867" i="1"/>
  <c r="A866" i="1"/>
  <c r="A865" i="1"/>
  <c r="A864" i="1"/>
  <c r="A863" i="1"/>
  <c r="A862" i="1"/>
  <c r="A861" i="1"/>
  <c r="A860" i="1"/>
  <c r="A859" i="1"/>
  <c r="A858" i="1"/>
  <c r="A857" i="1"/>
  <c r="A856" i="1"/>
  <c r="A855" i="1"/>
  <c r="A854" i="1"/>
  <c r="A853" i="1"/>
  <c r="A852" i="1"/>
  <c r="A851" i="1"/>
  <c r="A850" i="1"/>
  <c r="A849" i="1"/>
  <c r="A848" i="1"/>
  <c r="A847" i="1"/>
  <c r="A846" i="1"/>
  <c r="A845" i="1"/>
  <c r="A844" i="1"/>
  <c r="A843" i="1"/>
  <c r="A842" i="1"/>
  <c r="A841" i="1"/>
  <c r="A840" i="1"/>
  <c r="A839" i="1"/>
  <c r="A838" i="1"/>
  <c r="A837" i="1"/>
  <c r="A836" i="1"/>
  <c r="A835" i="1"/>
  <c r="A834" i="1"/>
  <c r="A833" i="1"/>
  <c r="A832" i="1"/>
  <c r="A831" i="1"/>
  <c r="A830" i="1"/>
  <c r="A829" i="1"/>
  <c r="A828" i="1"/>
  <c r="A827" i="1"/>
  <c r="A826" i="1"/>
  <c r="A825" i="1"/>
  <c r="A824" i="1"/>
  <c r="A823" i="1"/>
  <c r="A822" i="1"/>
  <c r="A821" i="1"/>
  <c r="A820" i="1"/>
  <c r="A819" i="1"/>
  <c r="A818" i="1"/>
  <c r="A817" i="1"/>
  <c r="A816" i="1"/>
  <c r="A815" i="1"/>
  <c r="A814" i="1"/>
  <c r="A813" i="1"/>
  <c r="A812" i="1"/>
  <c r="A811" i="1"/>
  <c r="A810" i="1"/>
  <c r="A809" i="1"/>
  <c r="A808" i="1"/>
  <c r="A807" i="1"/>
  <c r="A806" i="1"/>
  <c r="A805" i="1"/>
  <c r="A804" i="1"/>
  <c r="A803" i="1"/>
  <c r="A802" i="1"/>
  <c r="A801" i="1"/>
  <c r="A800" i="1"/>
  <c r="A799" i="1"/>
  <c r="A798" i="1"/>
  <c r="A797" i="1"/>
  <c r="A796" i="1"/>
  <c r="A795" i="1"/>
  <c r="A794" i="1"/>
  <c r="A793" i="1"/>
  <c r="A792" i="1"/>
  <c r="A791" i="1"/>
  <c r="A790" i="1"/>
  <c r="A789" i="1"/>
  <c r="A788" i="1"/>
  <c r="A787" i="1"/>
  <c r="A786" i="1"/>
  <c r="A785" i="1"/>
  <c r="A784" i="1"/>
  <c r="A783" i="1"/>
  <c r="A782" i="1"/>
  <c r="A781" i="1"/>
  <c r="A780" i="1"/>
  <c r="A779" i="1"/>
  <c r="A778" i="1"/>
  <c r="A777" i="1"/>
  <c r="A776" i="1"/>
  <c r="A775" i="1"/>
  <c r="A774" i="1"/>
  <c r="A773" i="1"/>
  <c r="A772" i="1"/>
  <c r="A771" i="1"/>
  <c r="A770" i="1"/>
  <c r="A769" i="1"/>
  <c r="A768" i="1"/>
  <c r="A767" i="1"/>
  <c r="A766" i="1"/>
  <c r="A765" i="1"/>
  <c r="A764" i="1"/>
  <c r="A763" i="1"/>
  <c r="A762" i="1"/>
  <c r="A761" i="1"/>
  <c r="A760" i="1"/>
  <c r="A759" i="1"/>
  <c r="A758" i="1"/>
  <c r="A757" i="1"/>
  <c r="A756" i="1"/>
  <c r="A755" i="1"/>
  <c r="A754" i="1"/>
  <c r="A753" i="1"/>
  <c r="A752" i="1"/>
  <c r="A751" i="1"/>
  <c r="A750" i="1"/>
  <c r="A749" i="1"/>
  <c r="A748" i="1"/>
  <c r="A747" i="1"/>
  <c r="A746" i="1"/>
  <c r="A745" i="1"/>
  <c r="A744" i="1"/>
  <c r="A743" i="1"/>
  <c r="A742" i="1"/>
  <c r="A741" i="1"/>
  <c r="A740" i="1"/>
  <c r="A739" i="1"/>
  <c r="A738" i="1"/>
  <c r="A737" i="1"/>
  <c r="A736" i="1"/>
  <c r="A735" i="1"/>
  <c r="A734" i="1"/>
  <c r="A733" i="1"/>
  <c r="A732" i="1"/>
  <c r="A731" i="1"/>
  <c r="A730" i="1"/>
  <c r="A729" i="1"/>
  <c r="A728" i="1"/>
  <c r="A727" i="1"/>
  <c r="A726" i="1"/>
  <c r="A725" i="1"/>
  <c r="A724" i="1"/>
  <c r="A723" i="1"/>
  <c r="A722" i="1"/>
  <c r="A721" i="1"/>
  <c r="A720" i="1"/>
  <c r="A719" i="1"/>
  <c r="A718" i="1"/>
  <c r="A717" i="1"/>
  <c r="A716" i="1"/>
  <c r="A715" i="1"/>
  <c r="A714" i="1"/>
  <c r="A713" i="1"/>
  <c r="A712" i="1"/>
  <c r="A711" i="1"/>
  <c r="A710" i="1"/>
  <c r="A709" i="1"/>
  <c r="A708" i="1"/>
  <c r="A707" i="1"/>
  <c r="A706" i="1"/>
  <c r="A705" i="1"/>
  <c r="A704" i="1"/>
  <c r="A703" i="1"/>
  <c r="A702" i="1"/>
  <c r="A701" i="1"/>
  <c r="A700" i="1"/>
  <c r="A699" i="1"/>
  <c r="A698" i="1"/>
  <c r="A697" i="1"/>
  <c r="A696" i="1"/>
  <c r="A695" i="1"/>
  <c r="A694" i="1"/>
  <c r="A693" i="1"/>
  <c r="A692" i="1"/>
  <c r="A691" i="1"/>
  <c r="A690" i="1"/>
  <c r="A689" i="1"/>
  <c r="A688" i="1"/>
  <c r="A687" i="1"/>
  <c r="A686" i="1"/>
  <c r="A685" i="1"/>
  <c r="A684" i="1"/>
  <c r="A683" i="1"/>
  <c r="A682" i="1"/>
  <c r="A681" i="1"/>
  <c r="A680" i="1"/>
  <c r="A679" i="1"/>
  <c r="A678" i="1"/>
  <c r="A677" i="1"/>
  <c r="A676" i="1"/>
  <c r="A675" i="1"/>
  <c r="A674" i="1"/>
  <c r="A673" i="1"/>
  <c r="A672" i="1"/>
  <c r="A671" i="1"/>
  <c r="A670" i="1"/>
  <c r="A669" i="1"/>
  <c r="A668" i="1"/>
  <c r="A667" i="1"/>
  <c r="A666" i="1"/>
  <c r="A665" i="1"/>
  <c r="A664" i="1"/>
  <c r="A663" i="1"/>
  <c r="A662" i="1"/>
  <c r="A661" i="1"/>
  <c r="A660" i="1"/>
  <c r="A659" i="1"/>
  <c r="A658" i="1"/>
  <c r="A657" i="1"/>
  <c r="A656" i="1"/>
  <c r="A655" i="1"/>
  <c r="A654" i="1"/>
  <c r="A653" i="1"/>
  <c r="A652" i="1"/>
  <c r="A651" i="1"/>
  <c r="A650" i="1"/>
  <c r="A649" i="1"/>
  <c r="A648" i="1"/>
  <c r="A647" i="1"/>
  <c r="A646" i="1"/>
  <c r="A645" i="1"/>
  <c r="A644" i="1"/>
  <c r="A643" i="1"/>
  <c r="A642" i="1"/>
  <c r="A641" i="1"/>
  <c r="A640" i="1"/>
  <c r="A639" i="1"/>
  <c r="A638" i="1"/>
  <c r="A637" i="1"/>
  <c r="A636" i="1"/>
  <c r="A635" i="1"/>
  <c r="A634" i="1"/>
  <c r="A633" i="1"/>
  <c r="A632" i="1"/>
  <c r="A631" i="1"/>
  <c r="A630" i="1"/>
  <c r="A629" i="1"/>
  <c r="A628" i="1"/>
  <c r="A627" i="1"/>
  <c r="A626" i="1"/>
  <c r="A625" i="1"/>
  <c r="A624" i="1"/>
  <c r="A623" i="1"/>
  <c r="A622" i="1"/>
  <c r="A621" i="1"/>
  <c r="A620" i="1"/>
  <c r="A619" i="1"/>
  <c r="A618" i="1"/>
  <c r="A617" i="1"/>
  <c r="A616" i="1"/>
  <c r="A615" i="1"/>
  <c r="A614" i="1"/>
  <c r="A613" i="1"/>
  <c r="A612" i="1"/>
  <c r="A611" i="1"/>
  <c r="A610" i="1"/>
  <c r="A609" i="1"/>
  <c r="A608" i="1"/>
  <c r="A607" i="1"/>
  <c r="A606" i="1"/>
  <c r="A605" i="1"/>
  <c r="A604" i="1"/>
  <c r="A603" i="1"/>
  <c r="A602" i="1"/>
  <c r="A601" i="1"/>
  <c r="A600" i="1"/>
  <c r="A599" i="1"/>
  <c r="A598" i="1"/>
  <c r="A597" i="1"/>
  <c r="A596" i="1"/>
  <c r="A595" i="1"/>
  <c r="A594" i="1"/>
  <c r="A593" i="1"/>
  <c r="A592" i="1"/>
  <c r="A591" i="1"/>
  <c r="A590" i="1"/>
  <c r="A589" i="1"/>
  <c r="A588" i="1"/>
  <c r="A587" i="1"/>
  <c r="A586" i="1"/>
  <c r="A585" i="1"/>
  <c r="A584" i="1"/>
  <c r="A583" i="1"/>
  <c r="A582" i="1"/>
  <c r="A581" i="1"/>
  <c r="A580" i="1"/>
  <c r="A579" i="1"/>
  <c r="A578" i="1"/>
  <c r="A577" i="1"/>
  <c r="A576" i="1"/>
  <c r="A575" i="1"/>
  <c r="A574" i="1"/>
  <c r="A573" i="1"/>
  <c r="A572" i="1"/>
  <c r="A571" i="1"/>
  <c r="A570" i="1"/>
  <c r="A569" i="1"/>
  <c r="A568" i="1"/>
  <c r="A567" i="1"/>
  <c r="A566" i="1"/>
  <c r="A565" i="1"/>
  <c r="A564" i="1"/>
  <c r="A563" i="1"/>
  <c r="A562" i="1"/>
  <c r="A561" i="1"/>
  <c r="A560" i="1"/>
  <c r="A559" i="1"/>
  <c r="A558" i="1"/>
  <c r="A557" i="1"/>
  <c r="A556" i="1"/>
  <c r="A555" i="1"/>
  <c r="A554" i="1"/>
  <c r="A553" i="1"/>
  <c r="A552" i="1"/>
  <c r="A551" i="1"/>
  <c r="A550" i="1"/>
  <c r="A549" i="1"/>
  <c r="A548" i="1"/>
  <c r="A547" i="1"/>
  <c r="A546" i="1"/>
  <c r="A545" i="1"/>
  <c r="A544" i="1"/>
  <c r="A543" i="1"/>
  <c r="A542" i="1"/>
  <c r="A541" i="1"/>
  <c r="A540" i="1"/>
  <c r="A539" i="1"/>
  <c r="A538" i="1"/>
  <c r="A537" i="1"/>
  <c r="A536" i="1"/>
  <c r="A535" i="1"/>
  <c r="A534" i="1"/>
  <c r="A533" i="1"/>
  <c r="A532" i="1"/>
  <c r="A531" i="1"/>
  <c r="A530" i="1"/>
  <c r="A529" i="1"/>
  <c r="A528" i="1"/>
  <c r="A527" i="1"/>
  <c r="A526" i="1"/>
  <c r="A525" i="1"/>
  <c r="A524" i="1"/>
  <c r="A523" i="1"/>
  <c r="A522" i="1"/>
  <c r="A521" i="1"/>
  <c r="A520" i="1"/>
  <c r="A519" i="1"/>
  <c r="A518" i="1"/>
  <c r="A517" i="1"/>
  <c r="A516" i="1"/>
  <c r="A515" i="1"/>
  <c r="A514" i="1"/>
  <c r="A513" i="1"/>
  <c r="A512" i="1"/>
  <c r="A511" i="1"/>
  <c r="A510" i="1"/>
  <c r="A509" i="1"/>
  <c r="A508" i="1"/>
  <c r="A507" i="1"/>
  <c r="A506" i="1"/>
  <c r="A505" i="1"/>
  <c r="A504" i="1"/>
  <c r="A503" i="1"/>
  <c r="A502" i="1"/>
  <c r="A501" i="1"/>
  <c r="A500" i="1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  <c r="R910" i="1" l="1"/>
  <c r="R926" i="1"/>
  <c r="R902" i="1"/>
  <c r="S927" i="1" a="1"/>
  <c r="S927" i="1" s="1"/>
  <c r="Q927" i="1"/>
  <c r="U772" i="1" a="1"/>
  <c r="U772" i="1" s="1"/>
  <c r="Q772" i="1"/>
  <c r="U806" i="1" a="1"/>
  <c r="U806" i="1" s="1"/>
  <c r="Q806" i="1"/>
  <c r="U543" i="1" a="1"/>
  <c r="U543" i="1" s="1"/>
  <c r="Q543" i="1"/>
  <c r="Q668" i="1"/>
  <c r="P668" i="1"/>
  <c r="U702" i="1" a="1"/>
  <c r="U702" i="1" s="1"/>
  <c r="Q702" i="1"/>
  <c r="P702" i="1"/>
  <c r="Q584" i="1"/>
  <c r="T874" i="1" a="1"/>
  <c r="T874" i="1" s="1"/>
  <c r="Q874" i="1"/>
  <c r="Q996" i="1"/>
  <c r="T530" i="1" a="1"/>
  <c r="T530" i="1" s="1"/>
  <c r="Q530" i="1"/>
  <c r="P591" i="1"/>
  <c r="Q591" i="1"/>
  <c r="U827" i="1" a="1"/>
  <c r="U827" i="1" s="1"/>
  <c r="Q827" i="1"/>
  <c r="O827" i="1" a="1"/>
  <c r="O827" i="1" s="1"/>
  <c r="U908" i="1" a="1"/>
  <c r="U908" i="1" s="1"/>
  <c r="Q908" i="1"/>
  <c r="P908" i="1"/>
  <c r="S608" i="1" a="1"/>
  <c r="S608" i="1" s="1"/>
  <c r="Q608" i="1"/>
  <c r="U817" i="1" a="1"/>
  <c r="U817" i="1" s="1"/>
  <c r="Q817" i="1"/>
  <c r="Q888" i="1"/>
  <c r="U949" i="1" a="1"/>
  <c r="U949" i="1" s="1"/>
  <c r="Q949" i="1"/>
  <c r="S834" i="1" a="1"/>
  <c r="S834" i="1" s="1"/>
  <c r="Q834" i="1"/>
  <c r="T841" i="1" a="1"/>
  <c r="T841" i="1" s="1"/>
  <c r="Q841" i="1"/>
  <c r="U1027" i="1" a="1"/>
  <c r="U1027" i="1" s="1"/>
  <c r="Q1027" i="1"/>
  <c r="Q713" i="1"/>
  <c r="U541" i="1" a="1"/>
  <c r="U541" i="1" s="1"/>
  <c r="Q541" i="1"/>
  <c r="T629" i="1" a="1"/>
  <c r="T629" i="1" s="1"/>
  <c r="Q629" i="1"/>
  <c r="Q656" i="1"/>
  <c r="O656" i="1" a="1"/>
  <c r="O656" i="1" s="1"/>
  <c r="U909" i="1" a="1"/>
  <c r="U909" i="1" s="1"/>
  <c r="Q909" i="1"/>
  <c r="T771" i="1" a="1"/>
  <c r="T771" i="1" s="1"/>
  <c r="O771" i="1" a="1"/>
  <c r="O771" i="1" s="1"/>
  <c r="Q771" i="1"/>
  <c r="U825" i="1" a="1"/>
  <c r="U825" i="1" s="1"/>
  <c r="Q825" i="1"/>
  <c r="Q906" i="1"/>
  <c r="T630" i="1" a="1"/>
  <c r="T630" i="1" s="1"/>
  <c r="Q630" i="1"/>
  <c r="S812" i="1" a="1"/>
  <c r="S812" i="1" s="1"/>
  <c r="Q812" i="1"/>
  <c r="Q862" i="1"/>
  <c r="O658" i="1" a="1"/>
  <c r="O658" i="1" s="1"/>
  <c r="T924" i="1" a="1"/>
  <c r="T924" i="1" s="1"/>
  <c r="Q23" i="1"/>
  <c r="Q47" i="1"/>
  <c r="Q71" i="1"/>
  <c r="Q95" i="1"/>
  <c r="Q119" i="1"/>
  <c r="Q143" i="1"/>
  <c r="Q167" i="1"/>
  <c r="Q191" i="1"/>
  <c r="Q215" i="1"/>
  <c r="Q239" i="1"/>
  <c r="Q263" i="1"/>
  <c r="Q287" i="1"/>
  <c r="Q311" i="1"/>
  <c r="Q335" i="1"/>
  <c r="Q359" i="1"/>
  <c r="Q383" i="1"/>
  <c r="Q407" i="1"/>
  <c r="Q431" i="1"/>
  <c r="Q455" i="1"/>
  <c r="Q479" i="1"/>
  <c r="Q503" i="1"/>
  <c r="Q671" i="1"/>
  <c r="Q695" i="1"/>
  <c r="Q767" i="1"/>
  <c r="P577" i="1"/>
  <c r="S635" i="1" a="1"/>
  <c r="S635" i="1" s="1"/>
  <c r="U764" i="1" a="1"/>
  <c r="U764" i="1" s="1"/>
  <c r="Q49" i="1"/>
  <c r="Q145" i="1"/>
  <c r="Q169" i="1"/>
  <c r="Q193" i="1"/>
  <c r="Q217" i="1"/>
  <c r="Q289" i="1"/>
  <c r="Q313" i="1"/>
  <c r="Q337" i="1"/>
  <c r="Q361" i="1"/>
  <c r="Q385" i="1"/>
  <c r="Q409" i="1"/>
  <c r="Q433" i="1"/>
  <c r="Q457" i="1"/>
  <c r="Q481" i="1"/>
  <c r="Q505" i="1"/>
  <c r="Q553" i="1"/>
  <c r="Q577" i="1"/>
  <c r="Q649" i="1"/>
  <c r="Q745" i="1"/>
  <c r="O564" i="1" a="1"/>
  <c r="O564" i="1" s="1"/>
  <c r="T577" i="1" a="1"/>
  <c r="T577" i="1" s="1"/>
  <c r="O619" i="1" a="1"/>
  <c r="O619" i="1" s="1"/>
  <c r="Q2" i="1"/>
  <c r="Q26" i="1"/>
  <c r="Q50" i="1"/>
  <c r="Q74" i="1"/>
  <c r="Q98" i="1"/>
  <c r="Q122" i="1"/>
  <c r="Q146" i="1"/>
  <c r="Q170" i="1"/>
  <c r="Q194" i="1"/>
  <c r="Q218" i="1"/>
  <c r="Q242" i="1"/>
  <c r="Q266" i="1"/>
  <c r="Q290" i="1"/>
  <c r="Q314" i="1"/>
  <c r="Q338" i="1"/>
  <c r="Q362" i="1"/>
  <c r="Q386" i="1"/>
  <c r="Q410" i="1"/>
  <c r="Q434" i="1"/>
  <c r="Q458" i="1"/>
  <c r="Q482" i="1"/>
  <c r="Q506" i="1"/>
  <c r="Q554" i="1"/>
  <c r="Q602" i="1"/>
  <c r="Q626" i="1"/>
  <c r="Q674" i="1"/>
  <c r="Q698" i="1"/>
  <c r="Q722" i="1"/>
  <c r="Q746" i="1"/>
  <c r="Q818" i="1"/>
  <c r="Q1010" i="1"/>
  <c r="U564" i="1" a="1"/>
  <c r="U564" i="1" s="1"/>
  <c r="P859" i="1"/>
  <c r="Q3" i="1"/>
  <c r="Q27" i="1"/>
  <c r="Q75" i="1"/>
  <c r="Q99" i="1"/>
  <c r="Q123" i="1"/>
  <c r="Q147" i="1"/>
  <c r="Q171" i="1"/>
  <c r="Q195" i="1"/>
  <c r="Q219" i="1"/>
  <c r="Q243" i="1"/>
  <c r="Q291" i="1"/>
  <c r="Q315" i="1"/>
  <c r="Q339" i="1"/>
  <c r="Q363" i="1"/>
  <c r="Q387" i="1"/>
  <c r="Q411" i="1"/>
  <c r="Q435" i="1"/>
  <c r="Q459" i="1"/>
  <c r="Q483" i="1"/>
  <c r="Q507" i="1"/>
  <c r="Q651" i="1"/>
  <c r="Q723" i="1"/>
  <c r="Q747" i="1"/>
  <c r="Q819" i="1"/>
  <c r="Q867" i="1"/>
  <c r="Q939" i="1"/>
  <c r="Q963" i="1"/>
  <c r="Q987" i="1"/>
  <c r="Q1011" i="1"/>
  <c r="T781" i="1" a="1"/>
  <c r="T781" i="1" s="1"/>
  <c r="Q28" i="1"/>
  <c r="Q76" i="1"/>
  <c r="Q124" i="1"/>
  <c r="Q148" i="1"/>
  <c r="Q172" i="1"/>
  <c r="Q220" i="1"/>
  <c r="Q244" i="1"/>
  <c r="Q292" i="1"/>
  <c r="Q316" i="1"/>
  <c r="Q340" i="1"/>
  <c r="Q364" i="1"/>
  <c r="Q388" i="1"/>
  <c r="Q412" i="1"/>
  <c r="Q436" i="1"/>
  <c r="Q460" i="1"/>
  <c r="Q484" i="1"/>
  <c r="Q508" i="1"/>
  <c r="Q580" i="1"/>
  <c r="Q628" i="1"/>
  <c r="Q700" i="1"/>
  <c r="Q724" i="1"/>
  <c r="Q796" i="1"/>
  <c r="Q820" i="1"/>
  <c r="Q844" i="1"/>
  <c r="Q892" i="1"/>
  <c r="Q940" i="1"/>
  <c r="P613" i="1"/>
  <c r="Q29" i="1"/>
  <c r="Q125" i="1"/>
  <c r="Q149" i="1"/>
  <c r="Q173" i="1"/>
  <c r="Q221" i="1"/>
  <c r="Q245" i="1"/>
  <c r="Q293" i="1"/>
  <c r="Q317" i="1"/>
  <c r="Q341" i="1"/>
  <c r="Q365" i="1"/>
  <c r="Q389" i="1"/>
  <c r="Q413" i="1"/>
  <c r="Q437" i="1"/>
  <c r="Q461" i="1"/>
  <c r="Q485" i="1"/>
  <c r="Q509" i="1"/>
  <c r="Q557" i="1"/>
  <c r="Q677" i="1"/>
  <c r="Q725" i="1"/>
  <c r="Q821" i="1"/>
  <c r="Q845" i="1"/>
  <c r="Q917" i="1"/>
  <c r="Q941" i="1"/>
  <c r="Q965" i="1"/>
  <c r="Q6" i="1"/>
  <c r="Q30" i="1"/>
  <c r="Q54" i="1"/>
  <c r="Q78" i="1"/>
  <c r="Q102" i="1"/>
  <c r="Q126" i="1"/>
  <c r="Q150" i="1"/>
  <c r="Q174" i="1"/>
  <c r="Q198" i="1"/>
  <c r="Q222" i="1"/>
  <c r="Q246" i="1"/>
  <c r="Q270" i="1"/>
  <c r="Q294" i="1"/>
  <c r="Q318" i="1"/>
  <c r="Q342" i="1"/>
  <c r="Q366" i="1"/>
  <c r="Q390" i="1"/>
  <c r="Q414" i="1"/>
  <c r="Q438" i="1"/>
  <c r="Q462" i="1"/>
  <c r="Q486" i="1"/>
  <c r="Q510" i="1"/>
  <c r="Q582" i="1"/>
  <c r="Q822" i="1"/>
  <c r="Q942" i="1"/>
  <c r="Q7" i="1"/>
  <c r="Q31" i="1"/>
  <c r="Q55" i="1"/>
  <c r="Q79" i="1"/>
  <c r="Q103" i="1"/>
  <c r="Q127" i="1"/>
  <c r="Q151" i="1"/>
  <c r="Q175" i="1"/>
  <c r="Q199" i="1"/>
  <c r="Q223" i="1"/>
  <c r="Q247" i="1"/>
  <c r="Q271" i="1"/>
  <c r="Q295" i="1"/>
  <c r="Q319" i="1"/>
  <c r="Q343" i="1"/>
  <c r="Q367" i="1"/>
  <c r="Q391" i="1"/>
  <c r="Q415" i="1"/>
  <c r="Q439" i="1"/>
  <c r="Q463" i="1"/>
  <c r="Q487" i="1"/>
  <c r="Q511" i="1"/>
  <c r="Q607" i="1"/>
  <c r="Q631" i="1"/>
  <c r="Q655" i="1"/>
  <c r="Q727" i="1"/>
  <c r="Q751" i="1"/>
  <c r="Q847" i="1"/>
  <c r="Q919" i="1"/>
  <c r="Q943" i="1"/>
  <c r="Q991" i="1"/>
  <c r="O607" i="1" a="1"/>
  <c r="O607" i="1" s="1"/>
  <c r="S821" i="1" a="1"/>
  <c r="S821" i="1" s="1"/>
  <c r="P824" i="1"/>
  <c r="O883" i="1" a="1"/>
  <c r="O883" i="1" s="1"/>
  <c r="Q8" i="1"/>
  <c r="Q56" i="1"/>
  <c r="Q104" i="1"/>
  <c r="Q128" i="1"/>
  <c r="Q152" i="1"/>
  <c r="Q176" i="1"/>
  <c r="Q200" i="1"/>
  <c r="Q224" i="1"/>
  <c r="Q248" i="1"/>
  <c r="Q272" i="1"/>
  <c r="Q296" i="1"/>
  <c r="Q320" i="1"/>
  <c r="Q344" i="1"/>
  <c r="Q368" i="1"/>
  <c r="Q392" i="1"/>
  <c r="Q416" i="1"/>
  <c r="Q440" i="1"/>
  <c r="Q464" i="1"/>
  <c r="Q488" i="1"/>
  <c r="Q512" i="1"/>
  <c r="Q632" i="1"/>
  <c r="Q824" i="1"/>
  <c r="Q848" i="1"/>
  <c r="Q944" i="1"/>
  <c r="P658" i="1"/>
  <c r="Q9" i="1"/>
  <c r="Q57" i="1"/>
  <c r="Q105" i="1"/>
  <c r="Q153" i="1"/>
  <c r="Q177" i="1"/>
  <c r="Q201" i="1"/>
  <c r="Q225" i="1"/>
  <c r="Q249" i="1"/>
  <c r="Q273" i="1"/>
  <c r="Q297" i="1"/>
  <c r="Q321" i="1"/>
  <c r="Q345" i="1"/>
  <c r="Q369" i="1"/>
  <c r="Q393" i="1"/>
  <c r="Q417" i="1"/>
  <c r="Q441" i="1"/>
  <c r="Q465" i="1"/>
  <c r="Q489" i="1"/>
  <c r="Q513" i="1"/>
  <c r="Q681" i="1"/>
  <c r="Q729" i="1"/>
  <c r="Q753" i="1"/>
  <c r="P460" i="1"/>
  <c r="U588" i="1" a="1"/>
  <c r="U588" i="1" s="1"/>
  <c r="Q10" i="1"/>
  <c r="Q34" i="1"/>
  <c r="Q58" i="1"/>
  <c r="Q82" i="1"/>
  <c r="Q106" i="1"/>
  <c r="Q130" i="1"/>
  <c r="Q154" i="1"/>
  <c r="Q178" i="1"/>
  <c r="Q202" i="1"/>
  <c r="Q226" i="1"/>
  <c r="Q250" i="1"/>
  <c r="Q274" i="1"/>
  <c r="Q298" i="1"/>
  <c r="Q322" i="1"/>
  <c r="Q346" i="1"/>
  <c r="Q370" i="1"/>
  <c r="Q394" i="1"/>
  <c r="Q418" i="1"/>
  <c r="Q442" i="1"/>
  <c r="Q466" i="1"/>
  <c r="Q490" i="1"/>
  <c r="Q658" i="1"/>
  <c r="Q682" i="1"/>
  <c r="Q730" i="1"/>
  <c r="Q754" i="1"/>
  <c r="Q898" i="1"/>
  <c r="Q946" i="1"/>
  <c r="Q970" i="1"/>
  <c r="P484" i="1"/>
  <c r="Q11" i="1"/>
  <c r="Q35" i="1"/>
  <c r="Q59" i="1"/>
  <c r="Q107" i="1"/>
  <c r="Q155" i="1"/>
  <c r="Q179" i="1"/>
  <c r="Q203" i="1"/>
  <c r="Q227" i="1"/>
  <c r="Q251" i="1"/>
  <c r="Q275" i="1"/>
  <c r="Q299" i="1"/>
  <c r="Q323" i="1"/>
  <c r="Q347" i="1"/>
  <c r="Q371" i="1"/>
  <c r="Q395" i="1"/>
  <c r="Q419" i="1"/>
  <c r="Q443" i="1"/>
  <c r="Q467" i="1"/>
  <c r="Q491" i="1"/>
  <c r="Q635" i="1"/>
  <c r="Q731" i="1"/>
  <c r="Q755" i="1"/>
  <c r="Q851" i="1"/>
  <c r="Q875" i="1"/>
  <c r="Q923" i="1"/>
  <c r="Q947" i="1"/>
  <c r="Q995" i="1"/>
  <c r="Q1019" i="1"/>
  <c r="Q12" i="1"/>
  <c r="Q36" i="1"/>
  <c r="Q60" i="1"/>
  <c r="Q108" i="1"/>
  <c r="Q156" i="1"/>
  <c r="Q180" i="1"/>
  <c r="Q204" i="1"/>
  <c r="Q228" i="1"/>
  <c r="Q252" i="1"/>
  <c r="Q276" i="1"/>
  <c r="Q300" i="1"/>
  <c r="Q324" i="1"/>
  <c r="Q348" i="1"/>
  <c r="Q372" i="1"/>
  <c r="Q396" i="1"/>
  <c r="Q420" i="1"/>
  <c r="Q444" i="1"/>
  <c r="Q468" i="1"/>
  <c r="Q492" i="1"/>
  <c r="Q564" i="1"/>
  <c r="Q588" i="1"/>
  <c r="Q612" i="1"/>
  <c r="Q636" i="1"/>
  <c r="Q660" i="1"/>
  <c r="Q684" i="1"/>
  <c r="Q756" i="1"/>
  <c r="Q852" i="1"/>
  <c r="Q900" i="1"/>
  <c r="Q924" i="1"/>
  <c r="Q13" i="1"/>
  <c r="Q37" i="1"/>
  <c r="Q61" i="1"/>
  <c r="Q109" i="1"/>
  <c r="Q157" i="1"/>
  <c r="Q181" i="1"/>
  <c r="Q205" i="1"/>
  <c r="Q229" i="1"/>
  <c r="Q253" i="1"/>
  <c r="Q277" i="1"/>
  <c r="Q301" i="1"/>
  <c r="Q325" i="1"/>
  <c r="Q349" i="1"/>
  <c r="Q373" i="1"/>
  <c r="Q397" i="1"/>
  <c r="Q421" i="1"/>
  <c r="Q445" i="1"/>
  <c r="Q469" i="1"/>
  <c r="Q493" i="1"/>
  <c r="Q517" i="1"/>
  <c r="Q565" i="1"/>
  <c r="Q589" i="1"/>
  <c r="Q613" i="1"/>
  <c r="Q661" i="1"/>
  <c r="Q685" i="1"/>
  <c r="Q757" i="1"/>
  <c r="Q877" i="1"/>
  <c r="Q925" i="1"/>
  <c r="Q997" i="1"/>
  <c r="O907" i="1" a="1"/>
  <c r="O907" i="1" s="1"/>
  <c r="Q14" i="1"/>
  <c r="Q38" i="1"/>
  <c r="Q62" i="1"/>
  <c r="Q86" i="1"/>
  <c r="Q110" i="1"/>
  <c r="Q134" i="1"/>
  <c r="Q158" i="1"/>
  <c r="Q182" i="1"/>
  <c r="Q206" i="1"/>
  <c r="Q230" i="1"/>
  <c r="Q254" i="1"/>
  <c r="Q278" i="1"/>
  <c r="Q302" i="1"/>
  <c r="Q326" i="1"/>
  <c r="Q350" i="1"/>
  <c r="Q374" i="1"/>
  <c r="Q398" i="1"/>
  <c r="Q422" i="1"/>
  <c r="Q446" i="1"/>
  <c r="Q470" i="1"/>
  <c r="Q494" i="1"/>
  <c r="Q638" i="1"/>
  <c r="Q662" i="1"/>
  <c r="Q710" i="1"/>
  <c r="Q734" i="1"/>
  <c r="Q758" i="1"/>
  <c r="Q782" i="1"/>
  <c r="Q15" i="1"/>
  <c r="Q39" i="1"/>
  <c r="Q63" i="1"/>
  <c r="Q87" i="1"/>
  <c r="Q111" i="1"/>
  <c r="Q135" i="1"/>
  <c r="Q159" i="1"/>
  <c r="Q183" i="1"/>
  <c r="Q207" i="1"/>
  <c r="Q231" i="1"/>
  <c r="Q255" i="1"/>
  <c r="Q279" i="1"/>
  <c r="Q303" i="1"/>
  <c r="Q327" i="1"/>
  <c r="Q351" i="1"/>
  <c r="Q375" i="1"/>
  <c r="Q399" i="1"/>
  <c r="Q423" i="1"/>
  <c r="Q447" i="1"/>
  <c r="Q471" i="1"/>
  <c r="Q495" i="1"/>
  <c r="Q519" i="1"/>
  <c r="Q615" i="1"/>
  <c r="Q735" i="1"/>
  <c r="Q831" i="1"/>
  <c r="Q855" i="1"/>
  <c r="Q879" i="1"/>
  <c r="Q903" i="1"/>
  <c r="P881" i="1"/>
  <c r="Q16" i="1"/>
  <c r="Q64" i="1"/>
  <c r="Q112" i="1"/>
  <c r="Q136" i="1"/>
  <c r="Q160" i="1"/>
  <c r="Q184" i="1"/>
  <c r="Q208" i="1"/>
  <c r="Q232" i="1"/>
  <c r="Q256" i="1"/>
  <c r="Q280" i="1"/>
  <c r="Q304" i="1"/>
  <c r="Q328" i="1"/>
  <c r="Q352" i="1"/>
  <c r="Q376" i="1"/>
  <c r="Q400" i="1"/>
  <c r="Q424" i="1"/>
  <c r="Q448" i="1"/>
  <c r="Q472" i="1"/>
  <c r="Q496" i="1"/>
  <c r="Q568" i="1"/>
  <c r="Q592" i="1"/>
  <c r="Q664" i="1"/>
  <c r="Q760" i="1"/>
  <c r="Q784" i="1"/>
  <c r="Q832" i="1"/>
  <c r="Q856" i="1"/>
  <c r="Q880" i="1"/>
  <c r="O553" i="1" a="1"/>
  <c r="O553" i="1" s="1"/>
  <c r="U763" i="1" a="1"/>
  <c r="U763" i="1" s="1"/>
  <c r="Q65" i="1"/>
  <c r="Q113" i="1"/>
  <c r="Q137" i="1"/>
  <c r="Q161" i="1"/>
  <c r="Q185" i="1"/>
  <c r="Q209" i="1"/>
  <c r="Q233" i="1"/>
  <c r="Q257" i="1"/>
  <c r="Q281" i="1"/>
  <c r="Q305" i="1"/>
  <c r="Q329" i="1"/>
  <c r="Q353" i="1"/>
  <c r="Q377" i="1"/>
  <c r="Q401" i="1"/>
  <c r="Q425" i="1"/>
  <c r="Q449" i="1"/>
  <c r="Q473" i="1"/>
  <c r="Q497" i="1"/>
  <c r="Q689" i="1"/>
  <c r="Q737" i="1"/>
  <c r="Q761" i="1"/>
  <c r="Q809" i="1"/>
  <c r="Q833" i="1"/>
  <c r="Q857" i="1"/>
  <c r="Q881" i="1"/>
  <c r="T553" i="1" a="1"/>
  <c r="T553" i="1" s="1"/>
  <c r="S589" i="1" a="1"/>
  <c r="S589" i="1" s="1"/>
  <c r="Q18" i="1"/>
  <c r="Q42" i="1"/>
  <c r="Q66" i="1"/>
  <c r="Q90" i="1"/>
  <c r="Q114" i="1"/>
  <c r="Q138" i="1"/>
  <c r="Q162" i="1"/>
  <c r="Q186" i="1"/>
  <c r="Q210" i="1"/>
  <c r="Q234" i="1"/>
  <c r="Q258" i="1"/>
  <c r="Q282" i="1"/>
  <c r="Q306" i="1"/>
  <c r="Q330" i="1"/>
  <c r="Q354" i="1"/>
  <c r="Q378" i="1"/>
  <c r="Q402" i="1"/>
  <c r="Q426" i="1"/>
  <c r="Q450" i="1"/>
  <c r="Q474" i="1"/>
  <c r="Q498" i="1"/>
  <c r="Q642" i="1"/>
  <c r="Q666" i="1"/>
  <c r="Q690" i="1"/>
  <c r="Q714" i="1"/>
  <c r="Q738" i="1"/>
  <c r="Q762" i="1"/>
  <c r="Q786" i="1"/>
  <c r="Q858" i="1"/>
  <c r="Q882" i="1"/>
  <c r="Q930" i="1"/>
  <c r="Q954" i="1"/>
  <c r="T589" i="1" a="1"/>
  <c r="T589" i="1" s="1"/>
  <c r="U628" i="1" a="1"/>
  <c r="U628" i="1" s="1"/>
  <c r="O737" i="1" a="1"/>
  <c r="O737" i="1" s="1"/>
  <c r="O924" i="1" a="1"/>
  <c r="O924" i="1" s="1"/>
  <c r="Q19" i="1"/>
  <c r="Q43" i="1"/>
  <c r="Q91" i="1"/>
  <c r="Q115" i="1"/>
  <c r="Q139" i="1"/>
  <c r="Q163" i="1"/>
  <c r="Q187" i="1"/>
  <c r="Q211" i="1"/>
  <c r="Q235" i="1"/>
  <c r="Q259" i="1"/>
  <c r="Q283" i="1"/>
  <c r="Q307" i="1"/>
  <c r="Q331" i="1"/>
  <c r="Q355" i="1"/>
  <c r="Q379" i="1"/>
  <c r="Q403" i="1"/>
  <c r="Q427" i="1"/>
  <c r="Q451" i="1"/>
  <c r="Q475" i="1"/>
  <c r="Q499" i="1"/>
  <c r="Q715" i="1"/>
  <c r="Q787" i="1"/>
  <c r="Q811" i="1"/>
  <c r="Q835" i="1"/>
  <c r="Q859" i="1"/>
  <c r="Q907" i="1"/>
  <c r="U737" i="1" a="1"/>
  <c r="U737" i="1" s="1"/>
  <c r="T835" i="1" a="1"/>
  <c r="T835" i="1" s="1"/>
  <c r="P924" i="1"/>
  <c r="Q20" i="1"/>
  <c r="Q44" i="1"/>
  <c r="Q92" i="1"/>
  <c r="Q116" i="1"/>
  <c r="Q140" i="1"/>
  <c r="Q164" i="1"/>
  <c r="Q188" i="1"/>
  <c r="Q212" i="1"/>
  <c r="Q236" i="1"/>
  <c r="Q260" i="1"/>
  <c r="Q284" i="1"/>
  <c r="Q308" i="1"/>
  <c r="Q332" i="1"/>
  <c r="Q356" i="1"/>
  <c r="Q380" i="1"/>
  <c r="Q404" i="1"/>
  <c r="Q428" i="1"/>
  <c r="Q452" i="1"/>
  <c r="Q476" i="1"/>
  <c r="Q500" i="1"/>
  <c r="Q524" i="1"/>
  <c r="Q548" i="1"/>
  <c r="Q620" i="1"/>
  <c r="Q764" i="1"/>
  <c r="Q788" i="1"/>
  <c r="Q836" i="1"/>
  <c r="Q884" i="1"/>
  <c r="Q932" i="1"/>
  <c r="Q93" i="1"/>
  <c r="Q117" i="1"/>
  <c r="Q141" i="1"/>
  <c r="Q165" i="1"/>
  <c r="Q189" i="1"/>
  <c r="Q213" i="1"/>
  <c r="Q285" i="1"/>
  <c r="Q309" i="1"/>
  <c r="Q333" i="1"/>
  <c r="Q357" i="1"/>
  <c r="Q381" i="1"/>
  <c r="Q405" i="1"/>
  <c r="Q429" i="1"/>
  <c r="Q453" i="1"/>
  <c r="Q477" i="1"/>
  <c r="Q501" i="1"/>
  <c r="Q621" i="1"/>
  <c r="Q645" i="1"/>
  <c r="Q669" i="1"/>
  <c r="Q813" i="1"/>
  <c r="Q861" i="1"/>
  <c r="Q957" i="1"/>
  <c r="Q981" i="1"/>
  <c r="Q1005" i="1"/>
  <c r="U672" i="1" a="1"/>
  <c r="U672" i="1" s="1"/>
  <c r="U986" i="1" a="1"/>
  <c r="U986" i="1" s="1"/>
  <c r="S986" i="1" a="1"/>
  <c r="S986" i="1" s="1"/>
  <c r="T795" i="1" a="1"/>
  <c r="T795" i="1" s="1"/>
  <c r="U795" i="1" a="1"/>
  <c r="U795" i="1" s="1"/>
  <c r="P795" i="1"/>
  <c r="O795" i="1" a="1"/>
  <c r="O795" i="1" s="1"/>
  <c r="S643" i="1" a="1"/>
  <c r="S643" i="1" s="1"/>
  <c r="U643" i="1" a="1"/>
  <c r="U643" i="1" s="1"/>
  <c r="T643" i="1" a="1"/>
  <c r="T643" i="1" s="1"/>
  <c r="P643" i="1"/>
  <c r="O643" i="1" a="1"/>
  <c r="O643" i="1" s="1"/>
  <c r="U733" i="1" a="1"/>
  <c r="U733" i="1" s="1"/>
  <c r="P733" i="1"/>
  <c r="T733" i="1" a="1"/>
  <c r="T733" i="1" s="1"/>
  <c r="S733" i="1" a="1"/>
  <c r="S733" i="1" s="1"/>
  <c r="U894" i="1" a="1"/>
  <c r="U894" i="1" s="1"/>
  <c r="T605" i="1" a="1"/>
  <c r="T605" i="1" s="1"/>
  <c r="O793" i="1" a="1"/>
  <c r="O793" i="1" s="1"/>
  <c r="T803" i="1" a="1"/>
  <c r="T803" i="1" s="1"/>
  <c r="U803" i="1" a="1"/>
  <c r="U803" i="1" s="1"/>
  <c r="P641" i="1"/>
  <c r="T641" i="1" a="1"/>
  <c r="T641" i="1" s="1"/>
  <c r="U704" i="1" a="1"/>
  <c r="U704" i="1" s="1"/>
  <c r="P704" i="1"/>
  <c r="O625" i="1" a="1"/>
  <c r="O625" i="1" s="1"/>
  <c r="U625" i="1" a="1"/>
  <c r="U625" i="1" s="1"/>
  <c r="T625" i="1" a="1"/>
  <c r="T625" i="1" s="1"/>
  <c r="S625" i="1" a="1"/>
  <c r="S625" i="1" s="1"/>
  <c r="O797" i="1" a="1"/>
  <c r="O797" i="1" s="1"/>
  <c r="U938" i="1" a="1"/>
  <c r="U938" i="1" s="1"/>
  <c r="S938" i="1" a="1"/>
  <c r="S938" i="1" s="1"/>
  <c r="S564" i="1" a="1"/>
  <c r="S564" i="1" s="1"/>
  <c r="S767" i="1" a="1"/>
  <c r="S767" i="1" s="1"/>
  <c r="S906" i="1" a="1"/>
  <c r="S906" i="1" s="1"/>
  <c r="S882" i="1" a="1"/>
  <c r="S882" i="1" s="1"/>
  <c r="O909" i="1" a="1"/>
  <c r="O909" i="1" s="1"/>
  <c r="P123" i="1"/>
  <c r="O947" i="1" a="1"/>
  <c r="O947" i="1" s="1"/>
  <c r="T919" i="1" a="1"/>
  <c r="T919" i="1" s="1"/>
  <c r="S944" i="1" a="1"/>
  <c r="S944" i="1" s="1"/>
  <c r="O722" i="1" a="1"/>
  <c r="O722" i="1" s="1"/>
  <c r="U841" i="1" a="1"/>
  <c r="U841" i="1" s="1"/>
  <c r="T722" i="1" a="1"/>
  <c r="T722" i="1" s="1"/>
  <c r="P148" i="1"/>
  <c r="U530" i="1" a="1"/>
  <c r="U530" i="1" s="1"/>
  <c r="U584" i="1" a="1"/>
  <c r="U584" i="1" s="1"/>
  <c r="U698" i="1" a="1"/>
  <c r="U698" i="1" s="1"/>
  <c r="P713" i="1"/>
  <c r="P737" i="1"/>
  <c r="P771" i="1"/>
  <c r="S820" i="1" a="1"/>
  <c r="S820" i="1" s="1"/>
  <c r="P172" i="1"/>
  <c r="P689" i="1"/>
  <c r="S713" i="1" a="1"/>
  <c r="S713" i="1" s="1"/>
  <c r="U787" i="1" a="1"/>
  <c r="U787" i="1" s="1"/>
  <c r="T820" i="1" a="1"/>
  <c r="T820" i="1" s="1"/>
  <c r="U877" i="1" a="1"/>
  <c r="U877" i="1" s="1"/>
  <c r="P244" i="1"/>
  <c r="U553" i="1" a="1"/>
  <c r="U553" i="1" s="1"/>
  <c r="P316" i="1"/>
  <c r="P364" i="1"/>
  <c r="O588" i="1" a="1"/>
  <c r="O588" i="1" s="1"/>
  <c r="U729" i="1" a="1"/>
  <c r="U729" i="1" s="1"/>
  <c r="P388" i="1"/>
  <c r="P723" i="1"/>
  <c r="P508" i="1"/>
  <c r="T702" i="1" a="1"/>
  <c r="T702" i="1" s="1"/>
  <c r="U754" i="1" a="1"/>
  <c r="U754" i="1" s="1"/>
  <c r="P760" i="1"/>
  <c r="U607" i="1" a="1"/>
  <c r="U607" i="1" s="1"/>
  <c r="U681" i="1" a="1"/>
  <c r="U681" i="1" s="1"/>
  <c r="S943" i="1" a="1"/>
  <c r="S943" i="1" s="1"/>
  <c r="O949" i="1" a="1"/>
  <c r="O949" i="1" s="1"/>
  <c r="S792" i="1" a="1"/>
  <c r="S792" i="1" s="1"/>
  <c r="O536" i="1" a="1"/>
  <c r="O536" i="1" s="1"/>
  <c r="P536" i="1"/>
  <c r="S536" i="1" a="1"/>
  <c r="S536" i="1" s="1"/>
  <c r="U627" i="1" a="1"/>
  <c r="U627" i="1" s="1"/>
  <c r="T627" i="1" a="1"/>
  <c r="T627" i="1" s="1"/>
  <c r="S627" i="1" a="1"/>
  <c r="S627" i="1" s="1"/>
  <c r="P627" i="1"/>
  <c r="O627" i="1" a="1"/>
  <c r="O627" i="1" s="1"/>
  <c r="U679" i="1" a="1"/>
  <c r="U679" i="1" s="1"/>
  <c r="U860" i="1" a="1"/>
  <c r="U860" i="1" s="1"/>
  <c r="P860" i="1"/>
  <c r="U973" i="1" a="1"/>
  <c r="U973" i="1" s="1"/>
  <c r="T973" i="1" a="1"/>
  <c r="T973" i="1" s="1"/>
  <c r="S973" i="1" a="1"/>
  <c r="S973" i="1" s="1"/>
  <c r="P973" i="1"/>
  <c r="O973" i="1" a="1"/>
  <c r="O973" i="1" s="1"/>
  <c r="T581" i="1" a="1"/>
  <c r="T581" i="1" s="1"/>
  <c r="P581" i="1"/>
  <c r="O581" i="1" a="1"/>
  <c r="O581" i="1" s="1"/>
  <c r="U667" i="1" a="1"/>
  <c r="U667" i="1" s="1"/>
  <c r="T667" i="1" a="1"/>
  <c r="T667" i="1" s="1"/>
  <c r="S667" i="1" a="1"/>
  <c r="S667" i="1" s="1"/>
  <c r="P667" i="1"/>
  <c r="O667" i="1" a="1"/>
  <c r="O667" i="1" s="1"/>
  <c r="U676" i="1" a="1"/>
  <c r="U676" i="1" s="1"/>
  <c r="T676" i="1" a="1"/>
  <c r="T676" i="1" s="1"/>
  <c r="S676" i="1" a="1"/>
  <c r="S676" i="1" s="1"/>
  <c r="P676" i="1"/>
  <c r="U814" i="1" a="1"/>
  <c r="U814" i="1" s="1"/>
  <c r="T814" i="1" a="1"/>
  <c r="T814" i="1" s="1"/>
  <c r="U527" i="1" a="1"/>
  <c r="U527" i="1" s="1"/>
  <c r="T527" i="1" a="1"/>
  <c r="T527" i="1" s="1"/>
  <c r="S527" i="1" a="1"/>
  <c r="S527" i="1" s="1"/>
  <c r="P527" i="1"/>
  <c r="O527" i="1" a="1"/>
  <c r="O527" i="1" s="1"/>
  <c r="S707" i="1" a="1"/>
  <c r="S707" i="1" s="1"/>
  <c r="U707" i="1" a="1"/>
  <c r="U707" i="1" s="1"/>
  <c r="T707" i="1" a="1"/>
  <c r="T707" i="1" s="1"/>
  <c r="S765" i="1" a="1"/>
  <c r="S765" i="1" s="1"/>
  <c r="U765" i="1" a="1"/>
  <c r="U765" i="1" s="1"/>
  <c r="T765" i="1" a="1"/>
  <c r="T765" i="1" s="1"/>
  <c r="T823" i="1" a="1"/>
  <c r="T823" i="1" s="1"/>
  <c r="U823" i="1" a="1"/>
  <c r="U823" i="1" s="1"/>
  <c r="S823" i="1" a="1"/>
  <c r="S823" i="1" s="1"/>
  <c r="P823" i="1"/>
  <c r="O823" i="1" a="1"/>
  <c r="O823" i="1" s="1"/>
  <c r="T967" i="1" a="1"/>
  <c r="T967" i="1" s="1"/>
  <c r="S967" i="1" a="1"/>
  <c r="S967" i="1" s="1"/>
  <c r="T808" i="1" a="1"/>
  <c r="T808" i="1" s="1"/>
  <c r="S808" i="1" a="1"/>
  <c r="S808" i="1" s="1"/>
  <c r="P808" i="1"/>
  <c r="O808" i="1" a="1"/>
  <c r="O808" i="1" s="1"/>
  <c r="U808" i="1" a="1"/>
  <c r="U808" i="1" s="1"/>
  <c r="U556" i="1" a="1"/>
  <c r="U556" i="1" s="1"/>
  <c r="S556" i="1" a="1"/>
  <c r="S556" i="1" s="1"/>
  <c r="P556" i="1"/>
  <c r="O556" i="1" a="1"/>
  <c r="O556" i="1" s="1"/>
  <c r="U572" i="1" a="1"/>
  <c r="U572" i="1" s="1"/>
  <c r="O572" i="1" a="1"/>
  <c r="O572" i="1" s="1"/>
  <c r="U603" i="1" a="1"/>
  <c r="U603" i="1" s="1"/>
  <c r="O603" i="1" a="1"/>
  <c r="O603" i="1" s="1"/>
  <c r="S603" i="1" a="1"/>
  <c r="S603" i="1" s="1"/>
  <c r="P603" i="1"/>
  <c r="T603" i="1" a="1"/>
  <c r="T603" i="1" s="1"/>
  <c r="S778" i="1" a="1"/>
  <c r="S778" i="1" s="1"/>
  <c r="P778" i="1"/>
  <c r="O778" i="1" a="1"/>
  <c r="O778" i="1" s="1"/>
  <c r="U778" i="1" a="1"/>
  <c r="U778" i="1" s="1"/>
  <c r="T778" i="1" a="1"/>
  <c r="T778" i="1" s="1"/>
  <c r="O945" i="1" a="1"/>
  <c r="O945" i="1" s="1"/>
  <c r="S945" i="1" a="1"/>
  <c r="S945" i="1" s="1"/>
  <c r="P945" i="1"/>
  <c r="S1013" i="1" a="1"/>
  <c r="S1013" i="1" s="1"/>
  <c r="U1013" i="1" a="1"/>
  <c r="U1013" i="1" s="1"/>
  <c r="T1013" i="1" a="1"/>
  <c r="T1013" i="1" s="1"/>
  <c r="U680" i="1" a="1"/>
  <c r="U680" i="1" s="1"/>
  <c r="S680" i="1" a="1"/>
  <c r="S680" i="1" s="1"/>
  <c r="P680" i="1"/>
  <c r="O680" i="1" a="1"/>
  <c r="O680" i="1" s="1"/>
  <c r="S802" i="1" a="1"/>
  <c r="S802" i="1" s="1"/>
  <c r="U802" i="1" a="1"/>
  <c r="U802" i="1" s="1"/>
  <c r="T802" i="1" a="1"/>
  <c r="T802" i="1" s="1"/>
  <c r="T871" i="1" a="1"/>
  <c r="T871" i="1" s="1"/>
  <c r="U871" i="1" a="1"/>
  <c r="U871" i="1" s="1"/>
  <c r="S871" i="1" a="1"/>
  <c r="S871" i="1" s="1"/>
  <c r="P871" i="1"/>
  <c r="O871" i="1" a="1"/>
  <c r="O871" i="1" s="1"/>
  <c r="U961" i="1" a="1"/>
  <c r="U961" i="1" s="1"/>
  <c r="T961" i="1" a="1"/>
  <c r="T961" i="1" s="1"/>
  <c r="S961" i="1" a="1"/>
  <c r="S961" i="1" s="1"/>
  <c r="P961" i="1"/>
  <c r="T534" i="1" a="1"/>
  <c r="T534" i="1" s="1"/>
  <c r="S534" i="1" a="1"/>
  <c r="S534" i="1" s="1"/>
  <c r="P534" i="1"/>
  <c r="P769" i="1"/>
  <c r="T905" i="1" a="1"/>
  <c r="T905" i="1" s="1"/>
  <c r="U905" i="1" a="1"/>
  <c r="U905" i="1" s="1"/>
  <c r="S905" i="1" a="1"/>
  <c r="S905" i="1" s="1"/>
  <c r="P905" i="1"/>
  <c r="O905" i="1" a="1"/>
  <c r="O905" i="1" s="1"/>
  <c r="O1017" i="1" a="1"/>
  <c r="O1017" i="1" s="1"/>
  <c r="S1017" i="1" a="1"/>
  <c r="S1017" i="1" s="1"/>
  <c r="P1017" i="1"/>
  <c r="T515" i="1" a="1"/>
  <c r="T515" i="1" s="1"/>
  <c r="P515" i="1"/>
  <c r="U566" i="1" a="1"/>
  <c r="U566" i="1" s="1"/>
  <c r="T566" i="1" a="1"/>
  <c r="T566" i="1" s="1"/>
  <c r="S566" i="1" a="1"/>
  <c r="S566" i="1" s="1"/>
  <c r="P566" i="1"/>
  <c r="U579" i="1" a="1"/>
  <c r="U579" i="1" s="1"/>
  <c r="P579" i="1"/>
  <c r="O579" i="1" a="1"/>
  <c r="O579" i="1" s="1"/>
  <c r="T579" i="1" a="1"/>
  <c r="T579" i="1" s="1"/>
  <c r="S579" i="1" a="1"/>
  <c r="S579" i="1" s="1"/>
  <c r="U699" i="1" a="1"/>
  <c r="U699" i="1" s="1"/>
  <c r="P699" i="1"/>
  <c r="U551" i="1" a="1"/>
  <c r="U551" i="1" s="1"/>
  <c r="O551" i="1" a="1"/>
  <c r="O551" i="1" s="1"/>
  <c r="S551" i="1" a="1"/>
  <c r="S551" i="1" s="1"/>
  <c r="T551" i="1" a="1"/>
  <c r="T551" i="1" s="1"/>
  <c r="P551" i="1"/>
  <c r="T779" i="1" a="1"/>
  <c r="T779" i="1" s="1"/>
  <c r="U779" i="1" a="1"/>
  <c r="U779" i="1" s="1"/>
  <c r="S779" i="1" a="1"/>
  <c r="S779" i="1" s="1"/>
  <c r="S849" i="1" a="1"/>
  <c r="S849" i="1" s="1"/>
  <c r="T849" i="1" a="1"/>
  <c r="T849" i="1" s="1"/>
  <c r="O849" i="1" a="1"/>
  <c r="O849" i="1" s="1"/>
  <c r="U962" i="1" a="1"/>
  <c r="U962" i="1" s="1"/>
  <c r="S962" i="1" a="1"/>
  <c r="S962" i="1" s="1"/>
  <c r="P962" i="1"/>
  <c r="O962" i="1" a="1"/>
  <c r="O962" i="1" s="1"/>
  <c r="U846" i="1" a="1"/>
  <c r="U846" i="1" s="1"/>
  <c r="S846" i="1" a="1"/>
  <c r="S846" i="1" s="1"/>
  <c r="P846" i="1"/>
  <c r="O846" i="1" a="1"/>
  <c r="O846" i="1" s="1"/>
  <c r="U1021" i="1" a="1"/>
  <c r="U1021" i="1" s="1"/>
  <c r="T1021" i="1" a="1"/>
  <c r="T1021" i="1" s="1"/>
  <c r="S1021" i="1" a="1"/>
  <c r="S1021" i="1" s="1"/>
  <c r="P1021" i="1"/>
  <c r="O1021" i="1" a="1"/>
  <c r="O1021" i="1" s="1"/>
  <c r="S721" i="1" a="1"/>
  <c r="S721" i="1" s="1"/>
  <c r="O721" i="1" a="1"/>
  <c r="O721" i="1" s="1"/>
  <c r="P843" i="1"/>
  <c r="U843" i="1" a="1"/>
  <c r="U843" i="1" s="1"/>
  <c r="T843" i="1" a="1"/>
  <c r="T843" i="1" s="1"/>
  <c r="S843" i="1" a="1"/>
  <c r="S843" i="1" s="1"/>
  <c r="U617" i="1" a="1"/>
  <c r="U617" i="1" s="1"/>
  <c r="S617" i="1" a="1"/>
  <c r="S617" i="1" s="1"/>
  <c r="P617" i="1"/>
  <c r="O617" i="1" a="1"/>
  <c r="O617" i="1" s="1"/>
  <c r="U972" i="1" a="1"/>
  <c r="U972" i="1" s="1"/>
  <c r="P972" i="1"/>
  <c r="O972" i="1" a="1"/>
  <c r="O972" i="1" s="1"/>
  <c r="T972" i="1" a="1"/>
  <c r="T972" i="1" s="1"/>
  <c r="S972" i="1" a="1"/>
  <c r="S972" i="1" s="1"/>
  <c r="S532" i="1" a="1"/>
  <c r="S532" i="1" s="1"/>
  <c r="U532" i="1" a="1"/>
  <c r="U532" i="1" s="1"/>
  <c r="T532" i="1" a="1"/>
  <c r="T532" i="1" s="1"/>
  <c r="S567" i="1" a="1"/>
  <c r="S567" i="1" s="1"/>
  <c r="O567" i="1" a="1"/>
  <c r="O567" i="1" s="1"/>
  <c r="U595" i="1" a="1"/>
  <c r="U595" i="1" s="1"/>
  <c r="O595" i="1" a="1"/>
  <c r="O595" i="1" s="1"/>
  <c r="T644" i="1" a="1"/>
  <c r="T644" i="1" s="1"/>
  <c r="S644" i="1" a="1"/>
  <c r="S644" i="1" s="1"/>
  <c r="P644" i="1"/>
  <c r="U709" i="1" a="1"/>
  <c r="U709" i="1" s="1"/>
  <c r="T709" i="1" a="1"/>
  <c r="T709" i="1" s="1"/>
  <c r="S709" i="1" a="1"/>
  <c r="S709" i="1" s="1"/>
  <c r="S789" i="1" a="1"/>
  <c r="S789" i="1" s="1"/>
  <c r="U789" i="1" a="1"/>
  <c r="U789" i="1" s="1"/>
  <c r="T789" i="1" a="1"/>
  <c r="T789" i="1" s="1"/>
  <c r="O969" i="1" a="1"/>
  <c r="O969" i="1" s="1"/>
  <c r="S969" i="1" a="1"/>
  <c r="S969" i="1" s="1"/>
  <c r="P969" i="1"/>
  <c r="O1018" i="1" a="1"/>
  <c r="O1018" i="1" s="1"/>
  <c r="S1018" i="1" a="1"/>
  <c r="S1018" i="1" s="1"/>
  <c r="P1018" i="1"/>
  <c r="T810" i="1" a="1"/>
  <c r="T810" i="1" s="1"/>
  <c r="U810" i="1" a="1"/>
  <c r="U810" i="1" s="1"/>
  <c r="P891" i="1"/>
  <c r="U891" i="1" a="1"/>
  <c r="U891" i="1" s="1"/>
  <c r="T891" i="1" a="1"/>
  <c r="T891" i="1" s="1"/>
  <c r="S891" i="1" a="1"/>
  <c r="S891" i="1" s="1"/>
  <c r="S897" i="1" a="1"/>
  <c r="S897" i="1" s="1"/>
  <c r="T897" i="1" a="1"/>
  <c r="T897" i="1" s="1"/>
  <c r="O897" i="1" a="1"/>
  <c r="O897" i="1" s="1"/>
  <c r="U654" i="1" a="1"/>
  <c r="U654" i="1" s="1"/>
  <c r="T654" i="1" a="1"/>
  <c r="T654" i="1" s="1"/>
  <c r="S654" i="1" a="1"/>
  <c r="S654" i="1" s="1"/>
  <c r="P654" i="1"/>
  <c r="O654" i="1" a="1"/>
  <c r="O654" i="1" s="1"/>
  <c r="U691" i="1" a="1"/>
  <c r="U691" i="1" s="1"/>
  <c r="T691" i="1" a="1"/>
  <c r="T691" i="1" s="1"/>
  <c r="S691" i="1" a="1"/>
  <c r="S691" i="1" s="1"/>
  <c r="P691" i="1"/>
  <c r="O691" i="1" a="1"/>
  <c r="O691" i="1" s="1"/>
  <c r="S876" i="1" a="1"/>
  <c r="S876" i="1" s="1"/>
  <c r="U552" i="1" a="1"/>
  <c r="U552" i="1" s="1"/>
  <c r="T552" i="1" a="1"/>
  <c r="T552" i="1" s="1"/>
  <c r="S989" i="1" a="1"/>
  <c r="S989" i="1" s="1"/>
  <c r="U989" i="1" a="1"/>
  <c r="U989" i="1" s="1"/>
  <c r="T989" i="1" a="1"/>
  <c r="T989" i="1" s="1"/>
  <c r="P539" i="1"/>
  <c r="T539" i="1" a="1"/>
  <c r="T539" i="1" s="1"/>
  <c r="U555" i="1" a="1"/>
  <c r="U555" i="1" s="1"/>
  <c r="S555" i="1" a="1"/>
  <c r="S555" i="1" s="1"/>
  <c r="P555" i="1"/>
  <c r="O555" i="1" a="1"/>
  <c r="O555" i="1" s="1"/>
  <c r="T555" i="1" a="1"/>
  <c r="T555" i="1" s="1"/>
  <c r="O639" i="1" a="1"/>
  <c r="O639" i="1" s="1"/>
  <c r="S639" i="1" a="1"/>
  <c r="S639" i="1" s="1"/>
  <c r="S873" i="1" a="1"/>
  <c r="S873" i="1" s="1"/>
  <c r="T873" i="1" a="1"/>
  <c r="T873" i="1" s="1"/>
  <c r="O873" i="1" a="1"/>
  <c r="O873" i="1" s="1"/>
  <c r="P124" i="1"/>
  <c r="P387" i="1"/>
  <c r="T674" i="1" a="1"/>
  <c r="T674" i="1" s="1"/>
  <c r="S702" i="1" a="1"/>
  <c r="S702" i="1" s="1"/>
  <c r="S806" i="1" a="1"/>
  <c r="S806" i="1" s="1"/>
  <c r="S818" i="1" a="1"/>
  <c r="S818" i="1" s="1"/>
  <c r="S822" i="1" a="1"/>
  <c r="S822" i="1" s="1"/>
  <c r="O824" i="1" a="1"/>
  <c r="O824" i="1" s="1"/>
  <c r="P834" i="1"/>
  <c r="T859" i="1" a="1"/>
  <c r="T859" i="1" s="1"/>
  <c r="T730" i="1" a="1"/>
  <c r="T730" i="1" s="1"/>
  <c r="O836" i="1" a="1"/>
  <c r="O836" i="1" s="1"/>
  <c r="P411" i="1"/>
  <c r="O642" i="1" a="1"/>
  <c r="O642" i="1" s="1"/>
  <c r="P700" i="1"/>
  <c r="O811" i="1" a="1"/>
  <c r="O811" i="1" s="1"/>
  <c r="T818" i="1" a="1"/>
  <c r="T818" i="1" s="1"/>
  <c r="P832" i="1"/>
  <c r="S867" i="1" a="1"/>
  <c r="S867" i="1" s="1"/>
  <c r="O927" i="1" a="1"/>
  <c r="O927" i="1" s="1"/>
  <c r="T941" i="1" a="1"/>
  <c r="T941" i="1" s="1"/>
  <c r="T965" i="1" a="1"/>
  <c r="T965" i="1" s="1"/>
  <c r="O1010" i="1" a="1"/>
  <c r="O1010" i="1" s="1"/>
  <c r="P412" i="1"/>
  <c r="O629" i="1" a="1"/>
  <c r="O629" i="1" s="1"/>
  <c r="S700" i="1" a="1"/>
  <c r="S700" i="1" s="1"/>
  <c r="O715" i="1" a="1"/>
  <c r="O715" i="1" s="1"/>
  <c r="T867" i="1" a="1"/>
  <c r="T867" i="1" s="1"/>
  <c r="U965" i="1" a="1"/>
  <c r="U965" i="1" s="1"/>
  <c r="P1010" i="1"/>
  <c r="P435" i="1"/>
  <c r="P629" i="1"/>
  <c r="S642" i="1" a="1"/>
  <c r="S642" i="1" s="1"/>
  <c r="T700" i="1" a="1"/>
  <c r="T700" i="1" s="1"/>
  <c r="O713" i="1" a="1"/>
  <c r="O713" i="1" s="1"/>
  <c r="P715" i="1"/>
  <c r="S832" i="1" a="1"/>
  <c r="S832" i="1" s="1"/>
  <c r="U867" i="1" a="1"/>
  <c r="U867" i="1" s="1"/>
  <c r="O923" i="1" a="1"/>
  <c r="O923" i="1" s="1"/>
  <c r="P927" i="1"/>
  <c r="U941" i="1" a="1"/>
  <c r="U941" i="1" s="1"/>
  <c r="P147" i="1"/>
  <c r="P436" i="1"/>
  <c r="P625" i="1"/>
  <c r="U700" i="1" a="1"/>
  <c r="U700" i="1" s="1"/>
  <c r="O796" i="1" a="1"/>
  <c r="O796" i="1" s="1"/>
  <c r="P923" i="1"/>
  <c r="O925" i="1" a="1"/>
  <c r="O925" i="1" s="1"/>
  <c r="S1010" i="1" a="1"/>
  <c r="S1010" i="1" s="1"/>
  <c r="P459" i="1"/>
  <c r="T642" i="1" a="1"/>
  <c r="T642" i="1" s="1"/>
  <c r="S715" i="1" a="1"/>
  <c r="S715" i="1" s="1"/>
  <c r="P925" i="1"/>
  <c r="P171" i="1"/>
  <c r="T715" i="1" a="1"/>
  <c r="T715" i="1" s="1"/>
  <c r="P75" i="1"/>
  <c r="P483" i="1"/>
  <c r="U642" i="1" a="1"/>
  <c r="U642" i="1" s="1"/>
  <c r="U713" i="1" a="1"/>
  <c r="U713" i="1" s="1"/>
  <c r="U771" i="1" a="1"/>
  <c r="U771" i="1" s="1"/>
  <c r="O894" i="1" a="1"/>
  <c r="O894" i="1" s="1"/>
  <c r="S925" i="1" a="1"/>
  <c r="S925" i="1" s="1"/>
  <c r="O996" i="1" a="1"/>
  <c r="O996" i="1" s="1"/>
  <c r="P76" i="1"/>
  <c r="P195" i="1"/>
  <c r="T925" i="1" a="1"/>
  <c r="T925" i="1" s="1"/>
  <c r="P507" i="1"/>
  <c r="S632" i="1" a="1"/>
  <c r="S632" i="1" s="1"/>
  <c r="P821" i="1"/>
  <c r="S827" i="1" a="1"/>
  <c r="S827" i="1" s="1"/>
  <c r="S855" i="1" a="1"/>
  <c r="S855" i="1" s="1"/>
  <c r="P894" i="1"/>
  <c r="S909" i="1" a="1"/>
  <c r="S909" i="1" s="1"/>
  <c r="P949" i="1"/>
  <c r="P996" i="1"/>
  <c r="P3" i="1"/>
  <c r="P757" i="1"/>
  <c r="P219" i="1"/>
  <c r="O762" i="1" a="1"/>
  <c r="O762" i="1" s="1"/>
  <c r="P782" i="1"/>
  <c r="T812" i="1" a="1"/>
  <c r="T812" i="1" s="1"/>
  <c r="O817" i="1" a="1"/>
  <c r="O817" i="1" s="1"/>
  <c r="P845" i="1"/>
  <c r="S894" i="1" a="1"/>
  <c r="S894" i="1" s="1"/>
  <c r="S949" i="1" a="1"/>
  <c r="S949" i="1" s="1"/>
  <c r="S996" i="1" a="1"/>
  <c r="S996" i="1" s="1"/>
  <c r="P220" i="1"/>
  <c r="O738" i="1" a="1"/>
  <c r="O738" i="1" s="1"/>
  <c r="S757" i="1" a="1"/>
  <c r="S757" i="1" s="1"/>
  <c r="S762" i="1" a="1"/>
  <c r="S762" i="1" s="1"/>
  <c r="S782" i="1" a="1"/>
  <c r="S782" i="1" s="1"/>
  <c r="T817" i="1" a="1"/>
  <c r="T817" i="1" s="1"/>
  <c r="O825" i="1" a="1"/>
  <c r="O825" i="1" s="1"/>
  <c r="O835" i="1" a="1"/>
  <c r="O835" i="1" s="1"/>
  <c r="T949" i="1" a="1"/>
  <c r="T949" i="1" s="1"/>
  <c r="T996" i="1" a="1"/>
  <c r="T996" i="1" s="1"/>
  <c r="P243" i="1"/>
  <c r="S738" i="1" a="1"/>
  <c r="S738" i="1" s="1"/>
  <c r="T757" i="1" a="1"/>
  <c r="T757" i="1" s="1"/>
  <c r="U812" i="1" a="1"/>
  <c r="U812" i="1" s="1"/>
  <c r="P825" i="1"/>
  <c r="T825" i="1" a="1"/>
  <c r="T825" i="1" s="1"/>
  <c r="P291" i="1"/>
  <c r="P884" i="1"/>
  <c r="S991" i="1" a="1"/>
  <c r="S991" i="1" s="1"/>
  <c r="P27" i="1"/>
  <c r="P292" i="1"/>
  <c r="P747" i="1"/>
  <c r="T788" i="1" a="1"/>
  <c r="T788" i="1" s="1"/>
  <c r="P28" i="1"/>
  <c r="P315" i="1"/>
  <c r="O704" i="1" a="1"/>
  <c r="O704" i="1" s="1"/>
  <c r="O772" i="1" a="1"/>
  <c r="O772" i="1" s="1"/>
  <c r="P793" i="1"/>
  <c r="P99" i="1"/>
  <c r="P339" i="1"/>
  <c r="O605" i="1" a="1"/>
  <c r="O605" i="1" s="1"/>
  <c r="S661" i="1" a="1"/>
  <c r="S661" i="1" s="1"/>
  <c r="S704" i="1" a="1"/>
  <c r="S704" i="1" s="1"/>
  <c r="S727" i="1" a="1"/>
  <c r="S727" i="1" s="1"/>
  <c r="P734" i="1"/>
  <c r="S793" i="1" a="1"/>
  <c r="S793" i="1" s="1"/>
  <c r="O822" i="1" a="1"/>
  <c r="O822" i="1" s="1"/>
  <c r="O861" i="1" a="1"/>
  <c r="O861" i="1" s="1"/>
  <c r="O938" i="1" a="1"/>
  <c r="O938" i="1" s="1"/>
  <c r="O986" i="1" a="1"/>
  <c r="O986" i="1" s="1"/>
  <c r="P340" i="1"/>
  <c r="S553" i="1" a="1"/>
  <c r="S553" i="1" s="1"/>
  <c r="O557" i="1" a="1"/>
  <c r="O557" i="1" s="1"/>
  <c r="P605" i="1"/>
  <c r="T661" i="1" a="1"/>
  <c r="T661" i="1" s="1"/>
  <c r="U793" i="1" a="1"/>
  <c r="U793" i="1" s="1"/>
  <c r="O908" i="1" a="1"/>
  <c r="O908" i="1" s="1"/>
  <c r="P938" i="1"/>
  <c r="P986" i="1"/>
  <c r="P363" i="1"/>
  <c r="O702" i="1" a="1"/>
  <c r="O702" i="1" s="1"/>
  <c r="U786" i="1" a="1"/>
  <c r="U786" i="1" s="1"/>
  <c r="S803" i="1" a="1"/>
  <c r="S803" i="1" s="1"/>
  <c r="P806" i="1"/>
  <c r="T596" i="1" a="1"/>
  <c r="T596" i="1" s="1"/>
  <c r="S596" i="1" a="1"/>
  <c r="S596" i="1" s="1"/>
  <c r="P596" i="1"/>
  <c r="U596" i="1" a="1"/>
  <c r="U596" i="1" s="1"/>
  <c r="O596" i="1" a="1"/>
  <c r="O596" i="1" s="1"/>
  <c r="U518" i="1" a="1"/>
  <c r="U518" i="1" s="1"/>
  <c r="T518" i="1" a="1"/>
  <c r="T518" i="1" s="1"/>
  <c r="S518" i="1" a="1"/>
  <c r="S518" i="1" s="1"/>
  <c r="P518" i="1"/>
  <c r="O518" i="1" a="1"/>
  <c r="O518" i="1" s="1"/>
  <c r="U523" i="1" a="1"/>
  <c r="U523" i="1" s="1"/>
  <c r="T523" i="1" a="1"/>
  <c r="T523" i="1" s="1"/>
  <c r="S523" i="1" a="1"/>
  <c r="S523" i="1" s="1"/>
  <c r="P523" i="1"/>
  <c r="O523" i="1" a="1"/>
  <c r="O523" i="1" s="1"/>
  <c r="U550" i="1" a="1"/>
  <c r="U550" i="1" s="1"/>
  <c r="T550" i="1" a="1"/>
  <c r="T550" i="1" s="1"/>
  <c r="S550" i="1" a="1"/>
  <c r="S550" i="1" s="1"/>
  <c r="P550" i="1"/>
  <c r="O550" i="1" a="1"/>
  <c r="O550" i="1" s="1"/>
  <c r="S573" i="1" a="1"/>
  <c r="S573" i="1" s="1"/>
  <c r="P573" i="1"/>
  <c r="O573" i="1" a="1"/>
  <c r="O573" i="1" s="1"/>
  <c r="U573" i="1" a="1"/>
  <c r="U573" i="1" s="1"/>
  <c r="T573" i="1" a="1"/>
  <c r="T573" i="1" s="1"/>
  <c r="P599" i="1"/>
  <c r="O599" i="1" a="1"/>
  <c r="O599" i="1" s="1"/>
  <c r="U599" i="1" a="1"/>
  <c r="U599" i="1" s="1"/>
  <c r="T599" i="1" a="1"/>
  <c r="T599" i="1" s="1"/>
  <c r="S599" i="1" a="1"/>
  <c r="S599" i="1" s="1"/>
  <c r="S559" i="1" a="1"/>
  <c r="S559" i="1" s="1"/>
  <c r="P559" i="1"/>
  <c r="T559" i="1" a="1"/>
  <c r="T559" i="1" s="1"/>
  <c r="U559" i="1" a="1"/>
  <c r="U559" i="1" s="1"/>
  <c r="O559" i="1" a="1"/>
  <c r="O559" i="1" s="1"/>
  <c r="S583" i="1" a="1"/>
  <c r="S583" i="1" s="1"/>
  <c r="P583" i="1"/>
  <c r="T583" i="1" a="1"/>
  <c r="T583" i="1" s="1"/>
  <c r="U583" i="1" a="1"/>
  <c r="U583" i="1" s="1"/>
  <c r="O583" i="1" a="1"/>
  <c r="O583" i="1" s="1"/>
  <c r="U516" i="1" a="1"/>
  <c r="U516" i="1" s="1"/>
  <c r="T516" i="1" a="1"/>
  <c r="T516" i="1" s="1"/>
  <c r="S516" i="1" a="1"/>
  <c r="S516" i="1" s="1"/>
  <c r="P516" i="1"/>
  <c r="O516" i="1" a="1"/>
  <c r="O516" i="1" s="1"/>
  <c r="U521" i="1" a="1"/>
  <c r="U521" i="1" s="1"/>
  <c r="T521" i="1" a="1"/>
  <c r="T521" i="1" s="1"/>
  <c r="S521" i="1" a="1"/>
  <c r="S521" i="1" s="1"/>
  <c r="P521" i="1"/>
  <c r="O521" i="1" a="1"/>
  <c r="O521" i="1" s="1"/>
  <c r="O514" i="1" a="1"/>
  <c r="O514" i="1" s="1"/>
  <c r="U514" i="1" a="1"/>
  <c r="U514" i="1" s="1"/>
  <c r="T514" i="1" a="1"/>
  <c r="T514" i="1" s="1"/>
  <c r="S514" i="1" a="1"/>
  <c r="S514" i="1" s="1"/>
  <c r="P514" i="1"/>
  <c r="T571" i="1" a="1"/>
  <c r="T571" i="1" s="1"/>
  <c r="S571" i="1" a="1"/>
  <c r="S571" i="1" s="1"/>
  <c r="P571" i="1"/>
  <c r="U571" i="1" a="1"/>
  <c r="U571" i="1" s="1"/>
  <c r="O571" i="1" a="1"/>
  <c r="O571" i="1" s="1"/>
  <c r="U526" i="1" a="1"/>
  <c r="U526" i="1" s="1"/>
  <c r="T526" i="1" a="1"/>
  <c r="T526" i="1" s="1"/>
  <c r="S526" i="1" a="1"/>
  <c r="S526" i="1" s="1"/>
  <c r="P526" i="1"/>
  <c r="O526" i="1" a="1"/>
  <c r="O526" i="1" s="1"/>
  <c r="U546" i="1" a="1"/>
  <c r="U546" i="1" s="1"/>
  <c r="T546" i="1" a="1"/>
  <c r="T546" i="1" s="1"/>
  <c r="S546" i="1" a="1"/>
  <c r="S546" i="1" s="1"/>
  <c r="P546" i="1"/>
  <c r="O546" i="1" a="1"/>
  <c r="O546" i="1" s="1"/>
  <c r="S597" i="1" a="1"/>
  <c r="S597" i="1" s="1"/>
  <c r="P597" i="1"/>
  <c r="O597" i="1" a="1"/>
  <c r="O597" i="1" s="1"/>
  <c r="U597" i="1" a="1"/>
  <c r="U597" i="1" s="1"/>
  <c r="T597" i="1" a="1"/>
  <c r="T597" i="1" s="1"/>
  <c r="O538" i="1" a="1"/>
  <c r="O538" i="1" s="1"/>
  <c r="U538" i="1" a="1"/>
  <c r="U538" i="1" s="1"/>
  <c r="T538" i="1" a="1"/>
  <c r="T538" i="1" s="1"/>
  <c r="S538" i="1" a="1"/>
  <c r="S538" i="1" s="1"/>
  <c r="P538" i="1"/>
  <c r="O563" i="1" a="1"/>
  <c r="O563" i="1" s="1"/>
  <c r="P563" i="1"/>
  <c r="U563" i="1" a="1"/>
  <c r="U563" i="1" s="1"/>
  <c r="T563" i="1" a="1"/>
  <c r="T563" i="1" s="1"/>
  <c r="S563" i="1" a="1"/>
  <c r="S563" i="1" s="1"/>
  <c r="O586" i="1" a="1"/>
  <c r="O586" i="1" s="1"/>
  <c r="S586" i="1" a="1"/>
  <c r="S586" i="1" s="1"/>
  <c r="U586" i="1" a="1"/>
  <c r="U586" i="1" s="1"/>
  <c r="T586" i="1" a="1"/>
  <c r="T586" i="1" s="1"/>
  <c r="P586" i="1"/>
  <c r="O537" i="1" a="1"/>
  <c r="O537" i="1" s="1"/>
  <c r="U537" i="1" a="1"/>
  <c r="U537" i="1" s="1"/>
  <c r="T537" i="1" a="1"/>
  <c r="T537" i="1" s="1"/>
  <c r="S537" i="1" a="1"/>
  <c r="S537" i="1" s="1"/>
  <c r="P537" i="1"/>
  <c r="U544" i="1" a="1"/>
  <c r="U544" i="1" s="1"/>
  <c r="T544" i="1" a="1"/>
  <c r="T544" i="1" s="1"/>
  <c r="S544" i="1" a="1"/>
  <c r="S544" i="1" s="1"/>
  <c r="P544" i="1"/>
  <c r="O544" i="1" a="1"/>
  <c r="O544" i="1" s="1"/>
  <c r="S533" i="1" a="1"/>
  <c r="S533" i="1" s="1"/>
  <c r="P533" i="1"/>
  <c r="O533" i="1" a="1"/>
  <c r="O533" i="1" s="1"/>
  <c r="U533" i="1" a="1"/>
  <c r="U533" i="1" s="1"/>
  <c r="T533" i="1" a="1"/>
  <c r="T533" i="1" s="1"/>
  <c r="P535" i="1"/>
  <c r="O535" i="1" a="1"/>
  <c r="O535" i="1" s="1"/>
  <c r="U535" i="1" a="1"/>
  <c r="U535" i="1" s="1"/>
  <c r="T535" i="1" a="1"/>
  <c r="T535" i="1" s="1"/>
  <c r="S535" i="1" a="1"/>
  <c r="S535" i="1" s="1"/>
  <c r="U549" i="1" a="1"/>
  <c r="U549" i="1" s="1"/>
  <c r="T549" i="1" a="1"/>
  <c r="T549" i="1" s="1"/>
  <c r="S549" i="1" a="1"/>
  <c r="S549" i="1" s="1"/>
  <c r="P549" i="1"/>
  <c r="O549" i="1" a="1"/>
  <c r="O549" i="1" s="1"/>
  <c r="S574" i="1" a="1"/>
  <c r="S574" i="1" s="1"/>
  <c r="P574" i="1"/>
  <c r="O574" i="1" a="1"/>
  <c r="O574" i="1" s="1"/>
  <c r="U574" i="1" a="1"/>
  <c r="U574" i="1" s="1"/>
  <c r="T574" i="1" a="1"/>
  <c r="T574" i="1" s="1"/>
  <c r="U522" i="1" a="1"/>
  <c r="U522" i="1" s="1"/>
  <c r="T522" i="1" a="1"/>
  <c r="T522" i="1" s="1"/>
  <c r="S522" i="1" a="1"/>
  <c r="S522" i="1" s="1"/>
  <c r="P522" i="1"/>
  <c r="O522" i="1" a="1"/>
  <c r="O522" i="1" s="1"/>
  <c r="T531" i="1" a="1"/>
  <c r="T531" i="1" s="1"/>
  <c r="S531" i="1" a="1"/>
  <c r="S531" i="1" s="1"/>
  <c r="P531" i="1"/>
  <c r="O531" i="1" a="1"/>
  <c r="O531" i="1" s="1"/>
  <c r="U531" i="1" a="1"/>
  <c r="U531" i="1" s="1"/>
  <c r="U542" i="1" a="1"/>
  <c r="U542" i="1" s="1"/>
  <c r="T542" i="1" a="1"/>
  <c r="T542" i="1" s="1"/>
  <c r="S542" i="1" a="1"/>
  <c r="S542" i="1" s="1"/>
  <c r="P542" i="1"/>
  <c r="O542" i="1" a="1"/>
  <c r="O542" i="1" s="1"/>
  <c r="P561" i="1"/>
  <c r="O561" i="1" a="1"/>
  <c r="O561" i="1" s="1"/>
  <c r="S561" i="1" a="1"/>
  <c r="S561" i="1" s="1"/>
  <c r="U561" i="1" a="1"/>
  <c r="U561" i="1" s="1"/>
  <c r="T561" i="1" a="1"/>
  <c r="T561" i="1" s="1"/>
  <c r="U547" i="1" a="1"/>
  <c r="U547" i="1" s="1"/>
  <c r="T547" i="1" a="1"/>
  <c r="T547" i="1" s="1"/>
  <c r="S547" i="1" a="1"/>
  <c r="S547" i="1" s="1"/>
  <c r="P547" i="1"/>
  <c r="O547" i="1" a="1"/>
  <c r="O547" i="1" s="1"/>
  <c r="S598" i="1" a="1"/>
  <c r="S598" i="1" s="1"/>
  <c r="P598" i="1"/>
  <c r="O598" i="1" a="1"/>
  <c r="O598" i="1" s="1"/>
  <c r="U598" i="1" a="1"/>
  <c r="U598" i="1" s="1"/>
  <c r="T598" i="1" a="1"/>
  <c r="T598" i="1" s="1"/>
  <c r="U545" i="1" a="1"/>
  <c r="U545" i="1" s="1"/>
  <c r="T545" i="1" a="1"/>
  <c r="T545" i="1" s="1"/>
  <c r="S545" i="1" a="1"/>
  <c r="S545" i="1" s="1"/>
  <c r="P545" i="1"/>
  <c r="O545" i="1" a="1"/>
  <c r="O545" i="1" s="1"/>
  <c r="U529" i="1" a="1"/>
  <c r="U529" i="1" s="1"/>
  <c r="T529" i="1" a="1"/>
  <c r="T529" i="1" s="1"/>
  <c r="S529" i="1" a="1"/>
  <c r="S529" i="1" s="1"/>
  <c r="P529" i="1"/>
  <c r="O529" i="1" a="1"/>
  <c r="O529" i="1" s="1"/>
  <c r="U540" i="1" a="1"/>
  <c r="U540" i="1" s="1"/>
  <c r="T540" i="1" a="1"/>
  <c r="T540" i="1" s="1"/>
  <c r="S540" i="1" a="1"/>
  <c r="S540" i="1" s="1"/>
  <c r="P540" i="1"/>
  <c r="O540" i="1" a="1"/>
  <c r="O540" i="1" s="1"/>
  <c r="U520" i="1" a="1"/>
  <c r="U520" i="1" s="1"/>
  <c r="T520" i="1" a="1"/>
  <c r="T520" i="1" s="1"/>
  <c r="S520" i="1" a="1"/>
  <c r="S520" i="1" s="1"/>
  <c r="P520" i="1"/>
  <c r="O520" i="1" a="1"/>
  <c r="O520" i="1" s="1"/>
  <c r="U525" i="1" a="1"/>
  <c r="U525" i="1" s="1"/>
  <c r="T525" i="1" a="1"/>
  <c r="T525" i="1" s="1"/>
  <c r="S525" i="1" a="1"/>
  <c r="S525" i="1" s="1"/>
  <c r="P525" i="1"/>
  <c r="O525" i="1" a="1"/>
  <c r="O525" i="1" s="1"/>
  <c r="O587" i="1" a="1"/>
  <c r="O587" i="1" s="1"/>
  <c r="P587" i="1"/>
  <c r="U587" i="1" a="1"/>
  <c r="U587" i="1" s="1"/>
  <c r="T587" i="1" a="1"/>
  <c r="T587" i="1" s="1"/>
  <c r="S587" i="1" a="1"/>
  <c r="S587" i="1" s="1"/>
  <c r="P560" i="1"/>
  <c r="T560" i="1" a="1"/>
  <c r="T560" i="1" s="1"/>
  <c r="P575" i="1"/>
  <c r="O575" i="1" a="1"/>
  <c r="O575" i="1" s="1"/>
  <c r="U647" i="1" a="1"/>
  <c r="U647" i="1" s="1"/>
  <c r="S647" i="1" a="1"/>
  <c r="S647" i="1" s="1"/>
  <c r="P647" i="1"/>
  <c r="O647" i="1" a="1"/>
  <c r="O647" i="1" s="1"/>
  <c r="O515" i="1" a="1"/>
  <c r="O515" i="1" s="1"/>
  <c r="O539" i="1" a="1"/>
  <c r="O539" i="1" s="1"/>
  <c r="S575" i="1" a="1"/>
  <c r="S575" i="1" s="1"/>
  <c r="O591" i="1" a="1"/>
  <c r="O591" i="1" s="1"/>
  <c r="T619" i="1" a="1"/>
  <c r="T619" i="1" s="1"/>
  <c r="S619" i="1" a="1"/>
  <c r="S619" i="1" s="1"/>
  <c r="P619" i="1"/>
  <c r="S621" i="1" a="1"/>
  <c r="S621" i="1" s="1"/>
  <c r="P621" i="1"/>
  <c r="O621" i="1" a="1"/>
  <c r="O621" i="1" s="1"/>
  <c r="O568" i="1" a="1"/>
  <c r="O568" i="1" s="1"/>
  <c r="U578" i="1" a="1"/>
  <c r="U578" i="1" s="1"/>
  <c r="O578" i="1" a="1"/>
  <c r="O578" i="1" s="1"/>
  <c r="O610" i="1" a="1"/>
  <c r="O610" i="1" s="1"/>
  <c r="U610" i="1" a="1"/>
  <c r="U610" i="1" s="1"/>
  <c r="T610" i="1" a="1"/>
  <c r="T610" i="1" s="1"/>
  <c r="S610" i="1" a="1"/>
  <c r="S610" i="1" s="1"/>
  <c r="P623" i="1"/>
  <c r="O623" i="1" a="1"/>
  <c r="O623" i="1" s="1"/>
  <c r="U637" i="1" a="1"/>
  <c r="U637" i="1" s="1"/>
  <c r="S637" i="1" a="1"/>
  <c r="S637" i="1" s="1"/>
  <c r="O637" i="1" a="1"/>
  <c r="O637" i="1" s="1"/>
  <c r="T647" i="1" a="1"/>
  <c r="T647" i="1" s="1"/>
  <c r="U800" i="1" a="1"/>
  <c r="U800" i="1" s="1"/>
  <c r="T800" i="1" a="1"/>
  <c r="T800" i="1" s="1"/>
  <c r="S800" i="1" a="1"/>
  <c r="S800" i="1" s="1"/>
  <c r="P800" i="1"/>
  <c r="O800" i="1" a="1"/>
  <c r="O800" i="1" s="1"/>
  <c r="O517" i="1" a="1"/>
  <c r="O517" i="1" s="1"/>
  <c r="O541" i="1" a="1"/>
  <c r="O541" i="1" s="1"/>
  <c r="O560" i="1" a="1"/>
  <c r="O560" i="1" s="1"/>
  <c r="T575" i="1" a="1"/>
  <c r="T575" i="1" s="1"/>
  <c r="P610" i="1"/>
  <c r="U619" i="1" a="1"/>
  <c r="U619" i="1" s="1"/>
  <c r="T621" i="1" a="1"/>
  <c r="T621" i="1" s="1"/>
  <c r="S623" i="1" a="1"/>
  <c r="S623" i="1" s="1"/>
  <c r="T706" i="1" a="1"/>
  <c r="T706" i="1" s="1"/>
  <c r="S706" i="1" a="1"/>
  <c r="S706" i="1" s="1"/>
  <c r="U706" i="1" a="1"/>
  <c r="U706" i="1" s="1"/>
  <c r="P706" i="1"/>
  <c r="O706" i="1" a="1"/>
  <c r="O706" i="1" s="1"/>
  <c r="U776" i="1" a="1"/>
  <c r="U776" i="1" s="1"/>
  <c r="T776" i="1" a="1"/>
  <c r="T776" i="1" s="1"/>
  <c r="S776" i="1" a="1"/>
  <c r="S776" i="1" s="1"/>
  <c r="P776" i="1"/>
  <c r="O776" i="1" a="1"/>
  <c r="O776" i="1" s="1"/>
  <c r="U591" i="1" a="1"/>
  <c r="U591" i="1" s="1"/>
  <c r="T591" i="1" a="1"/>
  <c r="T591" i="1" s="1"/>
  <c r="U534" i="1" a="1"/>
  <c r="U534" i="1" s="1"/>
  <c r="T536" i="1" a="1"/>
  <c r="T536" i="1" s="1"/>
  <c r="S560" i="1" a="1"/>
  <c r="S560" i="1" s="1"/>
  <c r="P568" i="1"/>
  <c r="P578" i="1"/>
  <c r="U612" i="1" a="1"/>
  <c r="U612" i="1" s="1"/>
  <c r="T612" i="1" a="1"/>
  <c r="T612" i="1" s="1"/>
  <c r="S612" i="1" a="1"/>
  <c r="S612" i="1" s="1"/>
  <c r="P612" i="1"/>
  <c r="U621" i="1" a="1"/>
  <c r="U621" i="1" s="1"/>
  <c r="T623" i="1" a="1"/>
  <c r="T623" i="1" s="1"/>
  <c r="P637" i="1"/>
  <c r="S515" i="1" a="1"/>
  <c r="S515" i="1" s="1"/>
  <c r="P517" i="1"/>
  <c r="O519" i="1" a="1"/>
  <c r="O519" i="1" s="1"/>
  <c r="S539" i="1" a="1"/>
  <c r="S539" i="1" s="1"/>
  <c r="P541" i="1"/>
  <c r="O543" i="1" a="1"/>
  <c r="O543" i="1" s="1"/>
  <c r="U554" i="1" a="1"/>
  <c r="U554" i="1" s="1"/>
  <c r="O554" i="1" a="1"/>
  <c r="O554" i="1" s="1"/>
  <c r="U575" i="1" a="1"/>
  <c r="U575" i="1" s="1"/>
  <c r="S582" i="1" a="1"/>
  <c r="S582" i="1" s="1"/>
  <c r="U582" i="1" a="1"/>
  <c r="U582" i="1" s="1"/>
  <c r="U590" i="1" a="1"/>
  <c r="U590" i="1" s="1"/>
  <c r="O590" i="1" a="1"/>
  <c r="O590" i="1" s="1"/>
  <c r="S591" i="1" a="1"/>
  <c r="S591" i="1" s="1"/>
  <c r="U594" i="1" a="1"/>
  <c r="U594" i="1" s="1"/>
  <c r="T594" i="1" a="1"/>
  <c r="T594" i="1" s="1"/>
  <c r="S594" i="1" a="1"/>
  <c r="S594" i="1" s="1"/>
  <c r="U623" i="1" a="1"/>
  <c r="U623" i="1" s="1"/>
  <c r="S630" i="1" a="1"/>
  <c r="S630" i="1" s="1"/>
  <c r="P630" i="1"/>
  <c r="O630" i="1" a="1"/>
  <c r="O630" i="1" s="1"/>
  <c r="U630" i="1" a="1"/>
  <c r="U630" i="1" s="1"/>
  <c r="T637" i="1" a="1"/>
  <c r="T637" i="1" s="1"/>
  <c r="U536" i="1" a="1"/>
  <c r="U536" i="1" s="1"/>
  <c r="U560" i="1" a="1"/>
  <c r="U560" i="1" s="1"/>
  <c r="U567" i="1" a="1"/>
  <c r="U567" i="1" s="1"/>
  <c r="T567" i="1" a="1"/>
  <c r="T567" i="1" s="1"/>
  <c r="S578" i="1" a="1"/>
  <c r="S578" i="1" s="1"/>
  <c r="U600" i="1" a="1"/>
  <c r="U600" i="1" s="1"/>
  <c r="T600" i="1" a="1"/>
  <c r="T600" i="1" s="1"/>
  <c r="S600" i="1" a="1"/>
  <c r="S600" i="1" s="1"/>
  <c r="P600" i="1"/>
  <c r="O600" i="1" a="1"/>
  <c r="O600" i="1" s="1"/>
  <c r="U614" i="1" a="1"/>
  <c r="U614" i="1" s="1"/>
  <c r="T614" i="1" a="1"/>
  <c r="T614" i="1" s="1"/>
  <c r="S614" i="1" a="1"/>
  <c r="S614" i="1" s="1"/>
  <c r="P614" i="1"/>
  <c r="O614" i="1" a="1"/>
  <c r="O614" i="1" s="1"/>
  <c r="U639" i="1" a="1"/>
  <c r="U639" i="1" s="1"/>
  <c r="T639" i="1" a="1"/>
  <c r="T639" i="1" s="1"/>
  <c r="P639" i="1"/>
  <c r="U641" i="1" a="1"/>
  <c r="U641" i="1" s="1"/>
  <c r="S641" i="1" a="1"/>
  <c r="S641" i="1" s="1"/>
  <c r="O641" i="1" a="1"/>
  <c r="O641" i="1" s="1"/>
  <c r="S517" i="1" a="1"/>
  <c r="S517" i="1" s="1"/>
  <c r="P519" i="1"/>
  <c r="S541" i="1" a="1"/>
  <c r="S541" i="1" s="1"/>
  <c r="P543" i="1"/>
  <c r="T578" i="1" a="1"/>
  <c r="T578" i="1" s="1"/>
  <c r="O582" i="1" a="1"/>
  <c r="O582" i="1" s="1"/>
  <c r="P590" i="1"/>
  <c r="O594" i="1" a="1"/>
  <c r="O594" i="1" s="1"/>
  <c r="U602" i="1" a="1"/>
  <c r="U602" i="1" s="1"/>
  <c r="T602" i="1" a="1"/>
  <c r="T602" i="1" s="1"/>
  <c r="S602" i="1" a="1"/>
  <c r="S602" i="1" s="1"/>
  <c r="P602" i="1"/>
  <c r="O602" i="1" a="1"/>
  <c r="O602" i="1" s="1"/>
  <c r="U616" i="1" a="1"/>
  <c r="U616" i="1" s="1"/>
  <c r="T616" i="1" a="1"/>
  <c r="T616" i="1" s="1"/>
  <c r="S616" i="1" a="1"/>
  <c r="S616" i="1" s="1"/>
  <c r="P616" i="1"/>
  <c r="O616" i="1" a="1"/>
  <c r="O616" i="1" s="1"/>
  <c r="U515" i="1" a="1"/>
  <c r="U515" i="1" s="1"/>
  <c r="T517" i="1" a="1"/>
  <c r="T517" i="1" s="1"/>
  <c r="S519" i="1" a="1"/>
  <c r="S519" i="1" s="1"/>
  <c r="U539" i="1" a="1"/>
  <c r="U539" i="1" s="1"/>
  <c r="T541" i="1" a="1"/>
  <c r="T541" i="1" s="1"/>
  <c r="S543" i="1" a="1"/>
  <c r="S543" i="1" s="1"/>
  <c r="P567" i="1"/>
  <c r="U577" i="1" a="1"/>
  <c r="U577" i="1" s="1"/>
  <c r="O577" i="1" a="1"/>
  <c r="O577" i="1" s="1"/>
  <c r="S607" i="1" a="1"/>
  <c r="S607" i="1" s="1"/>
  <c r="P607" i="1"/>
  <c r="T607" i="1" a="1"/>
  <c r="T607" i="1" s="1"/>
  <c r="U750" i="1" a="1"/>
  <c r="U750" i="1" s="1"/>
  <c r="T750" i="1" a="1"/>
  <c r="T750" i="1" s="1"/>
  <c r="S750" i="1" a="1"/>
  <c r="S750" i="1" s="1"/>
  <c r="O750" i="1" a="1"/>
  <c r="O750" i="1" s="1"/>
  <c r="P750" i="1"/>
  <c r="O524" i="1" a="1"/>
  <c r="O524" i="1" s="1"/>
  <c r="O548" i="1" a="1"/>
  <c r="O548" i="1" s="1"/>
  <c r="S554" i="1" a="1"/>
  <c r="S554" i="1" s="1"/>
  <c r="P582" i="1"/>
  <c r="U589" i="1" a="1"/>
  <c r="U589" i="1" s="1"/>
  <c r="O589" i="1" a="1"/>
  <c r="O589" i="1" s="1"/>
  <c r="S590" i="1" a="1"/>
  <c r="S590" i="1" s="1"/>
  <c r="P594" i="1"/>
  <c r="T519" i="1" a="1"/>
  <c r="T519" i="1" s="1"/>
  <c r="T543" i="1" a="1"/>
  <c r="T543" i="1" s="1"/>
  <c r="S558" i="1" a="1"/>
  <c r="S558" i="1" s="1"/>
  <c r="U558" i="1" a="1"/>
  <c r="U558" i="1" s="1"/>
  <c r="O562" i="1" a="1"/>
  <c r="O562" i="1" s="1"/>
  <c r="S562" i="1" a="1"/>
  <c r="S562" i="1" s="1"/>
  <c r="U570" i="1" a="1"/>
  <c r="U570" i="1" s="1"/>
  <c r="T570" i="1" a="1"/>
  <c r="T570" i="1" s="1"/>
  <c r="S570" i="1" a="1"/>
  <c r="S570" i="1" s="1"/>
  <c r="P585" i="1"/>
  <c r="O585" i="1" a="1"/>
  <c r="O585" i="1" s="1"/>
  <c r="S585" i="1" a="1"/>
  <c r="S585" i="1" s="1"/>
  <c r="U593" i="1" a="1"/>
  <c r="U593" i="1" s="1"/>
  <c r="T593" i="1" a="1"/>
  <c r="T593" i="1" s="1"/>
  <c r="S593" i="1" a="1"/>
  <c r="S593" i="1" s="1"/>
  <c r="P609" i="1"/>
  <c r="O609" i="1" a="1"/>
  <c r="O609" i="1" s="1"/>
  <c r="U609" i="1" a="1"/>
  <c r="U609" i="1" s="1"/>
  <c r="S609" i="1" a="1"/>
  <c r="S609" i="1" s="1"/>
  <c r="O634" i="1" a="1"/>
  <c r="O634" i="1" s="1"/>
  <c r="U634" i="1" a="1"/>
  <c r="U634" i="1" s="1"/>
  <c r="T634" i="1" a="1"/>
  <c r="T634" i="1" s="1"/>
  <c r="S634" i="1" a="1"/>
  <c r="S634" i="1" s="1"/>
  <c r="O652" i="1" a="1"/>
  <c r="O652" i="1" s="1"/>
  <c r="U652" i="1" a="1"/>
  <c r="U652" i="1" s="1"/>
  <c r="S652" i="1" a="1"/>
  <c r="S652" i="1" s="1"/>
  <c r="P652" i="1"/>
  <c r="U568" i="1" a="1"/>
  <c r="U568" i="1" s="1"/>
  <c r="T568" i="1" a="1"/>
  <c r="T568" i="1" s="1"/>
  <c r="P524" i="1"/>
  <c r="P548" i="1"/>
  <c r="P553" i="1"/>
  <c r="T554" i="1" a="1"/>
  <c r="T554" i="1" s="1"/>
  <c r="S577" i="1" a="1"/>
  <c r="S577" i="1" s="1"/>
  <c r="P589" i="1"/>
  <c r="T590" i="1" a="1"/>
  <c r="T590" i="1" s="1"/>
  <c r="P634" i="1"/>
  <c r="U646" i="1" a="1"/>
  <c r="U646" i="1" s="1"/>
  <c r="T646" i="1" a="1"/>
  <c r="T646" i="1" s="1"/>
  <c r="S646" i="1" a="1"/>
  <c r="S646" i="1" s="1"/>
  <c r="P646" i="1"/>
  <c r="O646" i="1" a="1"/>
  <c r="O646" i="1" s="1"/>
  <c r="U648" i="1" a="1"/>
  <c r="U648" i="1" s="1"/>
  <c r="S648" i="1" a="1"/>
  <c r="S648" i="1" s="1"/>
  <c r="P648" i="1"/>
  <c r="O648" i="1" a="1"/>
  <c r="O648" i="1" s="1"/>
  <c r="P650" i="1"/>
  <c r="O650" i="1" a="1"/>
  <c r="O650" i="1" s="1"/>
  <c r="U650" i="1" a="1"/>
  <c r="U650" i="1" s="1"/>
  <c r="T650" i="1" a="1"/>
  <c r="T650" i="1" s="1"/>
  <c r="S650" i="1" a="1"/>
  <c r="S650" i="1" s="1"/>
  <c r="T652" i="1" a="1"/>
  <c r="T652" i="1" s="1"/>
  <c r="U678" i="1" a="1"/>
  <c r="U678" i="1" s="1"/>
  <c r="O678" i="1" a="1"/>
  <c r="O678" i="1" s="1"/>
  <c r="T678" i="1" a="1"/>
  <c r="T678" i="1" s="1"/>
  <c r="S678" i="1" a="1"/>
  <c r="S678" i="1" s="1"/>
  <c r="P678" i="1"/>
  <c r="U645" i="1" a="1"/>
  <c r="U645" i="1" s="1"/>
  <c r="S645" i="1" a="1"/>
  <c r="S645" i="1" s="1"/>
  <c r="P645" i="1"/>
  <c r="O645" i="1" a="1"/>
  <c r="O645" i="1" s="1"/>
  <c r="T657" i="1" a="1"/>
  <c r="T657" i="1" s="1"/>
  <c r="S657" i="1" a="1"/>
  <c r="S657" i="1" s="1"/>
  <c r="P657" i="1"/>
  <c r="O657" i="1" a="1"/>
  <c r="O657" i="1" s="1"/>
  <c r="U657" i="1" a="1"/>
  <c r="U657" i="1" s="1"/>
  <c r="O552" i="1" a="1"/>
  <c r="O552" i="1" s="1"/>
  <c r="P562" i="1"/>
  <c r="T604" i="1" a="1"/>
  <c r="T604" i="1" s="1"/>
  <c r="S604" i="1" a="1"/>
  <c r="S604" i="1" s="1"/>
  <c r="P604" i="1"/>
  <c r="O604" i="1" a="1"/>
  <c r="O604" i="1" s="1"/>
  <c r="U618" i="1" a="1"/>
  <c r="U618" i="1" s="1"/>
  <c r="T618" i="1" a="1"/>
  <c r="T618" i="1" s="1"/>
  <c r="S618" i="1" a="1"/>
  <c r="S618" i="1" s="1"/>
  <c r="P618" i="1"/>
  <c r="O618" i="1" a="1"/>
  <c r="O618" i="1" s="1"/>
  <c r="U636" i="1" a="1"/>
  <c r="U636" i="1" s="1"/>
  <c r="T636" i="1" a="1"/>
  <c r="T636" i="1" s="1"/>
  <c r="S636" i="1" a="1"/>
  <c r="S636" i="1" s="1"/>
  <c r="P636" i="1"/>
  <c r="S524" i="1" a="1"/>
  <c r="S524" i="1" s="1"/>
  <c r="O528" i="1" a="1"/>
  <c r="O528" i="1" s="1"/>
  <c r="S548" i="1" a="1"/>
  <c r="S548" i="1" s="1"/>
  <c r="O558" i="1" a="1"/>
  <c r="O558" i="1" s="1"/>
  <c r="O570" i="1" a="1"/>
  <c r="O570" i="1" s="1"/>
  <c r="O593" i="1" a="1"/>
  <c r="O593" i="1" s="1"/>
  <c r="T609" i="1" a="1"/>
  <c r="T609" i="1" s="1"/>
  <c r="O611" i="1" a="1"/>
  <c r="O611" i="1" s="1"/>
  <c r="T611" i="1" a="1"/>
  <c r="T611" i="1" s="1"/>
  <c r="P611" i="1"/>
  <c r="U622" i="1" a="1"/>
  <c r="U622" i="1" s="1"/>
  <c r="T622" i="1" a="1"/>
  <c r="T622" i="1" s="1"/>
  <c r="S622" i="1" a="1"/>
  <c r="S622" i="1" s="1"/>
  <c r="P622" i="1"/>
  <c r="O622" i="1" a="1"/>
  <c r="O622" i="1" s="1"/>
  <c r="U624" i="1" a="1"/>
  <c r="U624" i="1" s="1"/>
  <c r="T624" i="1" a="1"/>
  <c r="T624" i="1" s="1"/>
  <c r="S624" i="1" a="1"/>
  <c r="S624" i="1" s="1"/>
  <c r="P624" i="1"/>
  <c r="O624" i="1" a="1"/>
  <c r="O624" i="1" s="1"/>
  <c r="P552" i="1"/>
  <c r="T562" i="1" a="1"/>
  <c r="T562" i="1" s="1"/>
  <c r="U565" i="1" a="1"/>
  <c r="U565" i="1" s="1"/>
  <c r="O565" i="1" a="1"/>
  <c r="O565" i="1" s="1"/>
  <c r="T580" i="1" a="1"/>
  <c r="T580" i="1" s="1"/>
  <c r="T585" i="1" a="1"/>
  <c r="T585" i="1" s="1"/>
  <c r="U638" i="1" a="1"/>
  <c r="U638" i="1" s="1"/>
  <c r="T638" i="1" a="1"/>
  <c r="T638" i="1" s="1"/>
  <c r="S638" i="1" a="1"/>
  <c r="S638" i="1" s="1"/>
  <c r="P638" i="1"/>
  <c r="O638" i="1" a="1"/>
  <c r="O638" i="1" s="1"/>
  <c r="T524" i="1" a="1"/>
  <c r="T524" i="1" s="1"/>
  <c r="P528" i="1"/>
  <c r="O530" i="1" a="1"/>
  <c r="O530" i="1" s="1"/>
  <c r="T548" i="1" a="1"/>
  <c r="T548" i="1" s="1"/>
  <c r="T557" i="1" a="1"/>
  <c r="T557" i="1" s="1"/>
  <c r="S557" i="1" a="1"/>
  <c r="S557" i="1" s="1"/>
  <c r="U557" i="1" a="1"/>
  <c r="U557" i="1" s="1"/>
  <c r="P558" i="1"/>
  <c r="P570" i="1"/>
  <c r="P593" i="1"/>
  <c r="S611" i="1" a="1"/>
  <c r="S611" i="1" s="1"/>
  <c r="O719" i="1" a="1"/>
  <c r="O719" i="1" s="1"/>
  <c r="U719" i="1" a="1"/>
  <c r="U719" i="1" s="1"/>
  <c r="T719" i="1" a="1"/>
  <c r="T719" i="1" s="1"/>
  <c r="S719" i="1" a="1"/>
  <c r="S719" i="1" s="1"/>
  <c r="P719" i="1"/>
  <c r="S552" i="1" a="1"/>
  <c r="S552" i="1" s="1"/>
  <c r="T558" i="1" a="1"/>
  <c r="T558" i="1" s="1"/>
  <c r="U562" i="1" a="1"/>
  <c r="U562" i="1" s="1"/>
  <c r="P565" i="1"/>
  <c r="U569" i="1" a="1"/>
  <c r="U569" i="1" s="1"/>
  <c r="T569" i="1" a="1"/>
  <c r="T569" i="1" s="1"/>
  <c r="S569" i="1" a="1"/>
  <c r="S569" i="1" s="1"/>
  <c r="P576" i="1"/>
  <c r="O576" i="1" a="1"/>
  <c r="O576" i="1" s="1"/>
  <c r="O580" i="1" a="1"/>
  <c r="O580" i="1" s="1"/>
  <c r="U585" i="1" a="1"/>
  <c r="U585" i="1" s="1"/>
  <c r="P588" i="1"/>
  <c r="U604" i="1" a="1"/>
  <c r="U604" i="1" s="1"/>
  <c r="U611" i="1" a="1"/>
  <c r="U611" i="1" s="1"/>
  <c r="U613" i="1" a="1"/>
  <c r="U613" i="1" s="1"/>
  <c r="S613" i="1" a="1"/>
  <c r="S613" i="1" s="1"/>
  <c r="O613" i="1" a="1"/>
  <c r="O613" i="1" s="1"/>
  <c r="U640" i="1" a="1"/>
  <c r="U640" i="1" s="1"/>
  <c r="T640" i="1" a="1"/>
  <c r="T640" i="1" s="1"/>
  <c r="P640" i="1"/>
  <c r="O711" i="1" a="1"/>
  <c r="O711" i="1" s="1"/>
  <c r="U711" i="1" a="1"/>
  <c r="U711" i="1" s="1"/>
  <c r="T711" i="1" a="1"/>
  <c r="T711" i="1" s="1"/>
  <c r="S711" i="1" a="1"/>
  <c r="S711" i="1" s="1"/>
  <c r="P711" i="1"/>
  <c r="S528" i="1" a="1"/>
  <c r="S528" i="1" s="1"/>
  <c r="P530" i="1"/>
  <c r="O532" i="1" a="1"/>
  <c r="O532" i="1" s="1"/>
  <c r="P584" i="1"/>
  <c r="T584" i="1" a="1"/>
  <c r="T584" i="1" s="1"/>
  <c r="U592" i="1" a="1"/>
  <c r="U592" i="1" s="1"/>
  <c r="T592" i="1" a="1"/>
  <c r="T592" i="1" s="1"/>
  <c r="U626" i="1" a="1"/>
  <c r="U626" i="1" s="1"/>
  <c r="T626" i="1" a="1"/>
  <c r="T626" i="1" s="1"/>
  <c r="S626" i="1" a="1"/>
  <c r="S626" i="1" s="1"/>
  <c r="P626" i="1"/>
  <c r="O626" i="1" a="1"/>
  <c r="O626" i="1" s="1"/>
  <c r="S631" i="1" a="1"/>
  <c r="S631" i="1" s="1"/>
  <c r="P631" i="1"/>
  <c r="T631" i="1" a="1"/>
  <c r="T631" i="1" s="1"/>
  <c r="O640" i="1" a="1"/>
  <c r="O640" i="1" s="1"/>
  <c r="U601" i="1" a="1"/>
  <c r="U601" i="1" s="1"/>
  <c r="O601" i="1" a="1"/>
  <c r="O601" i="1" s="1"/>
  <c r="S606" i="1" a="1"/>
  <c r="S606" i="1" s="1"/>
  <c r="P606" i="1"/>
  <c r="O606" i="1" a="1"/>
  <c r="O606" i="1" s="1"/>
  <c r="U606" i="1" a="1"/>
  <c r="U606" i="1" s="1"/>
  <c r="U693" i="1" a="1"/>
  <c r="U693" i="1" s="1"/>
  <c r="T693" i="1" a="1"/>
  <c r="T693" i="1" s="1"/>
  <c r="S693" i="1" a="1"/>
  <c r="S693" i="1" s="1"/>
  <c r="P693" i="1"/>
  <c r="O693" i="1" a="1"/>
  <c r="O693" i="1" s="1"/>
  <c r="U717" i="1" a="1"/>
  <c r="U717" i="1" s="1"/>
  <c r="T717" i="1" a="1"/>
  <c r="T717" i="1" s="1"/>
  <c r="S717" i="1" a="1"/>
  <c r="S717" i="1" s="1"/>
  <c r="P717" i="1"/>
  <c r="O717" i="1" a="1"/>
  <c r="O717" i="1" s="1"/>
  <c r="T528" i="1" a="1"/>
  <c r="T528" i="1" s="1"/>
  <c r="S530" i="1" a="1"/>
  <c r="S530" i="1" s="1"/>
  <c r="P532" i="1"/>
  <c r="O534" i="1" a="1"/>
  <c r="O534" i="1" s="1"/>
  <c r="O569" i="1" a="1"/>
  <c r="O569" i="1" s="1"/>
  <c r="S588" i="1" a="1"/>
  <c r="S588" i="1" s="1"/>
  <c r="O592" i="1" a="1"/>
  <c r="O592" i="1" s="1"/>
  <c r="P601" i="1"/>
  <c r="P633" i="1"/>
  <c r="O633" i="1" a="1"/>
  <c r="O633" i="1" s="1"/>
  <c r="U633" i="1" a="1"/>
  <c r="U633" i="1" s="1"/>
  <c r="S633" i="1" a="1"/>
  <c r="S633" i="1" s="1"/>
  <c r="P557" i="1"/>
  <c r="P564" i="1"/>
  <c r="T565" i="1" a="1"/>
  <c r="T565" i="1" s="1"/>
  <c r="T576" i="1" a="1"/>
  <c r="T576" i="1" s="1"/>
  <c r="S580" i="1" a="1"/>
  <c r="S580" i="1" s="1"/>
  <c r="O584" i="1" a="1"/>
  <c r="O584" i="1" s="1"/>
  <c r="S601" i="1" a="1"/>
  <c r="S601" i="1" s="1"/>
  <c r="U615" i="1" a="1"/>
  <c r="U615" i="1" s="1"/>
  <c r="T615" i="1" a="1"/>
  <c r="T615" i="1" s="1"/>
  <c r="P615" i="1"/>
  <c r="U631" i="1" a="1"/>
  <c r="U631" i="1" s="1"/>
  <c r="U665" i="1" a="1"/>
  <c r="U665" i="1" s="1"/>
  <c r="T665" i="1" a="1"/>
  <c r="T665" i="1" s="1"/>
  <c r="S665" i="1" a="1"/>
  <c r="S665" i="1" s="1"/>
  <c r="P665" i="1"/>
  <c r="O665" i="1" a="1"/>
  <c r="O665" i="1" s="1"/>
  <c r="T556" i="1" a="1"/>
  <c r="T556" i="1" s="1"/>
  <c r="P569" i="1"/>
  <c r="T572" i="1" a="1"/>
  <c r="T572" i="1" s="1"/>
  <c r="S572" i="1" a="1"/>
  <c r="S572" i="1" s="1"/>
  <c r="P572" i="1"/>
  <c r="U580" i="1" a="1"/>
  <c r="U580" i="1" s="1"/>
  <c r="S584" i="1" a="1"/>
  <c r="S584" i="1" s="1"/>
  <c r="T588" i="1" a="1"/>
  <c r="T588" i="1" s="1"/>
  <c r="P592" i="1"/>
  <c r="T595" i="1" a="1"/>
  <c r="T595" i="1" s="1"/>
  <c r="S595" i="1" a="1"/>
  <c r="S595" i="1" s="1"/>
  <c r="P595" i="1"/>
  <c r="T601" i="1" a="1"/>
  <c r="T601" i="1" s="1"/>
  <c r="T606" i="1" a="1"/>
  <c r="T606" i="1" s="1"/>
  <c r="U576" i="1" a="1"/>
  <c r="U576" i="1" s="1"/>
  <c r="P608" i="1"/>
  <c r="O608" i="1" a="1"/>
  <c r="O608" i="1" s="1"/>
  <c r="U608" i="1" a="1"/>
  <c r="U608" i="1" s="1"/>
  <c r="T608" i="1" a="1"/>
  <c r="T608" i="1" s="1"/>
  <c r="S615" i="1" a="1"/>
  <c r="S615" i="1" s="1"/>
  <c r="T628" i="1" a="1"/>
  <c r="T628" i="1" s="1"/>
  <c r="S628" i="1" a="1"/>
  <c r="S628" i="1" s="1"/>
  <c r="P628" i="1"/>
  <c r="O628" i="1" a="1"/>
  <c r="O628" i="1" s="1"/>
  <c r="T633" i="1" a="1"/>
  <c r="T633" i="1" s="1"/>
  <c r="O635" i="1" a="1"/>
  <c r="O635" i="1" s="1"/>
  <c r="T635" i="1" a="1"/>
  <c r="T635" i="1" s="1"/>
  <c r="P635" i="1"/>
  <c r="U649" i="1" a="1"/>
  <c r="U649" i="1" s="1"/>
  <c r="T649" i="1" a="1"/>
  <c r="T649" i="1" s="1"/>
  <c r="S649" i="1" a="1"/>
  <c r="S649" i="1" s="1"/>
  <c r="P649" i="1"/>
  <c r="S659" i="1" a="1"/>
  <c r="S659" i="1" s="1"/>
  <c r="P659" i="1"/>
  <c r="O659" i="1" a="1"/>
  <c r="O659" i="1" s="1"/>
  <c r="U659" i="1" a="1"/>
  <c r="U659" i="1" s="1"/>
  <c r="T659" i="1" a="1"/>
  <c r="T659" i="1" s="1"/>
  <c r="U581" i="1" a="1"/>
  <c r="U581" i="1" s="1"/>
  <c r="U605" i="1" a="1"/>
  <c r="U605" i="1" s="1"/>
  <c r="U629" i="1" a="1"/>
  <c r="U629" i="1" s="1"/>
  <c r="O644" i="1" a="1"/>
  <c r="O644" i="1" s="1"/>
  <c r="U670" i="1" a="1"/>
  <c r="U670" i="1" s="1"/>
  <c r="T670" i="1" a="1"/>
  <c r="T670" i="1" s="1"/>
  <c r="S670" i="1" a="1"/>
  <c r="S670" i="1" s="1"/>
  <c r="P670" i="1"/>
  <c r="U714" i="1" a="1"/>
  <c r="U714" i="1" s="1"/>
  <c r="T714" i="1" a="1"/>
  <c r="T714" i="1" s="1"/>
  <c r="S714" i="1" a="1"/>
  <c r="S714" i="1" s="1"/>
  <c r="P714" i="1"/>
  <c r="O714" i="1" a="1"/>
  <c r="O714" i="1" s="1"/>
  <c r="O566" i="1" a="1"/>
  <c r="O566" i="1" s="1"/>
  <c r="T632" i="1" a="1"/>
  <c r="T632" i="1" s="1"/>
  <c r="P642" i="1"/>
  <c r="T672" i="1" a="1"/>
  <c r="T672" i="1" s="1"/>
  <c r="S672" i="1" a="1"/>
  <c r="S672" i="1" s="1"/>
  <c r="P672" i="1"/>
  <c r="O672" i="1" a="1"/>
  <c r="O672" i="1" s="1"/>
  <c r="S674" i="1" a="1"/>
  <c r="S674" i="1" s="1"/>
  <c r="P674" i="1"/>
  <c r="O674" i="1" a="1"/>
  <c r="O674" i="1" s="1"/>
  <c r="U653" i="1" a="1"/>
  <c r="U653" i="1" s="1"/>
  <c r="T653" i="1" a="1"/>
  <c r="T653" i="1" s="1"/>
  <c r="S653" i="1" a="1"/>
  <c r="S653" i="1" s="1"/>
  <c r="P653" i="1"/>
  <c r="U865" i="1" a="1"/>
  <c r="U865" i="1" s="1"/>
  <c r="T865" i="1" a="1"/>
  <c r="T865" i="1" s="1"/>
  <c r="S865" i="1" a="1"/>
  <c r="S865" i="1" s="1"/>
  <c r="P865" i="1"/>
  <c r="O865" i="1" a="1"/>
  <c r="O865" i="1" s="1"/>
  <c r="U632" i="1" a="1"/>
  <c r="U632" i="1" s="1"/>
  <c r="O653" i="1" a="1"/>
  <c r="O653" i="1" s="1"/>
  <c r="P662" i="1"/>
  <c r="O662" i="1" a="1"/>
  <c r="O662" i="1" s="1"/>
  <c r="T662" i="1" a="1"/>
  <c r="T662" i="1" s="1"/>
  <c r="S662" i="1" a="1"/>
  <c r="S662" i="1" s="1"/>
  <c r="T681" i="1" a="1"/>
  <c r="T681" i="1" s="1"/>
  <c r="S681" i="1" a="1"/>
  <c r="S681" i="1" s="1"/>
  <c r="P681" i="1"/>
  <c r="O681" i="1" a="1"/>
  <c r="O681" i="1" s="1"/>
  <c r="P686" i="1"/>
  <c r="O686" i="1" a="1"/>
  <c r="O686" i="1" s="1"/>
  <c r="T686" i="1" a="1"/>
  <c r="T686" i="1" s="1"/>
  <c r="S686" i="1" a="1"/>
  <c r="S686" i="1" s="1"/>
  <c r="S739" i="1" a="1"/>
  <c r="S739" i="1" s="1"/>
  <c r="P739" i="1"/>
  <c r="U739" i="1" a="1"/>
  <c r="U739" i="1" s="1"/>
  <c r="T739" i="1" a="1"/>
  <c r="T739" i="1" s="1"/>
  <c r="O739" i="1" a="1"/>
  <c r="O739" i="1" s="1"/>
  <c r="O768" i="1" a="1"/>
  <c r="O768" i="1" s="1"/>
  <c r="U768" i="1" a="1"/>
  <c r="U768" i="1" s="1"/>
  <c r="T768" i="1" a="1"/>
  <c r="T768" i="1" s="1"/>
  <c r="S768" i="1" a="1"/>
  <c r="S768" i="1" s="1"/>
  <c r="U774" i="1" a="1"/>
  <c r="U774" i="1" s="1"/>
  <c r="T774" i="1" a="1"/>
  <c r="T774" i="1" s="1"/>
  <c r="S774" i="1" a="1"/>
  <c r="S774" i="1" s="1"/>
  <c r="P774" i="1"/>
  <c r="O774" i="1" a="1"/>
  <c r="O774" i="1" s="1"/>
  <c r="U798" i="1" a="1"/>
  <c r="U798" i="1" s="1"/>
  <c r="T798" i="1" a="1"/>
  <c r="T798" i="1" s="1"/>
  <c r="S798" i="1" a="1"/>
  <c r="S798" i="1" s="1"/>
  <c r="P798" i="1"/>
  <c r="O798" i="1" a="1"/>
  <c r="O798" i="1" s="1"/>
  <c r="U656" i="1" a="1"/>
  <c r="U656" i="1" s="1"/>
  <c r="T656" i="1" a="1"/>
  <c r="T656" i="1" s="1"/>
  <c r="U695" i="1" a="1"/>
  <c r="U695" i="1" s="1"/>
  <c r="T695" i="1" a="1"/>
  <c r="T695" i="1" s="1"/>
  <c r="S695" i="1" a="1"/>
  <c r="S695" i="1" s="1"/>
  <c r="P695" i="1"/>
  <c r="O695" i="1" a="1"/>
  <c r="O695" i="1" s="1"/>
  <c r="U697" i="1" a="1"/>
  <c r="U697" i="1" s="1"/>
  <c r="T697" i="1" a="1"/>
  <c r="T697" i="1" s="1"/>
  <c r="S697" i="1" a="1"/>
  <c r="S697" i="1" s="1"/>
  <c r="P697" i="1"/>
  <c r="O697" i="1" a="1"/>
  <c r="O697" i="1" s="1"/>
  <c r="O620" i="1" a="1"/>
  <c r="O620" i="1" s="1"/>
  <c r="P742" i="1"/>
  <c r="U742" i="1" a="1"/>
  <c r="U742" i="1" s="1"/>
  <c r="P791" i="1"/>
  <c r="O791" i="1" a="1"/>
  <c r="O791" i="1" s="1"/>
  <c r="U791" i="1" a="1"/>
  <c r="U791" i="1" s="1"/>
  <c r="S791" i="1" a="1"/>
  <c r="S791" i="1" s="1"/>
  <c r="U644" i="1" a="1"/>
  <c r="U644" i="1" s="1"/>
  <c r="P656" i="1"/>
  <c r="U662" i="1" a="1"/>
  <c r="U662" i="1" s="1"/>
  <c r="S683" i="1" a="1"/>
  <c r="S683" i="1" s="1"/>
  <c r="P683" i="1"/>
  <c r="O683" i="1" a="1"/>
  <c r="O683" i="1" s="1"/>
  <c r="U686" i="1" a="1"/>
  <c r="U686" i="1" s="1"/>
  <c r="O688" i="1" a="1"/>
  <c r="O688" i="1" s="1"/>
  <c r="U688" i="1" a="1"/>
  <c r="U688" i="1" s="1"/>
  <c r="S688" i="1" a="1"/>
  <c r="S688" i="1" s="1"/>
  <c r="P688" i="1"/>
  <c r="U716" i="1" a="1"/>
  <c r="U716" i="1" s="1"/>
  <c r="T716" i="1" a="1"/>
  <c r="T716" i="1" s="1"/>
  <c r="S716" i="1" a="1"/>
  <c r="S716" i="1" s="1"/>
  <c r="P716" i="1"/>
  <c r="O716" i="1" a="1"/>
  <c r="O716" i="1" s="1"/>
  <c r="O720" i="1" a="1"/>
  <c r="O720" i="1" s="1"/>
  <c r="T720" i="1" a="1"/>
  <c r="T720" i="1" s="1"/>
  <c r="U720" i="1" a="1"/>
  <c r="U720" i="1" s="1"/>
  <c r="S720" i="1" a="1"/>
  <c r="S720" i="1" s="1"/>
  <c r="P720" i="1"/>
  <c r="P732" i="1"/>
  <c r="O732" i="1" a="1"/>
  <c r="O732" i="1" s="1"/>
  <c r="U732" i="1" a="1"/>
  <c r="U732" i="1" s="1"/>
  <c r="T732" i="1" a="1"/>
  <c r="T732" i="1" s="1"/>
  <c r="S732" i="1" a="1"/>
  <c r="S732" i="1" s="1"/>
  <c r="O742" i="1" a="1"/>
  <c r="O742" i="1" s="1"/>
  <c r="T791" i="1" a="1"/>
  <c r="T791" i="1" s="1"/>
  <c r="P620" i="1"/>
  <c r="S656" i="1" a="1"/>
  <c r="S656" i="1" s="1"/>
  <c r="O664" i="1" a="1"/>
  <c r="O664" i="1" s="1"/>
  <c r="U664" i="1" a="1"/>
  <c r="U664" i="1" s="1"/>
  <c r="S664" i="1" a="1"/>
  <c r="S664" i="1" s="1"/>
  <c r="P664" i="1"/>
  <c r="U669" i="1" a="1"/>
  <c r="U669" i="1" s="1"/>
  <c r="T669" i="1" a="1"/>
  <c r="T669" i="1" s="1"/>
  <c r="S669" i="1" a="1"/>
  <c r="S669" i="1" s="1"/>
  <c r="P669" i="1"/>
  <c r="S708" i="1" a="1"/>
  <c r="S708" i="1" s="1"/>
  <c r="P708" i="1"/>
  <c r="U708" i="1" a="1"/>
  <c r="U708" i="1" s="1"/>
  <c r="T708" i="1" a="1"/>
  <c r="T708" i="1" s="1"/>
  <c r="U718" i="1" a="1"/>
  <c r="U718" i="1" s="1"/>
  <c r="T718" i="1" a="1"/>
  <c r="T718" i="1" s="1"/>
  <c r="S718" i="1" a="1"/>
  <c r="S718" i="1" s="1"/>
  <c r="P718" i="1"/>
  <c r="O718" i="1" a="1"/>
  <c r="O718" i="1" s="1"/>
  <c r="S742" i="1" a="1"/>
  <c r="S742" i="1" s="1"/>
  <c r="T617" i="1" a="1"/>
  <c r="T617" i="1" s="1"/>
  <c r="U671" i="1" a="1"/>
  <c r="U671" i="1" s="1"/>
  <c r="T671" i="1" a="1"/>
  <c r="T671" i="1" s="1"/>
  <c r="S671" i="1" a="1"/>
  <c r="S671" i="1" s="1"/>
  <c r="P671" i="1"/>
  <c r="O671" i="1" a="1"/>
  <c r="O671" i="1" s="1"/>
  <c r="O708" i="1" a="1"/>
  <c r="O708" i="1" s="1"/>
  <c r="T728" i="1" a="1"/>
  <c r="T728" i="1" s="1"/>
  <c r="P728" i="1"/>
  <c r="U728" i="1" a="1"/>
  <c r="U728" i="1" s="1"/>
  <c r="S728" i="1" a="1"/>
  <c r="S728" i="1" s="1"/>
  <c r="O728" i="1" a="1"/>
  <c r="O728" i="1" s="1"/>
  <c r="T742" i="1" a="1"/>
  <c r="T742" i="1" s="1"/>
  <c r="U805" i="1" a="1"/>
  <c r="U805" i="1" s="1"/>
  <c r="S805" i="1" a="1"/>
  <c r="S805" i="1" s="1"/>
  <c r="P805" i="1"/>
  <c r="O805" i="1" a="1"/>
  <c r="O805" i="1" s="1"/>
  <c r="T805" i="1" a="1"/>
  <c r="T805" i="1" s="1"/>
  <c r="S620" i="1" a="1"/>
  <c r="S620" i="1" s="1"/>
  <c r="T683" i="1" a="1"/>
  <c r="T683" i="1" s="1"/>
  <c r="U690" i="1" a="1"/>
  <c r="U690" i="1" s="1"/>
  <c r="T690" i="1" a="1"/>
  <c r="T690" i="1" s="1"/>
  <c r="P690" i="1"/>
  <c r="O690" i="1" a="1"/>
  <c r="O690" i="1" s="1"/>
  <c r="U655" i="1" a="1"/>
  <c r="U655" i="1" s="1"/>
  <c r="T655" i="1" a="1"/>
  <c r="T655" i="1" s="1"/>
  <c r="S655" i="1" a="1"/>
  <c r="S655" i="1" s="1"/>
  <c r="P655" i="1"/>
  <c r="O655" i="1" a="1"/>
  <c r="O655" i="1" s="1"/>
  <c r="U683" i="1" a="1"/>
  <c r="U683" i="1" s="1"/>
  <c r="T688" i="1" a="1"/>
  <c r="T688" i="1" s="1"/>
  <c r="S740" i="1" a="1"/>
  <c r="S740" i="1" s="1"/>
  <c r="U740" i="1" a="1"/>
  <c r="U740" i="1" s="1"/>
  <c r="T740" i="1" a="1"/>
  <c r="T740" i="1" s="1"/>
  <c r="P740" i="1"/>
  <c r="O740" i="1" a="1"/>
  <c r="O740" i="1" s="1"/>
  <c r="U799" i="1" a="1"/>
  <c r="U799" i="1" s="1"/>
  <c r="T799" i="1" a="1"/>
  <c r="T799" i="1" s="1"/>
  <c r="S799" i="1" a="1"/>
  <c r="S799" i="1" s="1"/>
  <c r="P799" i="1"/>
  <c r="O799" i="1" a="1"/>
  <c r="O799" i="1" s="1"/>
  <c r="T620" i="1" a="1"/>
  <c r="T620" i="1" s="1"/>
  <c r="T658" i="1" a="1"/>
  <c r="T658" i="1" s="1"/>
  <c r="S658" i="1" a="1"/>
  <c r="S658" i="1" s="1"/>
  <c r="P661" i="1"/>
  <c r="O661" i="1" a="1"/>
  <c r="O661" i="1" s="1"/>
  <c r="T664" i="1" a="1"/>
  <c r="T664" i="1" s="1"/>
  <c r="U666" i="1" a="1"/>
  <c r="U666" i="1" s="1"/>
  <c r="T666" i="1" a="1"/>
  <c r="T666" i="1" s="1"/>
  <c r="P666" i="1"/>
  <c r="O666" i="1" a="1"/>
  <c r="O666" i="1" s="1"/>
  <c r="U673" i="1" a="1"/>
  <c r="U673" i="1" s="1"/>
  <c r="T673" i="1" a="1"/>
  <c r="T673" i="1" s="1"/>
  <c r="S673" i="1" a="1"/>
  <c r="S673" i="1" s="1"/>
  <c r="P673" i="1"/>
  <c r="O673" i="1" a="1"/>
  <c r="O673" i="1" s="1"/>
  <c r="U675" i="1" a="1"/>
  <c r="U675" i="1" s="1"/>
  <c r="T675" i="1" a="1"/>
  <c r="T675" i="1" s="1"/>
  <c r="S675" i="1" a="1"/>
  <c r="S675" i="1" s="1"/>
  <c r="P675" i="1"/>
  <c r="O675" i="1" a="1"/>
  <c r="O675" i="1" s="1"/>
  <c r="U701" i="1" a="1"/>
  <c r="U701" i="1" s="1"/>
  <c r="T701" i="1" a="1"/>
  <c r="T701" i="1" s="1"/>
  <c r="S701" i="1" a="1"/>
  <c r="S701" i="1" s="1"/>
  <c r="P701" i="1"/>
  <c r="O701" i="1" a="1"/>
  <c r="O701" i="1" s="1"/>
  <c r="U736" i="1" a="1"/>
  <c r="U736" i="1" s="1"/>
  <c r="T736" i="1" a="1"/>
  <c r="T736" i="1" s="1"/>
  <c r="S736" i="1" a="1"/>
  <c r="S736" i="1" s="1"/>
  <c r="P736" i="1"/>
  <c r="O736" i="1" a="1"/>
  <c r="O736" i="1" s="1"/>
  <c r="U749" i="1" a="1"/>
  <c r="U749" i="1" s="1"/>
  <c r="S749" i="1" a="1"/>
  <c r="S749" i="1" s="1"/>
  <c r="P749" i="1"/>
  <c r="T749" i="1" a="1"/>
  <c r="T749" i="1" s="1"/>
  <c r="O749" i="1" a="1"/>
  <c r="O749" i="1" s="1"/>
  <c r="P685" i="1"/>
  <c r="O685" i="1" a="1"/>
  <c r="O685" i="1" s="1"/>
  <c r="P710" i="1"/>
  <c r="O710" i="1" a="1"/>
  <c r="O710" i="1" s="1"/>
  <c r="U710" i="1" a="1"/>
  <c r="U710" i="1" s="1"/>
  <c r="T710" i="1" a="1"/>
  <c r="T710" i="1" s="1"/>
  <c r="S710" i="1" a="1"/>
  <c r="S710" i="1" s="1"/>
  <c r="T839" i="1" a="1"/>
  <c r="T839" i="1" s="1"/>
  <c r="S839" i="1" a="1"/>
  <c r="S839" i="1" s="1"/>
  <c r="O839" i="1" a="1"/>
  <c r="O839" i="1" s="1"/>
  <c r="U839" i="1" a="1"/>
  <c r="U839" i="1" s="1"/>
  <c r="P839" i="1"/>
  <c r="U651" i="1" a="1"/>
  <c r="U651" i="1" s="1"/>
  <c r="T651" i="1" a="1"/>
  <c r="T651" i="1" s="1"/>
  <c r="S651" i="1" a="1"/>
  <c r="S651" i="1" s="1"/>
  <c r="T682" i="1" a="1"/>
  <c r="T682" i="1" s="1"/>
  <c r="S682" i="1" a="1"/>
  <c r="S682" i="1" s="1"/>
  <c r="U682" i="1" a="1"/>
  <c r="U682" i="1" s="1"/>
  <c r="S685" i="1" a="1"/>
  <c r="S685" i="1" s="1"/>
  <c r="U703" i="1" a="1"/>
  <c r="U703" i="1" s="1"/>
  <c r="T703" i="1" a="1"/>
  <c r="T703" i="1" s="1"/>
  <c r="S703" i="1" a="1"/>
  <c r="S703" i="1" s="1"/>
  <c r="P703" i="1"/>
  <c r="O703" i="1" a="1"/>
  <c r="O703" i="1" s="1"/>
  <c r="O651" i="1" a="1"/>
  <c r="O651" i="1" s="1"/>
  <c r="U677" i="1" a="1"/>
  <c r="U677" i="1" s="1"/>
  <c r="T677" i="1" a="1"/>
  <c r="T677" i="1" s="1"/>
  <c r="S677" i="1" a="1"/>
  <c r="S677" i="1" s="1"/>
  <c r="P677" i="1"/>
  <c r="O677" i="1" a="1"/>
  <c r="O677" i="1" s="1"/>
  <c r="T685" i="1" a="1"/>
  <c r="T685" i="1" s="1"/>
  <c r="S698" i="1" a="1"/>
  <c r="S698" i="1" s="1"/>
  <c r="P698" i="1"/>
  <c r="O698" i="1" a="1"/>
  <c r="O698" i="1" s="1"/>
  <c r="O632" i="1" a="1"/>
  <c r="O632" i="1" s="1"/>
  <c r="O663" i="1" a="1"/>
  <c r="O663" i="1" s="1"/>
  <c r="U663" i="1" a="1"/>
  <c r="U663" i="1" s="1"/>
  <c r="P682" i="1"/>
  <c r="O687" i="1" a="1"/>
  <c r="O687" i="1" s="1"/>
  <c r="U687" i="1" a="1"/>
  <c r="U687" i="1" s="1"/>
  <c r="T696" i="1" a="1"/>
  <c r="T696" i="1" s="1"/>
  <c r="S696" i="1" a="1"/>
  <c r="S696" i="1" s="1"/>
  <c r="P696" i="1"/>
  <c r="O696" i="1" a="1"/>
  <c r="O696" i="1" s="1"/>
  <c r="T705" i="1" a="1"/>
  <c r="T705" i="1" s="1"/>
  <c r="S705" i="1" a="1"/>
  <c r="S705" i="1" s="1"/>
  <c r="P705" i="1"/>
  <c r="O705" i="1" a="1"/>
  <c r="O705" i="1" s="1"/>
  <c r="O712" i="1" a="1"/>
  <c r="O712" i="1" s="1"/>
  <c r="U712" i="1" a="1"/>
  <c r="U712" i="1" s="1"/>
  <c r="T712" i="1" a="1"/>
  <c r="T712" i="1" s="1"/>
  <c r="S712" i="1" a="1"/>
  <c r="S712" i="1" s="1"/>
  <c r="P712" i="1"/>
  <c r="S581" i="1" a="1"/>
  <c r="S581" i="1" s="1"/>
  <c r="S605" i="1" a="1"/>
  <c r="S605" i="1" s="1"/>
  <c r="S629" i="1" a="1"/>
  <c r="S629" i="1" s="1"/>
  <c r="P663" i="1"/>
  <c r="P687" i="1"/>
  <c r="U692" i="1" a="1"/>
  <c r="U692" i="1" s="1"/>
  <c r="T692" i="1" a="1"/>
  <c r="T692" i="1" s="1"/>
  <c r="S692" i="1" a="1"/>
  <c r="S692" i="1" s="1"/>
  <c r="P692" i="1"/>
  <c r="O692" i="1" a="1"/>
  <c r="O692" i="1" s="1"/>
  <c r="U694" i="1" a="1"/>
  <c r="U694" i="1" s="1"/>
  <c r="T694" i="1" a="1"/>
  <c r="T694" i="1" s="1"/>
  <c r="S694" i="1" a="1"/>
  <c r="S694" i="1" s="1"/>
  <c r="P694" i="1"/>
  <c r="O694" i="1" a="1"/>
  <c r="O694" i="1" s="1"/>
  <c r="U696" i="1" a="1"/>
  <c r="U696" i="1" s="1"/>
  <c r="O743" i="1" a="1"/>
  <c r="O743" i="1" s="1"/>
  <c r="U743" i="1" a="1"/>
  <c r="U743" i="1" s="1"/>
  <c r="T743" i="1" a="1"/>
  <c r="T743" i="1" s="1"/>
  <c r="S743" i="1" a="1"/>
  <c r="S743" i="1" s="1"/>
  <c r="P743" i="1"/>
  <c r="T752" i="1" a="1"/>
  <c r="T752" i="1" s="1"/>
  <c r="S752" i="1" a="1"/>
  <c r="S752" i="1" s="1"/>
  <c r="P752" i="1"/>
  <c r="U752" i="1" a="1"/>
  <c r="U752" i="1" s="1"/>
  <c r="O752" i="1" a="1"/>
  <c r="O752" i="1" s="1"/>
  <c r="P632" i="1"/>
  <c r="S660" i="1" a="1"/>
  <c r="S660" i="1" s="1"/>
  <c r="P660" i="1"/>
  <c r="U660" i="1" a="1"/>
  <c r="U660" i="1" s="1"/>
  <c r="T660" i="1" a="1"/>
  <c r="T660" i="1" s="1"/>
  <c r="S663" i="1" a="1"/>
  <c r="S663" i="1" s="1"/>
  <c r="S687" i="1" a="1"/>
  <c r="S687" i="1" s="1"/>
  <c r="U689" i="1" a="1"/>
  <c r="U689" i="1" s="1"/>
  <c r="T689" i="1" a="1"/>
  <c r="T689" i="1" s="1"/>
  <c r="T663" i="1" a="1"/>
  <c r="T663" i="1" s="1"/>
  <c r="U668" i="1" a="1"/>
  <c r="U668" i="1" s="1"/>
  <c r="T668" i="1" a="1"/>
  <c r="T668" i="1" s="1"/>
  <c r="S668" i="1" a="1"/>
  <c r="S668" i="1" s="1"/>
  <c r="O668" i="1" a="1"/>
  <c r="O668" i="1" s="1"/>
  <c r="S684" i="1" a="1"/>
  <c r="S684" i="1" s="1"/>
  <c r="P684" i="1"/>
  <c r="U684" i="1" a="1"/>
  <c r="U684" i="1" s="1"/>
  <c r="T684" i="1" a="1"/>
  <c r="T684" i="1" s="1"/>
  <c r="T687" i="1" a="1"/>
  <c r="T687" i="1" s="1"/>
  <c r="O689" i="1" a="1"/>
  <c r="O689" i="1" s="1"/>
  <c r="U705" i="1" a="1"/>
  <c r="U705" i="1" s="1"/>
  <c r="U725" i="1" a="1"/>
  <c r="U725" i="1" s="1"/>
  <c r="S725" i="1" a="1"/>
  <c r="S725" i="1" s="1"/>
  <c r="P725" i="1"/>
  <c r="T725" i="1" a="1"/>
  <c r="T725" i="1" s="1"/>
  <c r="O725" i="1" a="1"/>
  <c r="O725" i="1" s="1"/>
  <c r="P741" i="1"/>
  <c r="O741" i="1" a="1"/>
  <c r="O741" i="1" s="1"/>
  <c r="U741" i="1" a="1"/>
  <c r="U741" i="1" s="1"/>
  <c r="T741" i="1" a="1"/>
  <c r="T741" i="1" s="1"/>
  <c r="S741" i="1" a="1"/>
  <c r="S741" i="1" s="1"/>
  <c r="P756" i="1"/>
  <c r="O756" i="1" a="1"/>
  <c r="O756" i="1" s="1"/>
  <c r="U784" i="1" a="1"/>
  <c r="U784" i="1" s="1"/>
  <c r="T784" i="1" a="1"/>
  <c r="T784" i="1" s="1"/>
  <c r="S784" i="1" a="1"/>
  <c r="S784" i="1" s="1"/>
  <c r="P784" i="1"/>
  <c r="O784" i="1" a="1"/>
  <c r="O784" i="1" s="1"/>
  <c r="T857" i="1" a="1"/>
  <c r="T857" i="1" s="1"/>
  <c r="O857" i="1" a="1"/>
  <c r="O857" i="1" s="1"/>
  <c r="U857" i="1" a="1"/>
  <c r="U857" i="1" s="1"/>
  <c r="S857" i="1" a="1"/>
  <c r="S857" i="1" s="1"/>
  <c r="T724" i="1" a="1"/>
  <c r="T724" i="1" s="1"/>
  <c r="P724" i="1"/>
  <c r="U745" i="1" a="1"/>
  <c r="U745" i="1" s="1"/>
  <c r="T745" i="1" a="1"/>
  <c r="T745" i="1" s="1"/>
  <c r="S788" i="1" a="1"/>
  <c r="S788" i="1" s="1"/>
  <c r="P788" i="1"/>
  <c r="O788" i="1" a="1"/>
  <c r="O788" i="1" s="1"/>
  <c r="U773" i="1" a="1"/>
  <c r="U773" i="1" s="1"/>
  <c r="T773" i="1" a="1"/>
  <c r="T773" i="1" s="1"/>
  <c r="S773" i="1" a="1"/>
  <c r="S773" i="1" s="1"/>
  <c r="P773" i="1"/>
  <c r="U777" i="1" a="1"/>
  <c r="U777" i="1" s="1"/>
  <c r="T777" i="1" a="1"/>
  <c r="T777" i="1" s="1"/>
  <c r="S777" i="1" a="1"/>
  <c r="S777" i="1" s="1"/>
  <c r="P777" i="1"/>
  <c r="O777" i="1" a="1"/>
  <c r="O777" i="1" s="1"/>
  <c r="U807" i="1" a="1"/>
  <c r="U807" i="1" s="1"/>
  <c r="T807" i="1" a="1"/>
  <c r="T807" i="1" s="1"/>
  <c r="P807" i="1"/>
  <c r="O807" i="1" a="1"/>
  <c r="O807" i="1" s="1"/>
  <c r="T713" i="1" a="1"/>
  <c r="T713" i="1" s="1"/>
  <c r="O724" i="1" a="1"/>
  <c r="O724" i="1" s="1"/>
  <c r="P745" i="1"/>
  <c r="T756" i="1" a="1"/>
  <c r="T756" i="1" s="1"/>
  <c r="T762" i="1" a="1"/>
  <c r="T762" i="1" s="1"/>
  <c r="P762" i="1"/>
  <c r="S807" i="1" a="1"/>
  <c r="S807" i="1" s="1"/>
  <c r="P819" i="1"/>
  <c r="O819" i="1" a="1"/>
  <c r="O819" i="1" s="1"/>
  <c r="T819" i="1" a="1"/>
  <c r="T819" i="1" s="1"/>
  <c r="S819" i="1" a="1"/>
  <c r="S819" i="1" s="1"/>
  <c r="U913" i="1" a="1"/>
  <c r="U913" i="1" s="1"/>
  <c r="T913" i="1" a="1"/>
  <c r="T913" i="1" s="1"/>
  <c r="S913" i="1" a="1"/>
  <c r="S913" i="1" s="1"/>
  <c r="P913" i="1"/>
  <c r="O913" i="1" a="1"/>
  <c r="O913" i="1" s="1"/>
  <c r="T723" i="1" a="1"/>
  <c r="T723" i="1" s="1"/>
  <c r="S723" i="1" a="1"/>
  <c r="S723" i="1" s="1"/>
  <c r="P755" i="1"/>
  <c r="U759" i="1" a="1"/>
  <c r="U759" i="1" s="1"/>
  <c r="T759" i="1" a="1"/>
  <c r="T759" i="1" s="1"/>
  <c r="P759" i="1"/>
  <c r="U770" i="1" a="1"/>
  <c r="U770" i="1" s="1"/>
  <c r="T770" i="1" a="1"/>
  <c r="T770" i="1" s="1"/>
  <c r="S770" i="1" a="1"/>
  <c r="S770" i="1" s="1"/>
  <c r="U775" i="1" a="1"/>
  <c r="U775" i="1" s="1"/>
  <c r="T775" i="1" a="1"/>
  <c r="T775" i="1" s="1"/>
  <c r="S775" i="1" a="1"/>
  <c r="S775" i="1" s="1"/>
  <c r="P775" i="1"/>
  <c r="O775" i="1" a="1"/>
  <c r="O775" i="1" s="1"/>
  <c r="S724" i="1" a="1"/>
  <c r="S724" i="1" s="1"/>
  <c r="P731" i="1"/>
  <c r="O744" i="1" a="1"/>
  <c r="O744" i="1" s="1"/>
  <c r="T744" i="1" a="1"/>
  <c r="T744" i="1" s="1"/>
  <c r="S745" i="1" a="1"/>
  <c r="S745" i="1" s="1"/>
  <c r="U748" i="1" a="1"/>
  <c r="U748" i="1" s="1"/>
  <c r="T748" i="1" a="1"/>
  <c r="T748" i="1" s="1"/>
  <c r="P748" i="1"/>
  <c r="U756" i="1" a="1"/>
  <c r="U756" i="1" s="1"/>
  <c r="O759" i="1" a="1"/>
  <c r="O759" i="1" s="1"/>
  <c r="O770" i="1" a="1"/>
  <c r="O770" i="1" s="1"/>
  <c r="O773" i="1" a="1"/>
  <c r="O773" i="1" s="1"/>
  <c r="O731" i="1" a="1"/>
  <c r="O731" i="1" s="1"/>
  <c r="S755" i="1" a="1"/>
  <c r="S755" i="1" s="1"/>
  <c r="P790" i="1"/>
  <c r="O790" i="1" a="1"/>
  <c r="O790" i="1" s="1"/>
  <c r="U790" i="1" a="1"/>
  <c r="U790" i="1" s="1"/>
  <c r="U866" i="1" a="1"/>
  <c r="U866" i="1" s="1"/>
  <c r="T866" i="1" a="1"/>
  <c r="T866" i="1" s="1"/>
  <c r="S866" i="1" a="1"/>
  <c r="S866" i="1" s="1"/>
  <c r="P866" i="1"/>
  <c r="O866" i="1" a="1"/>
  <c r="O866" i="1" s="1"/>
  <c r="O699" i="1" a="1"/>
  <c r="O699" i="1" s="1"/>
  <c r="U724" i="1" a="1"/>
  <c r="U724" i="1" s="1"/>
  <c r="T727" i="1" a="1"/>
  <c r="T727" i="1" s="1"/>
  <c r="P727" i="1"/>
  <c r="O727" i="1" a="1"/>
  <c r="O727" i="1" s="1"/>
  <c r="S731" i="1" a="1"/>
  <c r="S731" i="1" s="1"/>
  <c r="U735" i="1" a="1"/>
  <c r="U735" i="1" s="1"/>
  <c r="T735" i="1" a="1"/>
  <c r="T735" i="1" s="1"/>
  <c r="P770" i="1"/>
  <c r="U781" i="1" a="1"/>
  <c r="U781" i="1" s="1"/>
  <c r="S781" i="1" a="1"/>
  <c r="S781" i="1" s="1"/>
  <c r="P781" i="1"/>
  <c r="O781" i="1" a="1"/>
  <c r="O781" i="1" s="1"/>
  <c r="S790" i="1" a="1"/>
  <c r="S790" i="1" s="1"/>
  <c r="U870" i="1" a="1"/>
  <c r="U870" i="1" s="1"/>
  <c r="T870" i="1" a="1"/>
  <c r="T870" i="1" s="1"/>
  <c r="S870" i="1" a="1"/>
  <c r="S870" i="1" s="1"/>
  <c r="P870" i="1"/>
  <c r="O870" i="1" a="1"/>
  <c r="O870" i="1" s="1"/>
  <c r="O676" i="1" a="1"/>
  <c r="O676" i="1" s="1"/>
  <c r="O700" i="1" a="1"/>
  <c r="O700" i="1" s="1"/>
  <c r="O735" i="1" a="1"/>
  <c r="O735" i="1" s="1"/>
  <c r="P744" i="1"/>
  <c r="O748" i="1" a="1"/>
  <c r="O748" i="1" s="1"/>
  <c r="T755" i="1" a="1"/>
  <c r="T755" i="1" s="1"/>
  <c r="S759" i="1" a="1"/>
  <c r="S759" i="1" s="1"/>
  <c r="U809" i="1" a="1"/>
  <c r="U809" i="1" s="1"/>
  <c r="T809" i="1" a="1"/>
  <c r="T809" i="1" s="1"/>
  <c r="S809" i="1" a="1"/>
  <c r="S809" i="1" s="1"/>
  <c r="O809" i="1" a="1"/>
  <c r="O809" i="1" s="1"/>
  <c r="S814" i="1" a="1"/>
  <c r="S814" i="1" s="1"/>
  <c r="P814" i="1"/>
  <c r="O814" i="1" a="1"/>
  <c r="O814" i="1" s="1"/>
  <c r="T751" i="1" a="1"/>
  <c r="T751" i="1" s="1"/>
  <c r="P751" i="1"/>
  <c r="O751" i="1" a="1"/>
  <c r="O751" i="1" s="1"/>
  <c r="S764" i="1" a="1"/>
  <c r="S764" i="1" s="1"/>
  <c r="O764" i="1" a="1"/>
  <c r="O764" i="1" s="1"/>
  <c r="P767" i="1"/>
  <c r="O767" i="1" a="1"/>
  <c r="O767" i="1" s="1"/>
  <c r="U767" i="1" a="1"/>
  <c r="U767" i="1" s="1"/>
  <c r="U785" i="1" a="1"/>
  <c r="U785" i="1" s="1"/>
  <c r="T785" i="1" a="1"/>
  <c r="T785" i="1" s="1"/>
  <c r="S785" i="1" a="1"/>
  <c r="S785" i="1" s="1"/>
  <c r="O785" i="1" a="1"/>
  <c r="O785" i="1" s="1"/>
  <c r="O792" i="1" a="1"/>
  <c r="O792" i="1" s="1"/>
  <c r="U792" i="1" a="1"/>
  <c r="U792" i="1" s="1"/>
  <c r="T792" i="1" a="1"/>
  <c r="T792" i="1" s="1"/>
  <c r="U804" i="1" a="1"/>
  <c r="U804" i="1" s="1"/>
  <c r="T804" i="1" a="1"/>
  <c r="T804" i="1" s="1"/>
  <c r="S804" i="1" a="1"/>
  <c r="S804" i="1" s="1"/>
  <c r="P804" i="1"/>
  <c r="O804" i="1" a="1"/>
  <c r="O804" i="1" s="1"/>
  <c r="T842" i="1" a="1"/>
  <c r="T842" i="1" s="1"/>
  <c r="S842" i="1" a="1"/>
  <c r="S842" i="1" s="1"/>
  <c r="P842" i="1"/>
  <c r="O842" i="1" a="1"/>
  <c r="O842" i="1" s="1"/>
  <c r="U842" i="1" a="1"/>
  <c r="U842" i="1" s="1"/>
  <c r="U889" i="1" a="1"/>
  <c r="U889" i="1" s="1"/>
  <c r="T889" i="1" a="1"/>
  <c r="T889" i="1" s="1"/>
  <c r="S889" i="1" a="1"/>
  <c r="S889" i="1" s="1"/>
  <c r="P889" i="1"/>
  <c r="O889" i="1" a="1"/>
  <c r="O889" i="1" s="1"/>
  <c r="U893" i="1" a="1"/>
  <c r="U893" i="1" s="1"/>
  <c r="T893" i="1" a="1"/>
  <c r="T893" i="1" s="1"/>
  <c r="S893" i="1" a="1"/>
  <c r="S893" i="1" s="1"/>
  <c r="P893" i="1"/>
  <c r="O893" i="1" a="1"/>
  <c r="O893" i="1" s="1"/>
  <c r="U722" i="1" a="1"/>
  <c r="U722" i="1" s="1"/>
  <c r="S722" i="1" a="1"/>
  <c r="S722" i="1" s="1"/>
  <c r="P735" i="1"/>
  <c r="S744" i="1" a="1"/>
  <c r="S744" i="1" s="1"/>
  <c r="T747" i="1" a="1"/>
  <c r="T747" i="1" s="1"/>
  <c r="S747" i="1" a="1"/>
  <c r="S747" i="1" s="1"/>
  <c r="S748" i="1" a="1"/>
  <c r="S748" i="1" s="1"/>
  <c r="S754" i="1" a="1"/>
  <c r="S754" i="1" s="1"/>
  <c r="P754" i="1"/>
  <c r="O754" i="1" a="1"/>
  <c r="O754" i="1" s="1"/>
  <c r="U755" i="1" a="1"/>
  <c r="U755" i="1" s="1"/>
  <c r="U761" i="1" a="1"/>
  <c r="U761" i="1" s="1"/>
  <c r="T761" i="1" a="1"/>
  <c r="T761" i="1" s="1"/>
  <c r="S761" i="1" a="1"/>
  <c r="S761" i="1" s="1"/>
  <c r="O761" i="1" a="1"/>
  <c r="O761" i="1" s="1"/>
  <c r="U783" i="1" a="1"/>
  <c r="U783" i="1" s="1"/>
  <c r="T783" i="1" a="1"/>
  <c r="T783" i="1" s="1"/>
  <c r="P783" i="1"/>
  <c r="O783" i="1" a="1"/>
  <c r="O783" i="1" s="1"/>
  <c r="P785" i="1"/>
  <c r="S816" i="1" a="1"/>
  <c r="S816" i="1" s="1"/>
  <c r="P816" i="1"/>
  <c r="U816" i="1" a="1"/>
  <c r="U816" i="1" s="1"/>
  <c r="T816" i="1" a="1"/>
  <c r="T816" i="1" s="1"/>
  <c r="O816" i="1" a="1"/>
  <c r="O816" i="1" s="1"/>
  <c r="U864" i="1" a="1"/>
  <c r="U864" i="1" s="1"/>
  <c r="T864" i="1" a="1"/>
  <c r="T864" i="1" s="1"/>
  <c r="S864" i="1" a="1"/>
  <c r="S864" i="1" s="1"/>
  <c r="P864" i="1"/>
  <c r="O864" i="1" a="1"/>
  <c r="O864" i="1" s="1"/>
  <c r="O679" i="1" a="1"/>
  <c r="O679" i="1" s="1"/>
  <c r="S699" i="1" a="1"/>
  <c r="S699" i="1" s="1"/>
  <c r="U723" i="1" a="1"/>
  <c r="U723" i="1" s="1"/>
  <c r="S730" i="1" a="1"/>
  <c r="S730" i="1" s="1"/>
  <c r="P730" i="1"/>
  <c r="O730" i="1" a="1"/>
  <c r="O730" i="1" s="1"/>
  <c r="U731" i="1" a="1"/>
  <c r="U731" i="1" s="1"/>
  <c r="P764" i="1"/>
  <c r="S783" i="1" a="1"/>
  <c r="S783" i="1" s="1"/>
  <c r="T787" i="1" a="1"/>
  <c r="T787" i="1" s="1"/>
  <c r="S787" i="1" a="1"/>
  <c r="S787" i="1" s="1"/>
  <c r="P787" i="1"/>
  <c r="T811" i="1" a="1"/>
  <c r="T811" i="1" s="1"/>
  <c r="S811" i="1" a="1"/>
  <c r="S811" i="1" s="1"/>
  <c r="P811" i="1"/>
  <c r="T826" i="1" a="1"/>
  <c r="T826" i="1" s="1"/>
  <c r="S826" i="1" a="1"/>
  <c r="S826" i="1" s="1"/>
  <c r="P826" i="1"/>
  <c r="U826" i="1" a="1"/>
  <c r="U826" i="1" s="1"/>
  <c r="O826" i="1" a="1"/>
  <c r="O826" i="1" s="1"/>
  <c r="P830" i="1"/>
  <c r="O830" i="1" a="1"/>
  <c r="O830" i="1" s="1"/>
  <c r="U830" i="1" a="1"/>
  <c r="U830" i="1" s="1"/>
  <c r="T830" i="1" a="1"/>
  <c r="T830" i="1" s="1"/>
  <c r="S830" i="1" a="1"/>
  <c r="S830" i="1" s="1"/>
  <c r="T758" i="1" a="1"/>
  <c r="T758" i="1" s="1"/>
  <c r="O758" i="1" a="1"/>
  <c r="O758" i="1" s="1"/>
  <c r="S828" i="1" a="1"/>
  <c r="S828" i="1" s="1"/>
  <c r="P828" i="1"/>
  <c r="O828" i="1" a="1"/>
  <c r="O828" i="1" s="1"/>
  <c r="P679" i="1"/>
  <c r="T699" i="1" a="1"/>
  <c r="T699" i="1" s="1"/>
  <c r="O734" i="1" a="1"/>
  <c r="O734" i="1" s="1"/>
  <c r="O747" i="1" a="1"/>
  <c r="O747" i="1" s="1"/>
  <c r="U751" i="1" a="1"/>
  <c r="U751" i="1" s="1"/>
  <c r="T828" i="1" a="1"/>
  <c r="T828" i="1" s="1"/>
  <c r="U862" i="1" a="1"/>
  <c r="U862" i="1" s="1"/>
  <c r="T862" i="1" a="1"/>
  <c r="T862" i="1" s="1"/>
  <c r="S862" i="1" a="1"/>
  <c r="S862" i="1" s="1"/>
  <c r="P862" i="1"/>
  <c r="U726" i="1" a="1"/>
  <c r="U726" i="1" s="1"/>
  <c r="S726" i="1" a="1"/>
  <c r="S726" i="1" s="1"/>
  <c r="O726" i="1" a="1"/>
  <c r="O726" i="1" s="1"/>
  <c r="S679" i="1" a="1"/>
  <c r="S679" i="1" s="1"/>
  <c r="O707" i="1" a="1"/>
  <c r="O707" i="1" s="1"/>
  <c r="T738" i="1" a="1"/>
  <c r="T738" i="1" s="1"/>
  <c r="S758" i="1" a="1"/>
  <c r="S758" i="1" s="1"/>
  <c r="O769" i="1" a="1"/>
  <c r="O769" i="1" s="1"/>
  <c r="U769" i="1" a="1"/>
  <c r="U769" i="1" s="1"/>
  <c r="T769" i="1" a="1"/>
  <c r="T769" i="1" s="1"/>
  <c r="U797" i="1" a="1"/>
  <c r="U797" i="1" s="1"/>
  <c r="T797" i="1" a="1"/>
  <c r="T797" i="1" s="1"/>
  <c r="S797" i="1" a="1"/>
  <c r="S797" i="1" s="1"/>
  <c r="P797" i="1"/>
  <c r="U828" i="1" a="1"/>
  <c r="U828" i="1" s="1"/>
  <c r="T838" i="1" a="1"/>
  <c r="T838" i="1" s="1"/>
  <c r="S838" i="1" a="1"/>
  <c r="S838" i="1" s="1"/>
  <c r="P838" i="1"/>
  <c r="U838" i="1" a="1"/>
  <c r="U838" i="1" s="1"/>
  <c r="O838" i="1" a="1"/>
  <c r="O838" i="1" s="1"/>
  <c r="U746" i="1" a="1"/>
  <c r="U746" i="1" s="1"/>
  <c r="S746" i="1" a="1"/>
  <c r="S746" i="1" s="1"/>
  <c r="U794" i="1" a="1"/>
  <c r="U794" i="1" s="1"/>
  <c r="T794" i="1" a="1"/>
  <c r="T794" i="1" s="1"/>
  <c r="S794" i="1" a="1"/>
  <c r="S794" i="1" s="1"/>
  <c r="U801" i="1" a="1"/>
  <c r="U801" i="1" s="1"/>
  <c r="T801" i="1" a="1"/>
  <c r="T801" i="1" s="1"/>
  <c r="S801" i="1" a="1"/>
  <c r="S801" i="1" s="1"/>
  <c r="P801" i="1"/>
  <c r="O801" i="1" a="1"/>
  <c r="O801" i="1" s="1"/>
  <c r="T679" i="1" a="1"/>
  <c r="T679" i="1" s="1"/>
  <c r="P707" i="1"/>
  <c r="O709" i="1" a="1"/>
  <c r="O709" i="1" s="1"/>
  <c r="U721" i="1" a="1"/>
  <c r="U721" i="1" s="1"/>
  <c r="T721" i="1" a="1"/>
  <c r="T721" i="1" s="1"/>
  <c r="P726" i="1"/>
  <c r="S729" i="1" a="1"/>
  <c r="S729" i="1" s="1"/>
  <c r="O729" i="1" a="1"/>
  <c r="O729" i="1" s="1"/>
  <c r="S753" i="1" a="1"/>
  <c r="S753" i="1" s="1"/>
  <c r="O753" i="1" a="1"/>
  <c r="O753" i="1" s="1"/>
  <c r="U758" i="1" a="1"/>
  <c r="U758" i="1" s="1"/>
  <c r="O794" i="1" a="1"/>
  <c r="O794" i="1" s="1"/>
  <c r="S813" i="1" a="1"/>
  <c r="S813" i="1" s="1"/>
  <c r="P813" i="1"/>
  <c r="O813" i="1" a="1"/>
  <c r="O813" i="1" s="1"/>
  <c r="T680" i="1" a="1"/>
  <c r="T680" i="1" s="1"/>
  <c r="T704" i="1" a="1"/>
  <c r="T704" i="1" s="1"/>
  <c r="O746" i="1" a="1"/>
  <c r="O746" i="1" s="1"/>
  <c r="T763" i="1" a="1"/>
  <c r="T763" i="1" s="1"/>
  <c r="S763" i="1" a="1"/>
  <c r="S763" i="1" s="1"/>
  <c r="P763" i="1"/>
  <c r="P766" i="1"/>
  <c r="U766" i="1" a="1"/>
  <c r="U766" i="1" s="1"/>
  <c r="P709" i="1"/>
  <c r="T726" i="1" a="1"/>
  <c r="T726" i="1" s="1"/>
  <c r="P729" i="1"/>
  <c r="T734" i="1" a="1"/>
  <c r="T734" i="1" s="1"/>
  <c r="T737" i="1" a="1"/>
  <c r="T737" i="1" s="1"/>
  <c r="S737" i="1" a="1"/>
  <c r="S737" i="1" s="1"/>
  <c r="P753" i="1"/>
  <c r="O763" i="1" a="1"/>
  <c r="O763" i="1" s="1"/>
  <c r="O766" i="1" a="1"/>
  <c r="O766" i="1" s="1"/>
  <c r="S769" i="1" a="1"/>
  <c r="S769" i="1" s="1"/>
  <c r="U780" i="1" a="1"/>
  <c r="U780" i="1" s="1"/>
  <c r="T780" i="1" a="1"/>
  <c r="T780" i="1" s="1"/>
  <c r="S780" i="1" a="1"/>
  <c r="S780" i="1" s="1"/>
  <c r="P780" i="1"/>
  <c r="O780" i="1" a="1"/>
  <c r="O780" i="1" s="1"/>
  <c r="P794" i="1"/>
  <c r="P721" i="1"/>
  <c r="U734" i="1" a="1"/>
  <c r="U734" i="1" s="1"/>
  <c r="P738" i="1"/>
  <c r="P746" i="1"/>
  <c r="T753" i="1" a="1"/>
  <c r="T753" i="1" s="1"/>
  <c r="U760" i="1" a="1"/>
  <c r="U760" i="1" s="1"/>
  <c r="S760" i="1" a="1"/>
  <c r="S760" i="1" s="1"/>
  <c r="O760" i="1" a="1"/>
  <c r="O760" i="1" s="1"/>
  <c r="S766" i="1" a="1"/>
  <c r="S766" i="1" s="1"/>
  <c r="T813" i="1" a="1"/>
  <c r="T813" i="1" s="1"/>
  <c r="U831" i="1" a="1"/>
  <c r="U831" i="1" s="1"/>
  <c r="T831" i="1" a="1"/>
  <c r="T831" i="1" s="1"/>
  <c r="S831" i="1" a="1"/>
  <c r="S831" i="1" s="1"/>
  <c r="P831" i="1"/>
  <c r="U883" i="1" a="1"/>
  <c r="U883" i="1" s="1"/>
  <c r="T883" i="1" a="1"/>
  <c r="T883" i="1" s="1"/>
  <c r="S883" i="1" a="1"/>
  <c r="S883" i="1" s="1"/>
  <c r="U928" i="1" a="1"/>
  <c r="U928" i="1" s="1"/>
  <c r="T928" i="1" a="1"/>
  <c r="T928" i="1" s="1"/>
  <c r="S928" i="1" a="1"/>
  <c r="S928" i="1" s="1"/>
  <c r="P928" i="1"/>
  <c r="O928" i="1" a="1"/>
  <c r="O928" i="1" s="1"/>
  <c r="P920" i="1"/>
  <c r="O920" i="1" a="1"/>
  <c r="O920" i="1" s="1"/>
  <c r="U920" i="1" a="1"/>
  <c r="U920" i="1" s="1"/>
  <c r="T920" i="1" a="1"/>
  <c r="T920" i="1" s="1"/>
  <c r="S920" i="1" a="1"/>
  <c r="S920" i="1" s="1"/>
  <c r="T850" i="1" a="1"/>
  <c r="T850" i="1" s="1"/>
  <c r="S850" i="1" a="1"/>
  <c r="S850" i="1" s="1"/>
  <c r="P850" i="1"/>
  <c r="O850" i="1" a="1"/>
  <c r="O850" i="1" s="1"/>
  <c r="U850" i="1" a="1"/>
  <c r="U850" i="1" s="1"/>
  <c r="P883" i="1"/>
  <c r="U885" i="1" a="1"/>
  <c r="U885" i="1" s="1"/>
  <c r="T885" i="1" a="1"/>
  <c r="T885" i="1" s="1"/>
  <c r="S885" i="1" a="1"/>
  <c r="S885" i="1" s="1"/>
  <c r="P885" i="1"/>
  <c r="U887" i="1" a="1"/>
  <c r="U887" i="1" s="1"/>
  <c r="T887" i="1" a="1"/>
  <c r="T887" i="1" s="1"/>
  <c r="S887" i="1" a="1"/>
  <c r="S887" i="1" s="1"/>
  <c r="P887" i="1"/>
  <c r="O887" i="1" a="1"/>
  <c r="O887" i="1" s="1"/>
  <c r="S918" i="1" a="1"/>
  <c r="S918" i="1" s="1"/>
  <c r="P918" i="1"/>
  <c r="U918" i="1" a="1"/>
  <c r="U918" i="1" s="1"/>
  <c r="P772" i="1"/>
  <c r="P796" i="1"/>
  <c r="T827" i="1" a="1"/>
  <c r="T827" i="1" s="1"/>
  <c r="U835" i="1" a="1"/>
  <c r="U835" i="1" s="1"/>
  <c r="S835" i="1" a="1"/>
  <c r="S835" i="1" s="1"/>
  <c r="U868" i="1" a="1"/>
  <c r="U868" i="1" s="1"/>
  <c r="T868" i="1" a="1"/>
  <c r="T868" i="1" s="1"/>
  <c r="S868" i="1" a="1"/>
  <c r="S868" i="1" s="1"/>
  <c r="P868" i="1"/>
  <c r="O868" i="1" a="1"/>
  <c r="O868" i="1" s="1"/>
  <c r="O918" i="1" a="1"/>
  <c r="O918" i="1" s="1"/>
  <c r="S771" i="1" a="1"/>
  <c r="S771" i="1" s="1"/>
  <c r="T793" i="1" a="1"/>
  <c r="T793" i="1" s="1"/>
  <c r="S795" i="1" a="1"/>
  <c r="S795" i="1" s="1"/>
  <c r="S817" i="1" a="1"/>
  <c r="S817" i="1" s="1"/>
  <c r="P817" i="1"/>
  <c r="U821" i="1" a="1"/>
  <c r="U821" i="1" s="1"/>
  <c r="O821" i="1" a="1"/>
  <c r="O821" i="1" s="1"/>
  <c r="S852" i="1" a="1"/>
  <c r="S852" i="1" s="1"/>
  <c r="P852" i="1"/>
  <c r="O852" i="1" a="1"/>
  <c r="O852" i="1" s="1"/>
  <c r="U852" i="1" a="1"/>
  <c r="U852" i="1" s="1"/>
  <c r="T852" i="1" a="1"/>
  <c r="T852" i="1" s="1"/>
  <c r="U859" i="1" a="1"/>
  <c r="U859" i="1" s="1"/>
  <c r="S859" i="1" a="1"/>
  <c r="S859" i="1" s="1"/>
  <c r="U872" i="1" a="1"/>
  <c r="U872" i="1" s="1"/>
  <c r="T872" i="1" a="1"/>
  <c r="T872" i="1" s="1"/>
  <c r="S872" i="1" a="1"/>
  <c r="S872" i="1" s="1"/>
  <c r="P872" i="1"/>
  <c r="O872" i="1" a="1"/>
  <c r="O872" i="1" s="1"/>
  <c r="O885" i="1" a="1"/>
  <c r="O885" i="1" s="1"/>
  <c r="U895" i="1" a="1"/>
  <c r="U895" i="1" s="1"/>
  <c r="T895" i="1" a="1"/>
  <c r="T895" i="1" s="1"/>
  <c r="S895" i="1" a="1"/>
  <c r="S895" i="1" s="1"/>
  <c r="P895" i="1"/>
  <c r="O895" i="1" a="1"/>
  <c r="O895" i="1" s="1"/>
  <c r="S899" i="1" a="1"/>
  <c r="S899" i="1" s="1"/>
  <c r="P899" i="1"/>
  <c r="O899" i="1" a="1"/>
  <c r="O899" i="1" s="1"/>
  <c r="T899" i="1" a="1"/>
  <c r="T899" i="1" s="1"/>
  <c r="P901" i="1"/>
  <c r="O901" i="1" a="1"/>
  <c r="O901" i="1" s="1"/>
  <c r="S901" i="1" a="1"/>
  <c r="S901" i="1" s="1"/>
  <c r="T916" i="1" a="1"/>
  <c r="T916" i="1" s="1"/>
  <c r="S916" i="1" a="1"/>
  <c r="S916" i="1" s="1"/>
  <c r="U916" i="1" a="1"/>
  <c r="U916" i="1" s="1"/>
  <c r="P916" i="1"/>
  <c r="O916" i="1" a="1"/>
  <c r="O916" i="1" s="1"/>
  <c r="S772" i="1" a="1"/>
  <c r="S772" i="1" s="1"/>
  <c r="S796" i="1" a="1"/>
  <c r="S796" i="1" s="1"/>
  <c r="P854" i="1"/>
  <c r="O854" i="1" a="1"/>
  <c r="O854" i="1" s="1"/>
  <c r="T854" i="1" a="1"/>
  <c r="T854" i="1" s="1"/>
  <c r="S854" i="1" a="1"/>
  <c r="S854" i="1" s="1"/>
  <c r="U899" i="1" a="1"/>
  <c r="U899" i="1" s="1"/>
  <c r="T901" i="1" a="1"/>
  <c r="T901" i="1" s="1"/>
  <c r="O903" i="1" a="1"/>
  <c r="O903" i="1" s="1"/>
  <c r="U903" i="1" a="1"/>
  <c r="U903" i="1" s="1"/>
  <c r="P903" i="1"/>
  <c r="T918" i="1" a="1"/>
  <c r="T918" i="1" s="1"/>
  <c r="T847" i="1" a="1"/>
  <c r="T847" i="1" s="1"/>
  <c r="S847" i="1" a="1"/>
  <c r="S847" i="1" s="1"/>
  <c r="U901" i="1" a="1"/>
  <c r="U901" i="1" s="1"/>
  <c r="U914" i="1" a="1"/>
  <c r="U914" i="1" s="1"/>
  <c r="T914" i="1" a="1"/>
  <c r="T914" i="1" s="1"/>
  <c r="S914" i="1" a="1"/>
  <c r="S914" i="1" s="1"/>
  <c r="P914" i="1"/>
  <c r="O914" i="1" a="1"/>
  <c r="O914" i="1" s="1"/>
  <c r="U980" i="1" a="1"/>
  <c r="U980" i="1" s="1"/>
  <c r="T980" i="1" a="1"/>
  <c r="T980" i="1" s="1"/>
  <c r="S980" i="1" a="1"/>
  <c r="S980" i="1" s="1"/>
  <c r="P980" i="1"/>
  <c r="O980" i="1" a="1"/>
  <c r="O980" i="1" s="1"/>
  <c r="T772" i="1" a="1"/>
  <c r="T772" i="1" s="1"/>
  <c r="T796" i="1" a="1"/>
  <c r="T796" i="1" s="1"/>
  <c r="O802" i="1" a="1"/>
  <c r="O802" i="1" s="1"/>
  <c r="S825" i="1" a="1"/>
  <c r="S825" i="1" s="1"/>
  <c r="U844" i="1" a="1"/>
  <c r="U844" i="1" s="1"/>
  <c r="S844" i="1" a="1"/>
  <c r="S844" i="1" s="1"/>
  <c r="P844" i="1"/>
  <c r="O844" i="1" a="1"/>
  <c r="O844" i="1" s="1"/>
  <c r="O847" i="1" a="1"/>
  <c r="O847" i="1" s="1"/>
  <c r="T903" i="1" a="1"/>
  <c r="T903" i="1" s="1"/>
  <c r="U1020" i="1" a="1"/>
  <c r="U1020" i="1" s="1"/>
  <c r="T1020" i="1" a="1"/>
  <c r="T1020" i="1" s="1"/>
  <c r="S1020" i="1" a="1"/>
  <c r="S1020" i="1" s="1"/>
  <c r="P1020" i="1"/>
  <c r="O1020" i="1" a="1"/>
  <c r="O1020" i="1" s="1"/>
  <c r="O779" i="1" a="1"/>
  <c r="O779" i="1" s="1"/>
  <c r="O803" i="1" a="1"/>
  <c r="O803" i="1" s="1"/>
  <c r="O856" i="1" a="1"/>
  <c r="O856" i="1" s="1"/>
  <c r="U856" i="1" a="1"/>
  <c r="U856" i="1" s="1"/>
  <c r="S856" i="1" a="1"/>
  <c r="S856" i="1" s="1"/>
  <c r="P856" i="1"/>
  <c r="P878" i="1"/>
  <c r="O878" i="1" a="1"/>
  <c r="O878" i="1" s="1"/>
  <c r="T878" i="1" a="1"/>
  <c r="T878" i="1" s="1"/>
  <c r="S878" i="1" a="1"/>
  <c r="S878" i="1" s="1"/>
  <c r="U910" i="1" a="1"/>
  <c r="U910" i="1" s="1"/>
  <c r="T910" i="1" a="1"/>
  <c r="T910" i="1" s="1"/>
  <c r="S910" i="1" a="1"/>
  <c r="S910" i="1" s="1"/>
  <c r="P910" i="1"/>
  <c r="U912" i="1" a="1"/>
  <c r="U912" i="1" s="1"/>
  <c r="T912" i="1" a="1"/>
  <c r="T912" i="1" s="1"/>
  <c r="S912" i="1" a="1"/>
  <c r="S912" i="1" s="1"/>
  <c r="P912" i="1"/>
  <c r="O912" i="1" a="1"/>
  <c r="O912" i="1" s="1"/>
  <c r="P802" i="1"/>
  <c r="U834" i="1" a="1"/>
  <c r="U834" i="1" s="1"/>
  <c r="T834" i="1" a="1"/>
  <c r="T834" i="1" s="1"/>
  <c r="U854" i="1" a="1"/>
  <c r="U854" i="1" s="1"/>
  <c r="O880" i="1" a="1"/>
  <c r="O880" i="1" s="1"/>
  <c r="U880" i="1" a="1"/>
  <c r="U880" i="1" s="1"/>
  <c r="S880" i="1" a="1"/>
  <c r="S880" i="1" s="1"/>
  <c r="P880" i="1"/>
  <c r="U929" i="1" a="1"/>
  <c r="U929" i="1" s="1"/>
  <c r="T929" i="1" a="1"/>
  <c r="T929" i="1" s="1"/>
  <c r="S929" i="1" a="1"/>
  <c r="S929" i="1" s="1"/>
  <c r="O929" i="1" a="1"/>
  <c r="O929" i="1" s="1"/>
  <c r="P929" i="1"/>
  <c r="O733" i="1" a="1"/>
  <c r="O733" i="1" s="1"/>
  <c r="O757" i="1" a="1"/>
  <c r="O757" i="1" s="1"/>
  <c r="P779" i="1"/>
  <c r="P803" i="1"/>
  <c r="U820" i="1" a="1"/>
  <c r="U820" i="1" s="1"/>
  <c r="O820" i="1" a="1"/>
  <c r="O820" i="1" s="1"/>
  <c r="S841" i="1" a="1"/>
  <c r="S841" i="1" s="1"/>
  <c r="P841" i="1"/>
  <c r="U847" i="1" a="1"/>
  <c r="U847" i="1" s="1"/>
  <c r="U861" i="1" a="1"/>
  <c r="U861" i="1" s="1"/>
  <c r="T861" i="1" a="1"/>
  <c r="T861" i="1" s="1"/>
  <c r="P861" i="1"/>
  <c r="U890" i="1" a="1"/>
  <c r="U890" i="1" s="1"/>
  <c r="T890" i="1" a="1"/>
  <c r="T890" i="1" s="1"/>
  <c r="S890" i="1" a="1"/>
  <c r="S890" i="1" s="1"/>
  <c r="P890" i="1"/>
  <c r="O890" i="1" a="1"/>
  <c r="O890" i="1" s="1"/>
  <c r="O910" i="1" a="1"/>
  <c r="O910" i="1" s="1"/>
  <c r="S1014" i="1" a="1"/>
  <c r="S1014" i="1" s="1"/>
  <c r="P1014" i="1"/>
  <c r="O1014" i="1" a="1"/>
  <c r="O1014" i="1" s="1"/>
  <c r="U1014" i="1" a="1"/>
  <c r="U1014" i="1" s="1"/>
  <c r="T1014" i="1" a="1"/>
  <c r="T1014" i="1" s="1"/>
  <c r="O782" i="1" a="1"/>
  <c r="O782" i="1" s="1"/>
  <c r="O806" i="1" a="1"/>
  <c r="O806" i="1" s="1"/>
  <c r="P820" i="1"/>
  <c r="U824" i="1" a="1"/>
  <c r="U824" i="1" s="1"/>
  <c r="T824" i="1" a="1"/>
  <c r="T824" i="1" s="1"/>
  <c r="S824" i="1" a="1"/>
  <c r="S824" i="1" s="1"/>
  <c r="O834" i="1" a="1"/>
  <c r="O834" i="1" s="1"/>
  <c r="O841" i="1" a="1"/>
  <c r="O841" i="1" s="1"/>
  <c r="U878" i="1" a="1"/>
  <c r="U878" i="1" s="1"/>
  <c r="O921" i="1" a="1"/>
  <c r="O921" i="1" s="1"/>
  <c r="U921" i="1" a="1"/>
  <c r="U921" i="1" s="1"/>
  <c r="T921" i="1" a="1"/>
  <c r="T921" i="1" s="1"/>
  <c r="S921" i="1" a="1"/>
  <c r="S921" i="1" s="1"/>
  <c r="P921" i="1"/>
  <c r="O829" i="1" a="1"/>
  <c r="O829" i="1" s="1"/>
  <c r="U863" i="1" a="1"/>
  <c r="U863" i="1" s="1"/>
  <c r="T863" i="1" a="1"/>
  <c r="T863" i="1" s="1"/>
  <c r="S863" i="1" a="1"/>
  <c r="S863" i="1" s="1"/>
  <c r="O863" i="1" a="1"/>
  <c r="O863" i="1" s="1"/>
  <c r="U888" i="1" a="1"/>
  <c r="U888" i="1" s="1"/>
  <c r="T888" i="1" a="1"/>
  <c r="T888" i="1" s="1"/>
  <c r="S888" i="1" a="1"/>
  <c r="S888" i="1" s="1"/>
  <c r="P888" i="1"/>
  <c r="O888" i="1" a="1"/>
  <c r="O888" i="1" s="1"/>
  <c r="T815" i="1" a="1"/>
  <c r="T815" i="1" s="1"/>
  <c r="S815" i="1" a="1"/>
  <c r="S815" i="1" s="1"/>
  <c r="P829" i="1"/>
  <c r="O833" i="1" a="1"/>
  <c r="O833" i="1" s="1"/>
  <c r="U858" i="1" a="1"/>
  <c r="U858" i="1" s="1"/>
  <c r="T858" i="1" a="1"/>
  <c r="T858" i="1" s="1"/>
  <c r="P858" i="1"/>
  <c r="O858" i="1" a="1"/>
  <c r="O858" i="1" s="1"/>
  <c r="U886" i="1" a="1"/>
  <c r="U886" i="1" s="1"/>
  <c r="T886" i="1" a="1"/>
  <c r="T886" i="1" s="1"/>
  <c r="S886" i="1" a="1"/>
  <c r="S886" i="1" s="1"/>
  <c r="P886" i="1"/>
  <c r="U896" i="1" a="1"/>
  <c r="U896" i="1" s="1"/>
  <c r="T896" i="1" a="1"/>
  <c r="T896" i="1" s="1"/>
  <c r="S896" i="1" a="1"/>
  <c r="S896" i="1" s="1"/>
  <c r="P896" i="1"/>
  <c r="O896" i="1" a="1"/>
  <c r="O896" i="1" s="1"/>
  <c r="U907" i="1" a="1"/>
  <c r="U907" i="1" s="1"/>
  <c r="T907" i="1" a="1"/>
  <c r="T907" i="1" s="1"/>
  <c r="S907" i="1" a="1"/>
  <c r="S907" i="1" s="1"/>
  <c r="S917" i="1" a="1"/>
  <c r="S917" i="1" s="1"/>
  <c r="U917" i="1" a="1"/>
  <c r="U917" i="1" s="1"/>
  <c r="T917" i="1" a="1"/>
  <c r="T917" i="1" s="1"/>
  <c r="P917" i="1"/>
  <c r="P919" i="1"/>
  <c r="O919" i="1" a="1"/>
  <c r="O919" i="1" s="1"/>
  <c r="S919" i="1" a="1"/>
  <c r="S919" i="1" s="1"/>
  <c r="T1012" i="1" a="1"/>
  <c r="T1012" i="1" s="1"/>
  <c r="S1012" i="1" a="1"/>
  <c r="S1012" i="1" s="1"/>
  <c r="P1012" i="1"/>
  <c r="O1012" i="1" a="1"/>
  <c r="O1012" i="1" s="1"/>
  <c r="U1012" i="1" a="1"/>
  <c r="U1012" i="1" s="1"/>
  <c r="O786" i="1" a="1"/>
  <c r="O786" i="1" s="1"/>
  <c r="O810" i="1" a="1"/>
  <c r="O810" i="1" s="1"/>
  <c r="S829" i="1" a="1"/>
  <c r="S829" i="1" s="1"/>
  <c r="P851" i="1"/>
  <c r="O851" i="1" a="1"/>
  <c r="O851" i="1" s="1"/>
  <c r="T851" i="1" a="1"/>
  <c r="T851" i="1" s="1"/>
  <c r="P863" i="1"/>
  <c r="U869" i="1" a="1"/>
  <c r="U869" i="1" s="1"/>
  <c r="T869" i="1" a="1"/>
  <c r="T869" i="1" s="1"/>
  <c r="S869" i="1" a="1"/>
  <c r="S869" i="1" s="1"/>
  <c r="P869" i="1"/>
  <c r="O869" i="1" a="1"/>
  <c r="O869" i="1" s="1"/>
  <c r="U837" i="1" a="1"/>
  <c r="U837" i="1" s="1"/>
  <c r="T837" i="1" a="1"/>
  <c r="T837" i="1" s="1"/>
  <c r="P837" i="1"/>
  <c r="O853" i="1" a="1"/>
  <c r="O853" i="1" s="1"/>
  <c r="S853" i="1" a="1"/>
  <c r="S853" i="1" s="1"/>
  <c r="O886" i="1" a="1"/>
  <c r="O886" i="1" s="1"/>
  <c r="P902" i="1"/>
  <c r="O902" i="1" a="1"/>
  <c r="O902" i="1" s="1"/>
  <c r="T902" i="1" a="1"/>
  <c r="T902" i="1" s="1"/>
  <c r="S902" i="1" a="1"/>
  <c r="S902" i="1" s="1"/>
  <c r="T782" i="1" a="1"/>
  <c r="T782" i="1" s="1"/>
  <c r="P786" i="1"/>
  <c r="T806" i="1" a="1"/>
  <c r="T806" i="1" s="1"/>
  <c r="P810" i="1"/>
  <c r="O812" i="1" a="1"/>
  <c r="O812" i="1" s="1"/>
  <c r="O815" i="1" a="1"/>
  <c r="O815" i="1" s="1"/>
  <c r="T829" i="1" a="1"/>
  <c r="T829" i="1" s="1"/>
  <c r="S851" i="1" a="1"/>
  <c r="S851" i="1" s="1"/>
  <c r="P853" i="1"/>
  <c r="S858" i="1" a="1"/>
  <c r="S858" i="1" s="1"/>
  <c r="O904" i="1" a="1"/>
  <c r="O904" i="1" s="1"/>
  <c r="U904" i="1" a="1"/>
  <c r="U904" i="1" s="1"/>
  <c r="S904" i="1" a="1"/>
  <c r="S904" i="1" s="1"/>
  <c r="P904" i="1"/>
  <c r="T915" i="1" a="1"/>
  <c r="T915" i="1" s="1"/>
  <c r="U915" i="1" a="1"/>
  <c r="U915" i="1" s="1"/>
  <c r="S915" i="1" a="1"/>
  <c r="S915" i="1" s="1"/>
  <c r="P915" i="1"/>
  <c r="O915" i="1" a="1"/>
  <c r="O915" i="1" s="1"/>
  <c r="O765" i="1" a="1"/>
  <c r="O765" i="1" s="1"/>
  <c r="O789" i="1" a="1"/>
  <c r="O789" i="1" s="1"/>
  <c r="O832" i="1" a="1"/>
  <c r="O832" i="1" s="1"/>
  <c r="U832" i="1" a="1"/>
  <c r="U832" i="1" s="1"/>
  <c r="S833" i="1" a="1"/>
  <c r="S833" i="1" s="1"/>
  <c r="U851" i="1" a="1"/>
  <c r="U851" i="1" s="1"/>
  <c r="T853" i="1" a="1"/>
  <c r="T853" i="1" s="1"/>
  <c r="S875" i="1" a="1"/>
  <c r="S875" i="1" s="1"/>
  <c r="P875" i="1"/>
  <c r="O875" i="1" a="1"/>
  <c r="O875" i="1" s="1"/>
  <c r="T875" i="1" a="1"/>
  <c r="T875" i="1" s="1"/>
  <c r="P877" i="1"/>
  <c r="O877" i="1" a="1"/>
  <c r="O877" i="1" s="1"/>
  <c r="S877" i="1" a="1"/>
  <c r="S877" i="1" s="1"/>
  <c r="S786" i="1" a="1"/>
  <c r="S786" i="1" s="1"/>
  <c r="S810" i="1" a="1"/>
  <c r="S810" i="1" s="1"/>
  <c r="P812" i="1"/>
  <c r="P815" i="1"/>
  <c r="U829" i="1" a="1"/>
  <c r="U829" i="1" s="1"/>
  <c r="O837" i="1" a="1"/>
  <c r="O837" i="1" s="1"/>
  <c r="U840" i="1" a="1"/>
  <c r="U840" i="1" s="1"/>
  <c r="T840" i="1" a="1"/>
  <c r="T840" i="1" s="1"/>
  <c r="S840" i="1" a="1"/>
  <c r="S840" i="1" s="1"/>
  <c r="P840" i="1"/>
  <c r="O840" i="1" a="1"/>
  <c r="O840" i="1" s="1"/>
  <c r="U853" i="1" a="1"/>
  <c r="U853" i="1" s="1"/>
  <c r="U855" i="1" a="1"/>
  <c r="U855" i="1" s="1"/>
  <c r="P855" i="1"/>
  <c r="U902" i="1" a="1"/>
  <c r="U902" i="1" s="1"/>
  <c r="P765" i="1"/>
  <c r="P789" i="1"/>
  <c r="P818" i="1"/>
  <c r="O818" i="1" a="1"/>
  <c r="O818" i="1" s="1"/>
  <c r="U833" i="1" a="1"/>
  <c r="U833" i="1" s="1"/>
  <c r="U848" i="1" a="1"/>
  <c r="U848" i="1" s="1"/>
  <c r="T848" i="1" a="1"/>
  <c r="T848" i="1" s="1"/>
  <c r="S848" i="1" a="1"/>
  <c r="S848" i="1" s="1"/>
  <c r="O848" i="1" a="1"/>
  <c r="O848" i="1" s="1"/>
  <c r="O855" i="1" a="1"/>
  <c r="O855" i="1" s="1"/>
  <c r="T904" i="1" a="1"/>
  <c r="T904" i="1" s="1"/>
  <c r="U911" i="1" a="1"/>
  <c r="U911" i="1" s="1"/>
  <c r="T911" i="1" a="1"/>
  <c r="T911" i="1" s="1"/>
  <c r="S911" i="1" a="1"/>
  <c r="S911" i="1" s="1"/>
  <c r="P911" i="1"/>
  <c r="O911" i="1" a="1"/>
  <c r="O911" i="1" s="1"/>
  <c r="O922" i="1" a="1"/>
  <c r="O922" i="1" s="1"/>
  <c r="U922" i="1" a="1"/>
  <c r="U922" i="1" s="1"/>
  <c r="T922" i="1" a="1"/>
  <c r="T922" i="1" s="1"/>
  <c r="S922" i="1" a="1"/>
  <c r="S922" i="1" s="1"/>
  <c r="P922" i="1"/>
  <c r="U822" i="1" a="1"/>
  <c r="U822" i="1" s="1"/>
  <c r="T822" i="1" a="1"/>
  <c r="T822" i="1" s="1"/>
  <c r="S837" i="1" a="1"/>
  <c r="S837" i="1" s="1"/>
  <c r="O879" i="1" a="1"/>
  <c r="O879" i="1" s="1"/>
  <c r="U879" i="1" a="1"/>
  <c r="U879" i="1" s="1"/>
  <c r="P879" i="1"/>
  <c r="U815" i="1" a="1"/>
  <c r="U815" i="1" s="1"/>
  <c r="P827" i="1"/>
  <c r="U836" i="1" a="1"/>
  <c r="U836" i="1" s="1"/>
  <c r="T836" i="1" a="1"/>
  <c r="T836" i="1" s="1"/>
  <c r="S836" i="1" a="1"/>
  <c r="S836" i="1" s="1"/>
  <c r="U845" i="1" a="1"/>
  <c r="U845" i="1" s="1"/>
  <c r="T845" i="1" a="1"/>
  <c r="T845" i="1" s="1"/>
  <c r="O845" i="1" a="1"/>
  <c r="O845" i="1" s="1"/>
  <c r="S879" i="1" a="1"/>
  <c r="S879" i="1" s="1"/>
  <c r="U881" i="1" a="1"/>
  <c r="U881" i="1" s="1"/>
  <c r="T881" i="1" a="1"/>
  <c r="T881" i="1" s="1"/>
  <c r="O881" i="1" a="1"/>
  <c r="O881" i="1" s="1"/>
  <c r="U948" i="1" a="1"/>
  <c r="U948" i="1" s="1"/>
  <c r="T948" i="1" a="1"/>
  <c r="T948" i="1" s="1"/>
  <c r="S948" i="1" a="1"/>
  <c r="S948" i="1" s="1"/>
  <c r="P948" i="1"/>
  <c r="O948" i="1" a="1"/>
  <c r="O948" i="1" s="1"/>
  <c r="U849" i="1" a="1"/>
  <c r="U849" i="1" s="1"/>
  <c r="U873" i="1" a="1"/>
  <c r="U873" i="1" s="1"/>
  <c r="U897" i="1" a="1"/>
  <c r="U897" i="1" s="1"/>
  <c r="T940" i="1" a="1"/>
  <c r="T940" i="1" s="1"/>
  <c r="S940" i="1" a="1"/>
  <c r="S940" i="1" s="1"/>
  <c r="P940" i="1"/>
  <c r="O940" i="1" a="1"/>
  <c r="O940" i="1" s="1"/>
  <c r="U1002" i="1" a="1"/>
  <c r="U1002" i="1" s="1"/>
  <c r="T1002" i="1" a="1"/>
  <c r="T1002" i="1" s="1"/>
  <c r="S1002" i="1" a="1"/>
  <c r="S1002" i="1" s="1"/>
  <c r="P1002" i="1"/>
  <c r="O1002" i="1" a="1"/>
  <c r="O1002" i="1" s="1"/>
  <c r="U1007" i="1" a="1"/>
  <c r="U1007" i="1" s="1"/>
  <c r="T1007" i="1" a="1"/>
  <c r="T1007" i="1" s="1"/>
  <c r="S1007" i="1" a="1"/>
  <c r="S1007" i="1" s="1"/>
  <c r="P1007" i="1"/>
  <c r="O1007" i="1" a="1"/>
  <c r="O1007" i="1" s="1"/>
  <c r="P1016" i="1"/>
  <c r="O1016" i="1" a="1"/>
  <c r="O1016" i="1" s="1"/>
  <c r="U1016" i="1" a="1"/>
  <c r="U1016" i="1" s="1"/>
  <c r="T1016" i="1" a="1"/>
  <c r="T1016" i="1" s="1"/>
  <c r="S1016" i="1" a="1"/>
  <c r="S1016" i="1" s="1"/>
  <c r="U874" i="1" a="1"/>
  <c r="U874" i="1" s="1"/>
  <c r="T876" i="1" a="1"/>
  <c r="T876" i="1" s="1"/>
  <c r="O882" i="1" a="1"/>
  <c r="O882" i="1" s="1"/>
  <c r="U898" i="1" a="1"/>
  <c r="U898" i="1" s="1"/>
  <c r="T900" i="1" a="1"/>
  <c r="T900" i="1" s="1"/>
  <c r="O906" i="1" a="1"/>
  <c r="O906" i="1" s="1"/>
  <c r="U936" i="1" a="1"/>
  <c r="U936" i="1" s="1"/>
  <c r="T936" i="1" a="1"/>
  <c r="T936" i="1" s="1"/>
  <c r="S936" i="1" a="1"/>
  <c r="S936" i="1" s="1"/>
  <c r="P936" i="1"/>
  <c r="O936" i="1" a="1"/>
  <c r="O936" i="1" s="1"/>
  <c r="S942" i="1" a="1"/>
  <c r="S942" i="1" s="1"/>
  <c r="P942" i="1"/>
  <c r="O942" i="1" a="1"/>
  <c r="O942" i="1" s="1"/>
  <c r="U942" i="1" a="1"/>
  <c r="U942" i="1" s="1"/>
  <c r="P944" i="1"/>
  <c r="O944" i="1" a="1"/>
  <c r="O944" i="1" s="1"/>
  <c r="U944" i="1" a="1"/>
  <c r="U944" i="1" s="1"/>
  <c r="T944" i="1" a="1"/>
  <c r="T944" i="1" s="1"/>
  <c r="U977" i="1" a="1"/>
  <c r="U977" i="1" s="1"/>
  <c r="T977" i="1" a="1"/>
  <c r="T977" i="1" s="1"/>
  <c r="S977" i="1" a="1"/>
  <c r="S977" i="1" s="1"/>
  <c r="P977" i="1"/>
  <c r="O977" i="1" a="1"/>
  <c r="O977" i="1" s="1"/>
  <c r="U1026" i="1" a="1"/>
  <c r="U1026" i="1" s="1"/>
  <c r="T1026" i="1" a="1"/>
  <c r="T1026" i="1" s="1"/>
  <c r="S1026" i="1" a="1"/>
  <c r="S1026" i="1" s="1"/>
  <c r="P1026" i="1"/>
  <c r="O1026" i="1" a="1"/>
  <c r="O1026" i="1" s="1"/>
  <c r="O860" i="1" a="1"/>
  <c r="O860" i="1" s="1"/>
  <c r="U876" i="1" a="1"/>
  <c r="U876" i="1" s="1"/>
  <c r="P882" i="1"/>
  <c r="O884" i="1" a="1"/>
  <c r="O884" i="1" s="1"/>
  <c r="U900" i="1" a="1"/>
  <c r="U900" i="1" s="1"/>
  <c r="P906" i="1"/>
  <c r="O946" i="1" a="1"/>
  <c r="O946" i="1" s="1"/>
  <c r="U946" i="1" a="1"/>
  <c r="U946" i="1" s="1"/>
  <c r="T946" i="1" a="1"/>
  <c r="T946" i="1" s="1"/>
  <c r="S946" i="1" a="1"/>
  <c r="S946" i="1" s="1"/>
  <c r="U985" i="1" a="1"/>
  <c r="U985" i="1" s="1"/>
  <c r="T985" i="1" a="1"/>
  <c r="T985" i="1" s="1"/>
  <c r="S985" i="1" a="1"/>
  <c r="S985" i="1" s="1"/>
  <c r="P985" i="1"/>
  <c r="O985" i="1" a="1"/>
  <c r="O985" i="1" s="1"/>
  <c r="T987" i="1" a="1"/>
  <c r="T987" i="1" s="1"/>
  <c r="S987" i="1" a="1"/>
  <c r="S987" i="1" s="1"/>
  <c r="P987" i="1"/>
  <c r="O987" i="1" a="1"/>
  <c r="O987" i="1" s="1"/>
  <c r="U960" i="1" a="1"/>
  <c r="U960" i="1" s="1"/>
  <c r="T960" i="1" a="1"/>
  <c r="T960" i="1" s="1"/>
  <c r="S960" i="1" a="1"/>
  <c r="S960" i="1" s="1"/>
  <c r="P960" i="1"/>
  <c r="O960" i="1" a="1"/>
  <c r="O960" i="1" s="1"/>
  <c r="P968" i="1"/>
  <c r="O968" i="1" a="1"/>
  <c r="O968" i="1" s="1"/>
  <c r="U968" i="1" a="1"/>
  <c r="U968" i="1" s="1"/>
  <c r="T968" i="1" a="1"/>
  <c r="T968" i="1" s="1"/>
  <c r="S968" i="1" a="1"/>
  <c r="S968" i="1" s="1"/>
  <c r="U975" i="1" a="1"/>
  <c r="U975" i="1" s="1"/>
  <c r="T975" i="1" a="1"/>
  <c r="T975" i="1" s="1"/>
  <c r="S975" i="1" a="1"/>
  <c r="S975" i="1" s="1"/>
  <c r="P975" i="1"/>
  <c r="O975" i="1" a="1"/>
  <c r="O975" i="1" s="1"/>
  <c r="P909" i="1"/>
  <c r="S923" i="1" a="1"/>
  <c r="S923" i="1" s="1"/>
  <c r="U934" i="1" a="1"/>
  <c r="U934" i="1" s="1"/>
  <c r="T934" i="1" a="1"/>
  <c r="T934" i="1" s="1"/>
  <c r="S934" i="1" a="1"/>
  <c r="S934" i="1" s="1"/>
  <c r="P934" i="1"/>
  <c r="O934" i="1" a="1"/>
  <c r="O934" i="1" s="1"/>
  <c r="U952" i="1" a="1"/>
  <c r="U952" i="1" s="1"/>
  <c r="T952" i="1" a="1"/>
  <c r="T952" i="1" s="1"/>
  <c r="S952" i="1" a="1"/>
  <c r="S952" i="1" s="1"/>
  <c r="P952" i="1"/>
  <c r="O952" i="1" a="1"/>
  <c r="O952" i="1" s="1"/>
  <c r="S966" i="1" a="1"/>
  <c r="S966" i="1" s="1"/>
  <c r="P966" i="1"/>
  <c r="O966" i="1" a="1"/>
  <c r="O966" i="1" s="1"/>
  <c r="U966" i="1" a="1"/>
  <c r="U966" i="1" s="1"/>
  <c r="T966" i="1" a="1"/>
  <c r="T966" i="1" s="1"/>
  <c r="O970" i="1" a="1"/>
  <c r="O970" i="1" s="1"/>
  <c r="U970" i="1" a="1"/>
  <c r="U970" i="1" s="1"/>
  <c r="T970" i="1" a="1"/>
  <c r="T970" i="1" s="1"/>
  <c r="S970" i="1" a="1"/>
  <c r="S970" i="1" s="1"/>
  <c r="P970" i="1"/>
  <c r="S860" i="1" a="1"/>
  <c r="S860" i="1" s="1"/>
  <c r="T882" i="1" a="1"/>
  <c r="T882" i="1" s="1"/>
  <c r="S884" i="1" a="1"/>
  <c r="S884" i="1" s="1"/>
  <c r="T906" i="1" a="1"/>
  <c r="T906" i="1" s="1"/>
  <c r="S908" i="1" a="1"/>
  <c r="S908" i="1" s="1"/>
  <c r="T964" i="1" a="1"/>
  <c r="T964" i="1" s="1"/>
  <c r="S964" i="1" a="1"/>
  <c r="S964" i="1" s="1"/>
  <c r="P964" i="1"/>
  <c r="O964" i="1" a="1"/>
  <c r="O964" i="1" s="1"/>
  <c r="U964" i="1" a="1"/>
  <c r="U964" i="1" s="1"/>
  <c r="O994" i="1" a="1"/>
  <c r="O994" i="1" s="1"/>
  <c r="U994" i="1" a="1"/>
  <c r="U994" i="1" s="1"/>
  <c r="T994" i="1" a="1"/>
  <c r="T994" i="1" s="1"/>
  <c r="S994" i="1" a="1"/>
  <c r="S994" i="1" s="1"/>
  <c r="P994" i="1"/>
  <c r="U1000" i="1" a="1"/>
  <c r="U1000" i="1" s="1"/>
  <c r="T1000" i="1" a="1"/>
  <c r="T1000" i="1" s="1"/>
  <c r="S1000" i="1" a="1"/>
  <c r="S1000" i="1" s="1"/>
  <c r="P1000" i="1"/>
  <c r="O1000" i="1" a="1"/>
  <c r="O1000" i="1" s="1"/>
  <c r="U1024" i="1" a="1"/>
  <c r="U1024" i="1" s="1"/>
  <c r="T1024" i="1" a="1"/>
  <c r="T1024" i="1" s="1"/>
  <c r="S1024" i="1" a="1"/>
  <c r="S1024" i="1" s="1"/>
  <c r="P1024" i="1"/>
  <c r="O1024" i="1" a="1"/>
  <c r="O1024" i="1" s="1"/>
  <c r="T923" i="1" a="1"/>
  <c r="T923" i="1" s="1"/>
  <c r="U955" i="1" a="1"/>
  <c r="U955" i="1" s="1"/>
  <c r="T955" i="1" a="1"/>
  <c r="T955" i="1" s="1"/>
  <c r="S955" i="1" a="1"/>
  <c r="S955" i="1" s="1"/>
  <c r="P955" i="1"/>
  <c r="O955" i="1" a="1"/>
  <c r="O955" i="1" s="1"/>
  <c r="P992" i="1"/>
  <c r="O992" i="1" a="1"/>
  <c r="O992" i="1" s="1"/>
  <c r="U992" i="1" a="1"/>
  <c r="U992" i="1" s="1"/>
  <c r="T992" i="1" a="1"/>
  <c r="T992" i="1" s="1"/>
  <c r="S992" i="1" a="1"/>
  <c r="S992" i="1" s="1"/>
  <c r="U1008" i="1" a="1"/>
  <c r="U1008" i="1" s="1"/>
  <c r="T1008" i="1" a="1"/>
  <c r="T1008" i="1" s="1"/>
  <c r="S1008" i="1" a="1"/>
  <c r="S1008" i="1" s="1"/>
  <c r="P1008" i="1"/>
  <c r="O1008" i="1" a="1"/>
  <c r="O1008" i="1" s="1"/>
  <c r="U1029" i="1" a="1"/>
  <c r="U1029" i="1" s="1"/>
  <c r="T1029" i="1" a="1"/>
  <c r="T1029" i="1" s="1"/>
  <c r="S1029" i="1" a="1"/>
  <c r="S1029" i="1" s="1"/>
  <c r="P1029" i="1"/>
  <c r="O1029" i="1" a="1"/>
  <c r="O1029" i="1" s="1"/>
  <c r="T860" i="1" a="1"/>
  <c r="T860" i="1" s="1"/>
  <c r="U882" i="1" a="1"/>
  <c r="U882" i="1" s="1"/>
  <c r="T884" i="1" a="1"/>
  <c r="T884" i="1" s="1"/>
  <c r="U906" i="1" a="1"/>
  <c r="U906" i="1" s="1"/>
  <c r="T908" i="1" a="1"/>
  <c r="T908" i="1" s="1"/>
  <c r="U932" i="1" a="1"/>
  <c r="U932" i="1" s="1"/>
  <c r="T932" i="1" a="1"/>
  <c r="T932" i="1" s="1"/>
  <c r="S932" i="1" a="1"/>
  <c r="S932" i="1" s="1"/>
  <c r="P932" i="1"/>
  <c r="O932" i="1" a="1"/>
  <c r="O932" i="1" s="1"/>
  <c r="U950" i="1" a="1"/>
  <c r="U950" i="1" s="1"/>
  <c r="T950" i="1" a="1"/>
  <c r="T950" i="1" s="1"/>
  <c r="S950" i="1" a="1"/>
  <c r="S950" i="1" s="1"/>
  <c r="P950" i="1"/>
  <c r="O950" i="1" a="1"/>
  <c r="O950" i="1" s="1"/>
  <c r="U983" i="1" a="1"/>
  <c r="U983" i="1" s="1"/>
  <c r="T983" i="1" a="1"/>
  <c r="T983" i="1" s="1"/>
  <c r="S983" i="1" a="1"/>
  <c r="S983" i="1" s="1"/>
  <c r="P983" i="1"/>
  <c r="O983" i="1" a="1"/>
  <c r="O983" i="1" s="1"/>
  <c r="O843" i="1" a="1"/>
  <c r="O843" i="1" s="1"/>
  <c r="O867" i="1" a="1"/>
  <c r="O867" i="1" s="1"/>
  <c r="O891" i="1" a="1"/>
  <c r="O891" i="1" s="1"/>
  <c r="T909" i="1" a="1"/>
  <c r="T909" i="1" s="1"/>
  <c r="U923" i="1" a="1"/>
  <c r="U923" i="1" s="1"/>
  <c r="U927" i="1" a="1"/>
  <c r="U927" i="1" s="1"/>
  <c r="T927" i="1" a="1"/>
  <c r="T927" i="1" s="1"/>
  <c r="U978" i="1" a="1"/>
  <c r="U978" i="1" s="1"/>
  <c r="T978" i="1" a="1"/>
  <c r="T978" i="1" s="1"/>
  <c r="S978" i="1" a="1"/>
  <c r="S978" i="1" s="1"/>
  <c r="P978" i="1"/>
  <c r="O978" i="1" a="1"/>
  <c r="O978" i="1" s="1"/>
  <c r="U1003" i="1" a="1"/>
  <c r="U1003" i="1" s="1"/>
  <c r="T1003" i="1" a="1"/>
  <c r="T1003" i="1" s="1"/>
  <c r="S1003" i="1" a="1"/>
  <c r="S1003" i="1" s="1"/>
  <c r="P1003" i="1"/>
  <c r="O1003" i="1" a="1"/>
  <c r="O1003" i="1" s="1"/>
  <c r="U1022" i="1" a="1"/>
  <c r="U1022" i="1" s="1"/>
  <c r="T1022" i="1" a="1"/>
  <c r="T1022" i="1" s="1"/>
  <c r="S1022" i="1" a="1"/>
  <c r="S1022" i="1" s="1"/>
  <c r="P1022" i="1"/>
  <c r="O1022" i="1" a="1"/>
  <c r="O1022" i="1" s="1"/>
  <c r="O892" i="1" a="1"/>
  <c r="O892" i="1" s="1"/>
  <c r="U937" i="1" a="1"/>
  <c r="U937" i="1" s="1"/>
  <c r="T937" i="1" a="1"/>
  <c r="T937" i="1" s="1"/>
  <c r="S937" i="1" a="1"/>
  <c r="S937" i="1" s="1"/>
  <c r="P937" i="1"/>
  <c r="O937" i="1" a="1"/>
  <c r="O937" i="1" s="1"/>
  <c r="U958" i="1" a="1"/>
  <c r="U958" i="1" s="1"/>
  <c r="T958" i="1" a="1"/>
  <c r="T958" i="1" s="1"/>
  <c r="S958" i="1" a="1"/>
  <c r="S958" i="1" s="1"/>
  <c r="P958" i="1"/>
  <c r="O958" i="1" a="1"/>
  <c r="O958" i="1" s="1"/>
  <c r="S990" i="1" a="1"/>
  <c r="S990" i="1" s="1"/>
  <c r="P990" i="1"/>
  <c r="O990" i="1" a="1"/>
  <c r="O990" i="1" s="1"/>
  <c r="U990" i="1" a="1"/>
  <c r="U990" i="1" s="1"/>
  <c r="T990" i="1" a="1"/>
  <c r="T990" i="1" s="1"/>
  <c r="U998" i="1" a="1"/>
  <c r="U998" i="1" s="1"/>
  <c r="T998" i="1" a="1"/>
  <c r="T998" i="1" s="1"/>
  <c r="S998" i="1" a="1"/>
  <c r="S998" i="1" s="1"/>
  <c r="P998" i="1"/>
  <c r="O998" i="1" a="1"/>
  <c r="O998" i="1" s="1"/>
  <c r="P892" i="1"/>
  <c r="U930" i="1" a="1"/>
  <c r="U930" i="1" s="1"/>
  <c r="T930" i="1" a="1"/>
  <c r="T930" i="1" s="1"/>
  <c r="S930" i="1" a="1"/>
  <c r="S930" i="1" s="1"/>
  <c r="P930" i="1"/>
  <c r="T939" i="1" a="1"/>
  <c r="T939" i="1" s="1"/>
  <c r="S939" i="1" a="1"/>
  <c r="S939" i="1" s="1"/>
  <c r="P939" i="1"/>
  <c r="O939" i="1" a="1"/>
  <c r="O939" i="1" s="1"/>
  <c r="P943" i="1"/>
  <c r="O943" i="1" a="1"/>
  <c r="O943" i="1" s="1"/>
  <c r="U943" i="1" a="1"/>
  <c r="U943" i="1" s="1"/>
  <c r="T988" i="1" a="1"/>
  <c r="T988" i="1" s="1"/>
  <c r="S988" i="1" a="1"/>
  <c r="S988" i="1" s="1"/>
  <c r="P988" i="1"/>
  <c r="O988" i="1" a="1"/>
  <c r="O988" i="1" s="1"/>
  <c r="U988" i="1" a="1"/>
  <c r="U988" i="1" s="1"/>
  <c r="P1015" i="1"/>
  <c r="O1015" i="1" a="1"/>
  <c r="O1015" i="1" s="1"/>
  <c r="U1015" i="1" a="1"/>
  <c r="U1015" i="1" s="1"/>
  <c r="U926" i="1" a="1"/>
  <c r="U926" i="1" s="1"/>
  <c r="T926" i="1" a="1"/>
  <c r="T926" i="1" s="1"/>
  <c r="U953" i="1" a="1"/>
  <c r="U953" i="1" s="1"/>
  <c r="T953" i="1" a="1"/>
  <c r="T953" i="1" s="1"/>
  <c r="S953" i="1" a="1"/>
  <c r="S953" i="1" s="1"/>
  <c r="P953" i="1"/>
  <c r="O953" i="1" a="1"/>
  <c r="O953" i="1" s="1"/>
  <c r="U1006" i="1" a="1"/>
  <c r="U1006" i="1" s="1"/>
  <c r="T1006" i="1" a="1"/>
  <c r="T1006" i="1" s="1"/>
  <c r="S1006" i="1" a="1"/>
  <c r="S1006" i="1" s="1"/>
  <c r="P1006" i="1"/>
  <c r="O1006" i="1" a="1"/>
  <c r="O1006" i="1" s="1"/>
  <c r="S1015" i="1" a="1"/>
  <c r="S1015" i="1" s="1"/>
  <c r="S892" i="1" a="1"/>
  <c r="S892" i="1" s="1"/>
  <c r="U947" i="1" a="1"/>
  <c r="U947" i="1" s="1"/>
  <c r="T947" i="1" a="1"/>
  <c r="T947" i="1" s="1"/>
  <c r="S947" i="1" a="1"/>
  <c r="S947" i="1" s="1"/>
  <c r="T1015" i="1" a="1"/>
  <c r="T1015" i="1" s="1"/>
  <c r="U1025" i="1" a="1"/>
  <c r="U1025" i="1" s="1"/>
  <c r="T1025" i="1" a="1"/>
  <c r="T1025" i="1" s="1"/>
  <c r="S1025" i="1" a="1"/>
  <c r="S1025" i="1" s="1"/>
  <c r="P1025" i="1"/>
  <c r="O1025" i="1" a="1"/>
  <c r="O1025" i="1" s="1"/>
  <c r="U935" i="1" a="1"/>
  <c r="U935" i="1" s="1"/>
  <c r="T935" i="1" a="1"/>
  <c r="T935" i="1" s="1"/>
  <c r="S935" i="1" a="1"/>
  <c r="S935" i="1" s="1"/>
  <c r="P935" i="1"/>
  <c r="O935" i="1" a="1"/>
  <c r="O935" i="1" s="1"/>
  <c r="U956" i="1" a="1"/>
  <c r="U956" i="1" s="1"/>
  <c r="T956" i="1" a="1"/>
  <c r="T956" i="1" s="1"/>
  <c r="S956" i="1" a="1"/>
  <c r="S956" i="1" s="1"/>
  <c r="P956" i="1"/>
  <c r="O956" i="1" a="1"/>
  <c r="O956" i="1" s="1"/>
  <c r="U1001" i="1" a="1"/>
  <c r="U1001" i="1" s="1"/>
  <c r="T1001" i="1" a="1"/>
  <c r="T1001" i="1" s="1"/>
  <c r="S1001" i="1" a="1"/>
  <c r="S1001" i="1" s="1"/>
  <c r="P1001" i="1"/>
  <c r="O1001" i="1" a="1"/>
  <c r="O1001" i="1" s="1"/>
  <c r="O874" i="1" a="1"/>
  <c r="O874" i="1" s="1"/>
  <c r="T892" i="1" a="1"/>
  <c r="T892" i="1" s="1"/>
  <c r="O898" i="1" a="1"/>
  <c r="O898" i="1" s="1"/>
  <c r="O926" i="1" a="1"/>
  <c r="O926" i="1" s="1"/>
  <c r="U971" i="1" a="1"/>
  <c r="U971" i="1" s="1"/>
  <c r="T971" i="1" a="1"/>
  <c r="T971" i="1" s="1"/>
  <c r="S971" i="1" a="1"/>
  <c r="S971" i="1" s="1"/>
  <c r="U976" i="1" a="1"/>
  <c r="U976" i="1" s="1"/>
  <c r="T976" i="1" a="1"/>
  <c r="T976" i="1" s="1"/>
  <c r="S976" i="1" a="1"/>
  <c r="S976" i="1" s="1"/>
  <c r="P976" i="1"/>
  <c r="O976" i="1" a="1"/>
  <c r="O976" i="1" s="1"/>
  <c r="U984" i="1" a="1"/>
  <c r="U984" i="1" s="1"/>
  <c r="T984" i="1" a="1"/>
  <c r="T984" i="1" s="1"/>
  <c r="S984" i="1" a="1"/>
  <c r="S984" i="1" s="1"/>
  <c r="P984" i="1"/>
  <c r="O984" i="1" a="1"/>
  <c r="O984" i="1" s="1"/>
  <c r="U1019" i="1" a="1"/>
  <c r="U1019" i="1" s="1"/>
  <c r="T1019" i="1" a="1"/>
  <c r="T1019" i="1" s="1"/>
  <c r="S1019" i="1" a="1"/>
  <c r="S1019" i="1" s="1"/>
  <c r="P849" i="1"/>
  <c r="P873" i="1"/>
  <c r="P897" i="1"/>
  <c r="U951" i="1" a="1"/>
  <c r="U951" i="1" s="1"/>
  <c r="T951" i="1" a="1"/>
  <c r="T951" i="1" s="1"/>
  <c r="S951" i="1" a="1"/>
  <c r="S951" i="1" s="1"/>
  <c r="P951" i="1"/>
  <c r="O951" i="1" a="1"/>
  <c r="O951" i="1" s="1"/>
  <c r="U995" i="1" a="1"/>
  <c r="U995" i="1" s="1"/>
  <c r="T995" i="1" a="1"/>
  <c r="T995" i="1" s="1"/>
  <c r="S995" i="1" a="1"/>
  <c r="S995" i="1" s="1"/>
  <c r="U1004" i="1" a="1"/>
  <c r="U1004" i="1" s="1"/>
  <c r="T1004" i="1" a="1"/>
  <c r="T1004" i="1" s="1"/>
  <c r="S1004" i="1" a="1"/>
  <c r="S1004" i="1" s="1"/>
  <c r="P1004" i="1"/>
  <c r="O1004" i="1" a="1"/>
  <c r="O1004" i="1" s="1"/>
  <c r="U1009" i="1" a="1"/>
  <c r="U1009" i="1" s="1"/>
  <c r="T1009" i="1" a="1"/>
  <c r="T1009" i="1" s="1"/>
  <c r="S1009" i="1" a="1"/>
  <c r="S1009" i="1" s="1"/>
  <c r="P1009" i="1"/>
  <c r="O1009" i="1" a="1"/>
  <c r="O1009" i="1" s="1"/>
  <c r="T1011" i="1" a="1"/>
  <c r="T1011" i="1" s="1"/>
  <c r="S1011" i="1" a="1"/>
  <c r="S1011" i="1" s="1"/>
  <c r="P1011" i="1"/>
  <c r="O1011" i="1" a="1"/>
  <c r="O1011" i="1" s="1"/>
  <c r="O1019" i="1" a="1"/>
  <c r="O1019" i="1" s="1"/>
  <c r="T846" i="1" a="1"/>
  <c r="T846" i="1" s="1"/>
  <c r="P874" i="1"/>
  <c r="O876" i="1" a="1"/>
  <c r="O876" i="1" s="1"/>
  <c r="T894" i="1" a="1"/>
  <c r="T894" i="1" s="1"/>
  <c r="P898" i="1"/>
  <c r="O900" i="1" a="1"/>
  <c r="O900" i="1" s="1"/>
  <c r="P926" i="1"/>
  <c r="P971" i="1"/>
  <c r="U979" i="1" a="1"/>
  <c r="U979" i="1" s="1"/>
  <c r="T979" i="1" a="1"/>
  <c r="T979" i="1" s="1"/>
  <c r="S979" i="1" a="1"/>
  <c r="S979" i="1" s="1"/>
  <c r="P979" i="1"/>
  <c r="O979" i="1" a="1"/>
  <c r="O979" i="1" s="1"/>
  <c r="O993" i="1" a="1"/>
  <c r="O993" i="1" s="1"/>
  <c r="U993" i="1" a="1"/>
  <c r="U993" i="1" s="1"/>
  <c r="T993" i="1" a="1"/>
  <c r="T993" i="1" s="1"/>
  <c r="U1023" i="1" a="1"/>
  <c r="U1023" i="1" s="1"/>
  <c r="T1023" i="1" a="1"/>
  <c r="T1023" i="1" s="1"/>
  <c r="S1023" i="1" a="1"/>
  <c r="S1023" i="1" s="1"/>
  <c r="P1023" i="1"/>
  <c r="O1023" i="1" a="1"/>
  <c r="O1023" i="1" s="1"/>
  <c r="U924" i="1" a="1"/>
  <c r="U924" i="1" s="1"/>
  <c r="U974" i="1" a="1"/>
  <c r="U974" i="1" s="1"/>
  <c r="T974" i="1" a="1"/>
  <c r="T974" i="1" s="1"/>
  <c r="S974" i="1" a="1"/>
  <c r="S974" i="1" s="1"/>
  <c r="P974" i="1"/>
  <c r="O974" i="1" a="1"/>
  <c r="O974" i="1" s="1"/>
  <c r="P993" i="1"/>
  <c r="P995" i="1"/>
  <c r="U999" i="1" a="1"/>
  <c r="U999" i="1" s="1"/>
  <c r="T999" i="1" a="1"/>
  <c r="T999" i="1" s="1"/>
  <c r="S999" i="1" a="1"/>
  <c r="S999" i="1" s="1"/>
  <c r="P999" i="1"/>
  <c r="O999" i="1" a="1"/>
  <c r="O999" i="1" s="1"/>
  <c r="S874" i="1" a="1"/>
  <c r="S874" i="1" s="1"/>
  <c r="P876" i="1"/>
  <c r="S898" i="1" a="1"/>
  <c r="S898" i="1" s="1"/>
  <c r="P900" i="1"/>
  <c r="S926" i="1" a="1"/>
  <c r="S926" i="1" s="1"/>
  <c r="U933" i="1" a="1"/>
  <c r="U933" i="1" s="1"/>
  <c r="T933" i="1" a="1"/>
  <c r="T933" i="1" s="1"/>
  <c r="S933" i="1" a="1"/>
  <c r="S933" i="1" s="1"/>
  <c r="P933" i="1"/>
  <c r="O933" i="1" a="1"/>
  <c r="O933" i="1" s="1"/>
  <c r="U959" i="1" a="1"/>
  <c r="U959" i="1" s="1"/>
  <c r="T959" i="1" a="1"/>
  <c r="T959" i="1" s="1"/>
  <c r="S959" i="1" a="1"/>
  <c r="S959" i="1" s="1"/>
  <c r="P959" i="1"/>
  <c r="O959" i="1" a="1"/>
  <c r="O959" i="1" s="1"/>
  <c r="T963" i="1" a="1"/>
  <c r="T963" i="1" s="1"/>
  <c r="S963" i="1" a="1"/>
  <c r="S963" i="1" s="1"/>
  <c r="P963" i="1"/>
  <c r="O963" i="1" a="1"/>
  <c r="O963" i="1" s="1"/>
  <c r="S993" i="1" a="1"/>
  <c r="S993" i="1" s="1"/>
  <c r="U1028" i="1" a="1"/>
  <c r="U1028" i="1" s="1"/>
  <c r="T1028" i="1" a="1"/>
  <c r="T1028" i="1" s="1"/>
  <c r="S1028" i="1" a="1"/>
  <c r="S1028" i="1" s="1"/>
  <c r="P1028" i="1"/>
  <c r="O1028" i="1" a="1"/>
  <c r="O1028" i="1" s="1"/>
  <c r="P991" i="1"/>
  <c r="O991" i="1" a="1"/>
  <c r="O991" i="1" s="1"/>
  <c r="U991" i="1" a="1"/>
  <c r="U991" i="1" s="1"/>
  <c r="U931" i="1" a="1"/>
  <c r="U931" i="1" s="1"/>
  <c r="T931" i="1" a="1"/>
  <c r="T931" i="1" s="1"/>
  <c r="S931" i="1" a="1"/>
  <c r="S931" i="1" s="1"/>
  <c r="P931" i="1"/>
  <c r="O931" i="1" a="1"/>
  <c r="O931" i="1" s="1"/>
  <c r="U982" i="1" a="1"/>
  <c r="U982" i="1" s="1"/>
  <c r="T982" i="1" a="1"/>
  <c r="T982" i="1" s="1"/>
  <c r="S982" i="1" a="1"/>
  <c r="S982" i="1" s="1"/>
  <c r="P982" i="1"/>
  <c r="O982" i="1" a="1"/>
  <c r="O982" i="1" s="1"/>
  <c r="U997" i="1" a="1"/>
  <c r="U997" i="1" s="1"/>
  <c r="T997" i="1" a="1"/>
  <c r="T997" i="1" s="1"/>
  <c r="S997" i="1" a="1"/>
  <c r="S997" i="1" s="1"/>
  <c r="P997" i="1"/>
  <c r="T945" i="1" a="1"/>
  <c r="T945" i="1" s="1"/>
  <c r="U967" i="1" a="1"/>
  <c r="U967" i="1" s="1"/>
  <c r="T969" i="1" a="1"/>
  <c r="T969" i="1" s="1"/>
  <c r="T1017" i="1" a="1"/>
  <c r="T1017" i="1" s="1"/>
  <c r="T1018" i="1" a="1"/>
  <c r="T1018" i="1" s="1"/>
  <c r="U945" i="1" a="1"/>
  <c r="U945" i="1" s="1"/>
  <c r="U969" i="1" a="1"/>
  <c r="U969" i="1" s="1"/>
  <c r="U1017" i="1" a="1"/>
  <c r="U1017" i="1" s="1"/>
  <c r="O954" i="1" a="1"/>
  <c r="O954" i="1" s="1"/>
  <c r="U1018" i="1" a="1"/>
  <c r="U1018" i="1" s="1"/>
  <c r="O1027" i="1" a="1"/>
  <c r="O1027" i="1" s="1"/>
  <c r="P954" i="1"/>
  <c r="U996" i="1" a="1"/>
  <c r="U996" i="1" s="1"/>
  <c r="O957" i="1" a="1"/>
  <c r="O957" i="1" s="1"/>
  <c r="O981" i="1" a="1"/>
  <c r="O981" i="1" s="1"/>
  <c r="O1005" i="1" a="1"/>
  <c r="O1005" i="1" s="1"/>
  <c r="P1027" i="1"/>
  <c r="S954" i="1" a="1"/>
  <c r="S954" i="1" s="1"/>
  <c r="P957" i="1"/>
  <c r="P981" i="1"/>
  <c r="P1005" i="1"/>
  <c r="S1027" i="1" a="1"/>
  <c r="S1027" i="1" s="1"/>
  <c r="T954" i="1" a="1"/>
  <c r="T954" i="1" s="1"/>
  <c r="S957" i="1" a="1"/>
  <c r="S957" i="1" s="1"/>
  <c r="O961" i="1" a="1"/>
  <c r="O961" i="1" s="1"/>
  <c r="S981" i="1" a="1"/>
  <c r="S981" i="1" s="1"/>
  <c r="S1005" i="1" a="1"/>
  <c r="S1005" i="1" s="1"/>
  <c r="T1027" i="1" a="1"/>
  <c r="T1027" i="1" s="1"/>
  <c r="T957" i="1" a="1"/>
  <c r="T957" i="1" s="1"/>
  <c r="T981" i="1" a="1"/>
  <c r="T981" i="1" s="1"/>
  <c r="T1005" i="1" a="1"/>
  <c r="T1005" i="1" s="1"/>
  <c r="O941" i="1" a="1"/>
  <c r="O941" i="1" s="1"/>
  <c r="O965" i="1" a="1"/>
  <c r="O965" i="1" s="1"/>
  <c r="O989" i="1" a="1"/>
  <c r="O989" i="1" s="1"/>
  <c r="O1013" i="1" a="1"/>
  <c r="O1013" i="1" s="1"/>
  <c r="P941" i="1"/>
  <c r="P965" i="1"/>
  <c r="O967" i="1" a="1"/>
  <c r="O967" i="1" s="1"/>
  <c r="P989" i="1"/>
  <c r="P1013" i="1"/>
  <c r="T938" i="1" a="1"/>
  <c r="T938" i="1" s="1"/>
  <c r="T962" i="1" a="1"/>
  <c r="T962" i="1" s="1"/>
  <c r="T986" i="1" a="1"/>
  <c r="T986" i="1" s="1"/>
  <c r="T1010" i="1" a="1"/>
  <c r="T1010" i="1" s="1"/>
  <c r="P967" i="1"/>
  <c r="P29" i="1"/>
  <c r="P125" i="1"/>
  <c r="P149" i="1"/>
  <c r="P173" i="1"/>
  <c r="P221" i="1"/>
  <c r="P245" i="1"/>
  <c r="P293" i="1"/>
  <c r="P317" i="1"/>
  <c r="P341" i="1"/>
  <c r="P365" i="1"/>
  <c r="P389" i="1"/>
  <c r="P413" i="1"/>
  <c r="P437" i="1"/>
  <c r="P461" i="1"/>
  <c r="P485" i="1"/>
  <c r="P509" i="1"/>
  <c r="P6" i="1"/>
  <c r="P30" i="1"/>
  <c r="P54" i="1"/>
  <c r="P78" i="1"/>
  <c r="P102" i="1"/>
  <c r="P126" i="1"/>
  <c r="P150" i="1"/>
  <c r="P174" i="1"/>
  <c r="P198" i="1"/>
  <c r="P222" i="1"/>
  <c r="P246" i="1"/>
  <c r="P270" i="1"/>
  <c r="P294" i="1"/>
  <c r="P318" i="1"/>
  <c r="P342" i="1"/>
  <c r="P366" i="1"/>
  <c r="P390" i="1"/>
  <c r="P414" i="1"/>
  <c r="P438" i="1"/>
  <c r="P462" i="1"/>
  <c r="P486" i="1"/>
  <c r="P510" i="1"/>
  <c r="P7" i="1"/>
  <c r="P31" i="1"/>
  <c r="P55" i="1"/>
  <c r="P79" i="1"/>
  <c r="P103" i="1"/>
  <c r="P127" i="1"/>
  <c r="P151" i="1"/>
  <c r="P175" i="1"/>
  <c r="P199" i="1"/>
  <c r="P223" i="1"/>
  <c r="P247" i="1"/>
  <c r="P271" i="1"/>
  <c r="P295" i="1"/>
  <c r="P319" i="1"/>
  <c r="P343" i="1"/>
  <c r="P367" i="1"/>
  <c r="P391" i="1"/>
  <c r="P415" i="1"/>
  <c r="P439" i="1"/>
  <c r="P463" i="1"/>
  <c r="P487" i="1"/>
  <c r="P511" i="1"/>
  <c r="P8" i="1"/>
  <c r="P56" i="1"/>
  <c r="P104" i="1"/>
  <c r="P128" i="1"/>
  <c r="P152" i="1"/>
  <c r="P176" i="1"/>
  <c r="P200" i="1"/>
  <c r="P224" i="1"/>
  <c r="P248" i="1"/>
  <c r="P272" i="1"/>
  <c r="P296" i="1"/>
  <c r="P320" i="1"/>
  <c r="P344" i="1"/>
  <c r="P368" i="1"/>
  <c r="P392" i="1"/>
  <c r="P416" i="1"/>
  <c r="P440" i="1"/>
  <c r="P464" i="1"/>
  <c r="P488" i="1"/>
  <c r="P512" i="1"/>
  <c r="P9" i="1"/>
  <c r="P57" i="1"/>
  <c r="P105" i="1"/>
  <c r="P153" i="1"/>
  <c r="P177" i="1"/>
  <c r="P201" i="1"/>
  <c r="P225" i="1"/>
  <c r="P249" i="1"/>
  <c r="P273" i="1"/>
  <c r="P297" i="1"/>
  <c r="P321" i="1"/>
  <c r="P345" i="1"/>
  <c r="P369" i="1"/>
  <c r="P393" i="1"/>
  <c r="P417" i="1"/>
  <c r="P441" i="1"/>
  <c r="P465" i="1"/>
  <c r="P489" i="1"/>
  <c r="P513" i="1"/>
  <c r="P10" i="1"/>
  <c r="P34" i="1"/>
  <c r="P58" i="1"/>
  <c r="P82" i="1"/>
  <c r="P106" i="1"/>
  <c r="P130" i="1"/>
  <c r="P154" i="1"/>
  <c r="P178" i="1"/>
  <c r="P202" i="1"/>
  <c r="P226" i="1"/>
  <c r="P250" i="1"/>
  <c r="P274" i="1"/>
  <c r="P298" i="1"/>
  <c r="P322" i="1"/>
  <c r="P346" i="1"/>
  <c r="P370" i="1"/>
  <c r="P394" i="1"/>
  <c r="P418" i="1"/>
  <c r="P442" i="1"/>
  <c r="P466" i="1"/>
  <c r="P490" i="1"/>
  <c r="P11" i="1"/>
  <c r="P35" i="1"/>
  <c r="P59" i="1"/>
  <c r="P107" i="1"/>
  <c r="P155" i="1"/>
  <c r="P179" i="1"/>
  <c r="P203" i="1"/>
  <c r="P227" i="1"/>
  <c r="P251" i="1"/>
  <c r="P275" i="1"/>
  <c r="P299" i="1"/>
  <c r="P323" i="1"/>
  <c r="P347" i="1"/>
  <c r="P371" i="1"/>
  <c r="P395" i="1"/>
  <c r="P419" i="1"/>
  <c r="P443" i="1"/>
  <c r="P467" i="1"/>
  <c r="P491" i="1"/>
  <c r="P12" i="1"/>
  <c r="P36" i="1"/>
  <c r="P60" i="1"/>
  <c r="P108" i="1"/>
  <c r="P156" i="1"/>
  <c r="P180" i="1"/>
  <c r="P204" i="1"/>
  <c r="P228" i="1"/>
  <c r="P252" i="1"/>
  <c r="P276" i="1"/>
  <c r="P300" i="1"/>
  <c r="P324" i="1"/>
  <c r="P348" i="1"/>
  <c r="P372" i="1"/>
  <c r="P396" i="1"/>
  <c r="P420" i="1"/>
  <c r="P444" i="1"/>
  <c r="P468" i="1"/>
  <c r="P492" i="1"/>
  <c r="P13" i="1"/>
  <c r="P37" i="1"/>
  <c r="P61" i="1"/>
  <c r="P109" i="1"/>
  <c r="P157" i="1"/>
  <c r="P181" i="1"/>
  <c r="P205" i="1"/>
  <c r="P229" i="1"/>
  <c r="P253" i="1"/>
  <c r="P277" i="1"/>
  <c r="P301" i="1"/>
  <c r="P325" i="1"/>
  <c r="P349" i="1"/>
  <c r="P373" i="1"/>
  <c r="P397" i="1"/>
  <c r="P421" i="1"/>
  <c r="P445" i="1"/>
  <c r="P469" i="1"/>
  <c r="P493" i="1"/>
  <c r="P14" i="1"/>
  <c r="P38" i="1"/>
  <c r="P62" i="1"/>
  <c r="P86" i="1"/>
  <c r="P110" i="1"/>
  <c r="P134" i="1"/>
  <c r="P158" i="1"/>
  <c r="P182" i="1"/>
  <c r="P206" i="1"/>
  <c r="P230" i="1"/>
  <c r="P254" i="1"/>
  <c r="P278" i="1"/>
  <c r="P302" i="1"/>
  <c r="P326" i="1"/>
  <c r="P350" i="1"/>
  <c r="P374" i="1"/>
  <c r="P398" i="1"/>
  <c r="P422" i="1"/>
  <c r="P446" i="1"/>
  <c r="P470" i="1"/>
  <c r="P494" i="1"/>
  <c r="P15" i="1"/>
  <c r="P39" i="1"/>
  <c r="P63" i="1"/>
  <c r="P87" i="1"/>
  <c r="P111" i="1"/>
  <c r="P135" i="1"/>
  <c r="P159" i="1"/>
  <c r="P183" i="1"/>
  <c r="P207" i="1"/>
  <c r="P231" i="1"/>
  <c r="P255" i="1"/>
  <c r="P279" i="1"/>
  <c r="P303" i="1"/>
  <c r="P327" i="1"/>
  <c r="P351" i="1"/>
  <c r="P375" i="1"/>
  <c r="P399" i="1"/>
  <c r="P423" i="1"/>
  <c r="P447" i="1"/>
  <c r="P471" i="1"/>
  <c r="P495" i="1"/>
  <c r="P16" i="1"/>
  <c r="P64" i="1"/>
  <c r="P112" i="1"/>
  <c r="P136" i="1"/>
  <c r="P160" i="1"/>
  <c r="P184" i="1"/>
  <c r="P208" i="1"/>
  <c r="P232" i="1"/>
  <c r="P256" i="1"/>
  <c r="P280" i="1"/>
  <c r="P304" i="1"/>
  <c r="P328" i="1"/>
  <c r="P352" i="1"/>
  <c r="P376" i="1"/>
  <c r="P400" i="1"/>
  <c r="P424" i="1"/>
  <c r="P448" i="1"/>
  <c r="P472" i="1"/>
  <c r="P496" i="1"/>
  <c r="P65" i="1"/>
  <c r="P113" i="1"/>
  <c r="P137" i="1"/>
  <c r="P161" i="1"/>
  <c r="P185" i="1"/>
  <c r="P209" i="1"/>
  <c r="P233" i="1"/>
  <c r="P257" i="1"/>
  <c r="P281" i="1"/>
  <c r="P305" i="1"/>
  <c r="P329" i="1"/>
  <c r="P353" i="1"/>
  <c r="P377" i="1"/>
  <c r="P401" i="1"/>
  <c r="P425" i="1"/>
  <c r="P449" i="1"/>
  <c r="P473" i="1"/>
  <c r="P497" i="1"/>
  <c r="P18" i="1"/>
  <c r="P42" i="1"/>
  <c r="P66" i="1"/>
  <c r="P90" i="1"/>
  <c r="P114" i="1"/>
  <c r="P138" i="1"/>
  <c r="P162" i="1"/>
  <c r="P186" i="1"/>
  <c r="P210" i="1"/>
  <c r="P234" i="1"/>
  <c r="P258" i="1"/>
  <c r="P282" i="1"/>
  <c r="P306" i="1"/>
  <c r="P330" i="1"/>
  <c r="P354" i="1"/>
  <c r="P378" i="1"/>
  <c r="P402" i="1"/>
  <c r="P426" i="1"/>
  <c r="P450" i="1"/>
  <c r="P474" i="1"/>
  <c r="P498" i="1"/>
  <c r="P19" i="1"/>
  <c r="P43" i="1"/>
  <c r="P91" i="1"/>
  <c r="P115" i="1"/>
  <c r="P139" i="1"/>
  <c r="P163" i="1"/>
  <c r="P187" i="1"/>
  <c r="P211" i="1"/>
  <c r="P235" i="1"/>
  <c r="P259" i="1"/>
  <c r="P283" i="1"/>
  <c r="P307" i="1"/>
  <c r="P331" i="1"/>
  <c r="P355" i="1"/>
  <c r="P379" i="1"/>
  <c r="P403" i="1"/>
  <c r="P427" i="1"/>
  <c r="P451" i="1"/>
  <c r="P475" i="1"/>
  <c r="P499" i="1"/>
  <c r="P20" i="1"/>
  <c r="P44" i="1"/>
  <c r="P92" i="1"/>
  <c r="P116" i="1"/>
  <c r="P140" i="1"/>
  <c r="P164" i="1"/>
  <c r="P188" i="1"/>
  <c r="P212" i="1"/>
  <c r="P236" i="1"/>
  <c r="P260" i="1"/>
  <c r="P284" i="1"/>
  <c r="P308" i="1"/>
  <c r="P332" i="1"/>
  <c r="P356" i="1"/>
  <c r="P380" i="1"/>
  <c r="P404" i="1"/>
  <c r="P428" i="1"/>
  <c r="P452" i="1"/>
  <c r="P476" i="1"/>
  <c r="P500" i="1"/>
  <c r="P93" i="1"/>
  <c r="P117" i="1"/>
  <c r="P141" i="1"/>
  <c r="P165" i="1"/>
  <c r="P189" i="1"/>
  <c r="P213" i="1"/>
  <c r="P285" i="1"/>
  <c r="P309" i="1"/>
  <c r="P333" i="1"/>
  <c r="P357" i="1"/>
  <c r="P381" i="1"/>
  <c r="P405" i="1"/>
  <c r="P429" i="1"/>
  <c r="P453" i="1"/>
  <c r="P477" i="1"/>
  <c r="P501" i="1"/>
  <c r="P22" i="1"/>
  <c r="P46" i="1"/>
  <c r="P70" i="1"/>
  <c r="P94" i="1"/>
  <c r="P118" i="1"/>
  <c r="P142" i="1"/>
  <c r="P166" i="1"/>
  <c r="P190" i="1"/>
  <c r="P214" i="1"/>
  <c r="P238" i="1"/>
  <c r="P262" i="1"/>
  <c r="P286" i="1"/>
  <c r="P310" i="1"/>
  <c r="P334" i="1"/>
  <c r="P358" i="1"/>
  <c r="P382" i="1"/>
  <c r="P406" i="1"/>
  <c r="P430" i="1"/>
  <c r="P454" i="1"/>
  <c r="P478" i="1"/>
  <c r="P502" i="1"/>
  <c r="P23" i="1"/>
  <c r="P47" i="1"/>
  <c r="P71" i="1"/>
  <c r="P95" i="1"/>
  <c r="P119" i="1"/>
  <c r="P143" i="1"/>
  <c r="P167" i="1"/>
  <c r="P191" i="1"/>
  <c r="P215" i="1"/>
  <c r="P239" i="1"/>
  <c r="P263" i="1"/>
  <c r="P287" i="1"/>
  <c r="P311" i="1"/>
  <c r="P335" i="1"/>
  <c r="P359" i="1"/>
  <c r="P383" i="1"/>
  <c r="P407" i="1"/>
  <c r="P431" i="1"/>
  <c r="P455" i="1"/>
  <c r="P479" i="1"/>
  <c r="P503" i="1"/>
  <c r="P24" i="1"/>
  <c r="P48" i="1"/>
  <c r="P96" i="1"/>
  <c r="P120" i="1"/>
  <c r="P144" i="1"/>
  <c r="P168" i="1"/>
  <c r="P192" i="1"/>
  <c r="P216" i="1"/>
  <c r="P288" i="1"/>
  <c r="P312" i="1"/>
  <c r="P336" i="1"/>
  <c r="P360" i="1"/>
  <c r="P384" i="1"/>
  <c r="P408" i="1"/>
  <c r="P432" i="1"/>
  <c r="P456" i="1"/>
  <c r="P480" i="1"/>
  <c r="P504" i="1"/>
  <c r="P49" i="1"/>
  <c r="P145" i="1"/>
  <c r="P169" i="1"/>
  <c r="P193" i="1"/>
  <c r="P217" i="1"/>
  <c r="P289" i="1"/>
  <c r="P313" i="1"/>
  <c r="P337" i="1"/>
  <c r="P361" i="1"/>
  <c r="P385" i="1"/>
  <c r="P409" i="1"/>
  <c r="P433" i="1"/>
  <c r="P457" i="1"/>
  <c r="P481" i="1"/>
  <c r="P505" i="1"/>
  <c r="P2" i="1"/>
  <c r="P26" i="1"/>
  <c r="P50" i="1"/>
  <c r="P74" i="1"/>
  <c r="P98" i="1"/>
  <c r="P122" i="1"/>
  <c r="P146" i="1"/>
  <c r="P170" i="1"/>
  <c r="P194" i="1"/>
  <c r="P218" i="1"/>
  <c r="P242" i="1"/>
  <c r="P266" i="1"/>
  <c r="P290" i="1"/>
  <c r="P314" i="1"/>
  <c r="P338" i="1"/>
  <c r="P362" i="1"/>
  <c r="P386" i="1"/>
  <c r="P410" i="1"/>
  <c r="P434" i="1"/>
  <c r="P458" i="1"/>
  <c r="P482" i="1"/>
  <c r="P506" i="1"/>
  <c r="O9" i="1" a="1"/>
  <c r="O9" i="1" s="1"/>
  <c r="O30" i="1" a="1"/>
  <c r="O30" i="1" s="1"/>
  <c r="O115" i="1" a="1"/>
  <c r="O115" i="1" s="1"/>
  <c r="O137" i="1" a="1"/>
  <c r="O137" i="1" s="1"/>
  <c r="O158" i="1" a="1"/>
  <c r="O158" i="1" s="1"/>
  <c r="O182" i="1" a="1"/>
  <c r="O182" i="1" s="1"/>
  <c r="O206" i="1" a="1"/>
  <c r="O206" i="1" s="1"/>
  <c r="O230" i="1" a="1"/>
  <c r="O230" i="1" s="1"/>
  <c r="O254" i="1" a="1"/>
  <c r="O254" i="1" s="1"/>
  <c r="O278" i="1" a="1"/>
  <c r="O278" i="1" s="1"/>
  <c r="O302" i="1" a="1"/>
  <c r="O302" i="1" s="1"/>
  <c r="O326" i="1" a="1"/>
  <c r="O326" i="1" s="1"/>
  <c r="O350" i="1" a="1"/>
  <c r="O350" i="1" s="1"/>
  <c r="O374" i="1" a="1"/>
  <c r="O374" i="1" s="1"/>
  <c r="O398" i="1" a="1"/>
  <c r="O398" i="1" s="1"/>
  <c r="O422" i="1" a="1"/>
  <c r="O422" i="1" s="1"/>
  <c r="O446" i="1" a="1"/>
  <c r="O446" i="1" s="1"/>
  <c r="O470" i="1" a="1"/>
  <c r="O470" i="1" s="1"/>
  <c r="O494" i="1" a="1"/>
  <c r="O494" i="1" s="1"/>
  <c r="O10" i="1" a="1"/>
  <c r="O10" i="1" s="1"/>
  <c r="O31" i="1" a="1"/>
  <c r="O31" i="1" s="1"/>
  <c r="O94" i="1" a="1"/>
  <c r="O94" i="1" s="1"/>
  <c r="O116" i="1" a="1"/>
  <c r="O116" i="1" s="1"/>
  <c r="O138" i="1" a="1"/>
  <c r="O138" i="1" s="1"/>
  <c r="O159" i="1" a="1"/>
  <c r="O159" i="1" s="1"/>
  <c r="O183" i="1" a="1"/>
  <c r="O183" i="1" s="1"/>
  <c r="O207" i="1" a="1"/>
  <c r="O207" i="1" s="1"/>
  <c r="O231" i="1" a="1"/>
  <c r="O231" i="1" s="1"/>
  <c r="O255" i="1" a="1"/>
  <c r="O255" i="1" s="1"/>
  <c r="O279" i="1" a="1"/>
  <c r="O279" i="1" s="1"/>
  <c r="O303" i="1" a="1"/>
  <c r="O303" i="1" s="1"/>
  <c r="O327" i="1" a="1"/>
  <c r="O327" i="1" s="1"/>
  <c r="O351" i="1" a="1"/>
  <c r="O351" i="1" s="1"/>
  <c r="O375" i="1" a="1"/>
  <c r="O375" i="1" s="1"/>
  <c r="O399" i="1" a="1"/>
  <c r="O399" i="1" s="1"/>
  <c r="O423" i="1" a="1"/>
  <c r="O423" i="1" s="1"/>
  <c r="O447" i="1" a="1"/>
  <c r="O447" i="1" s="1"/>
  <c r="O471" i="1" a="1"/>
  <c r="O471" i="1" s="1"/>
  <c r="O495" i="1" a="1"/>
  <c r="O495" i="1" s="1"/>
  <c r="U105" i="1" a="1"/>
  <c r="U105" i="1" s="1"/>
  <c r="O11" i="1" a="1"/>
  <c r="O11" i="1" s="1"/>
  <c r="O74" i="1" a="1"/>
  <c r="O74" i="1" s="1"/>
  <c r="O95" i="1" a="1"/>
  <c r="O95" i="1" s="1"/>
  <c r="O117" i="1" a="1"/>
  <c r="O117" i="1" s="1"/>
  <c r="O139" i="1" a="1"/>
  <c r="O139" i="1" s="1"/>
  <c r="O160" i="1" a="1"/>
  <c r="O160" i="1" s="1"/>
  <c r="O184" i="1" a="1"/>
  <c r="O184" i="1" s="1"/>
  <c r="O208" i="1" a="1"/>
  <c r="O208" i="1" s="1"/>
  <c r="O232" i="1" a="1"/>
  <c r="O232" i="1" s="1"/>
  <c r="O256" i="1" a="1"/>
  <c r="O256" i="1" s="1"/>
  <c r="O280" i="1" a="1"/>
  <c r="O280" i="1" s="1"/>
  <c r="O304" i="1" a="1"/>
  <c r="O304" i="1" s="1"/>
  <c r="O328" i="1" a="1"/>
  <c r="O328" i="1" s="1"/>
  <c r="O352" i="1" a="1"/>
  <c r="O352" i="1" s="1"/>
  <c r="O376" i="1" a="1"/>
  <c r="O376" i="1" s="1"/>
  <c r="O400" i="1" a="1"/>
  <c r="O400" i="1" s="1"/>
  <c r="O424" i="1" a="1"/>
  <c r="O424" i="1" s="1"/>
  <c r="O448" i="1" a="1"/>
  <c r="O448" i="1" s="1"/>
  <c r="O472" i="1" a="1"/>
  <c r="O472" i="1" s="1"/>
  <c r="O496" i="1" a="1"/>
  <c r="O496" i="1" s="1"/>
  <c r="O12" i="1" a="1"/>
  <c r="O12" i="1" s="1"/>
  <c r="O75" i="1" a="1"/>
  <c r="O75" i="1" s="1"/>
  <c r="O96" i="1" a="1"/>
  <c r="O96" i="1" s="1"/>
  <c r="O118" i="1" a="1"/>
  <c r="O118" i="1" s="1"/>
  <c r="O140" i="1" a="1"/>
  <c r="O140" i="1" s="1"/>
  <c r="O161" i="1" a="1"/>
  <c r="O161" i="1" s="1"/>
  <c r="O185" i="1" a="1"/>
  <c r="O185" i="1" s="1"/>
  <c r="O209" i="1" a="1"/>
  <c r="O209" i="1" s="1"/>
  <c r="O233" i="1" a="1"/>
  <c r="O233" i="1" s="1"/>
  <c r="O257" i="1" a="1"/>
  <c r="O257" i="1" s="1"/>
  <c r="O281" i="1" a="1"/>
  <c r="O281" i="1" s="1"/>
  <c r="O305" i="1" a="1"/>
  <c r="O305" i="1" s="1"/>
  <c r="O329" i="1" a="1"/>
  <c r="O329" i="1" s="1"/>
  <c r="O353" i="1" a="1"/>
  <c r="O353" i="1" s="1"/>
  <c r="O377" i="1" a="1"/>
  <c r="O377" i="1" s="1"/>
  <c r="O401" i="1" a="1"/>
  <c r="O401" i="1" s="1"/>
  <c r="O425" i="1" a="1"/>
  <c r="O425" i="1" s="1"/>
  <c r="O449" i="1" a="1"/>
  <c r="O449" i="1" s="1"/>
  <c r="O473" i="1" a="1"/>
  <c r="O473" i="1" s="1"/>
  <c r="O497" i="1" a="1"/>
  <c r="O497" i="1" s="1"/>
  <c r="U123" i="1" a="1"/>
  <c r="U123" i="1" s="1"/>
  <c r="O34" i="1" a="1"/>
  <c r="O34" i="1" s="1"/>
  <c r="O54" i="1" a="1"/>
  <c r="O54" i="1" s="1"/>
  <c r="O76" i="1" a="1"/>
  <c r="O76" i="1" s="1"/>
  <c r="O119" i="1" a="1"/>
  <c r="O119" i="1" s="1"/>
  <c r="O141" i="1" a="1"/>
  <c r="O141" i="1" s="1"/>
  <c r="O162" i="1" a="1"/>
  <c r="O162" i="1" s="1"/>
  <c r="O186" i="1" a="1"/>
  <c r="O186" i="1" s="1"/>
  <c r="O210" i="1" a="1"/>
  <c r="O210" i="1" s="1"/>
  <c r="O234" i="1" a="1"/>
  <c r="O234" i="1" s="1"/>
  <c r="O258" i="1" a="1"/>
  <c r="O258" i="1" s="1"/>
  <c r="O282" i="1" a="1"/>
  <c r="O282" i="1" s="1"/>
  <c r="O306" i="1" a="1"/>
  <c r="O306" i="1" s="1"/>
  <c r="O330" i="1" a="1"/>
  <c r="O330" i="1" s="1"/>
  <c r="O354" i="1" a="1"/>
  <c r="O354" i="1" s="1"/>
  <c r="O378" i="1" a="1"/>
  <c r="O378" i="1" s="1"/>
  <c r="O402" i="1" a="1"/>
  <c r="O402" i="1" s="1"/>
  <c r="O426" i="1" a="1"/>
  <c r="O426" i="1" s="1"/>
  <c r="O450" i="1" a="1"/>
  <c r="O450" i="1" s="1"/>
  <c r="O474" i="1" a="1"/>
  <c r="O474" i="1" s="1"/>
  <c r="O498" i="1" a="1"/>
  <c r="O498" i="1" s="1"/>
  <c r="O13" i="1" a="1"/>
  <c r="O13" i="1" s="1"/>
  <c r="O55" i="1" a="1"/>
  <c r="O55" i="1" s="1"/>
  <c r="O98" i="1" a="1"/>
  <c r="O98" i="1" s="1"/>
  <c r="O120" i="1" a="1"/>
  <c r="O120" i="1" s="1"/>
  <c r="O163" i="1" a="1"/>
  <c r="O163" i="1" s="1"/>
  <c r="O187" i="1" a="1"/>
  <c r="O187" i="1" s="1"/>
  <c r="O211" i="1" a="1"/>
  <c r="O211" i="1" s="1"/>
  <c r="O235" i="1" a="1"/>
  <c r="O235" i="1" s="1"/>
  <c r="O259" i="1" a="1"/>
  <c r="O259" i="1" s="1"/>
  <c r="O283" i="1" a="1"/>
  <c r="O283" i="1" s="1"/>
  <c r="O307" i="1" a="1"/>
  <c r="O307" i="1" s="1"/>
  <c r="O331" i="1" a="1"/>
  <c r="O331" i="1" s="1"/>
  <c r="O355" i="1" a="1"/>
  <c r="O355" i="1" s="1"/>
  <c r="O379" i="1" a="1"/>
  <c r="O379" i="1" s="1"/>
  <c r="O403" i="1" a="1"/>
  <c r="O403" i="1" s="1"/>
  <c r="O427" i="1" a="1"/>
  <c r="O427" i="1" s="1"/>
  <c r="O451" i="1" a="1"/>
  <c r="O451" i="1" s="1"/>
  <c r="O475" i="1" a="1"/>
  <c r="O475" i="1" s="1"/>
  <c r="O499" i="1" a="1"/>
  <c r="O499" i="1" s="1"/>
  <c r="O35" i="1" a="1"/>
  <c r="O35" i="1" s="1"/>
  <c r="O56" i="1" a="1"/>
  <c r="O56" i="1" s="1"/>
  <c r="O78" i="1" a="1"/>
  <c r="O78" i="1" s="1"/>
  <c r="O99" i="1" a="1"/>
  <c r="O99" i="1" s="1"/>
  <c r="O142" i="1" a="1"/>
  <c r="O142" i="1" s="1"/>
  <c r="O164" i="1" a="1"/>
  <c r="O164" i="1" s="1"/>
  <c r="O188" i="1" a="1"/>
  <c r="O188" i="1" s="1"/>
  <c r="O212" i="1" a="1"/>
  <c r="O212" i="1" s="1"/>
  <c r="O236" i="1" a="1"/>
  <c r="O236" i="1" s="1"/>
  <c r="O260" i="1" a="1"/>
  <c r="O260" i="1" s="1"/>
  <c r="O284" i="1" a="1"/>
  <c r="O284" i="1" s="1"/>
  <c r="O308" i="1" a="1"/>
  <c r="O308" i="1" s="1"/>
  <c r="O332" i="1" a="1"/>
  <c r="O332" i="1" s="1"/>
  <c r="O356" i="1" a="1"/>
  <c r="O356" i="1" s="1"/>
  <c r="O380" i="1" a="1"/>
  <c r="O380" i="1" s="1"/>
  <c r="O404" i="1" a="1"/>
  <c r="O404" i="1" s="1"/>
  <c r="O428" i="1" a="1"/>
  <c r="O428" i="1" s="1"/>
  <c r="O452" i="1" a="1"/>
  <c r="O452" i="1" s="1"/>
  <c r="O476" i="1" a="1"/>
  <c r="O476" i="1" s="1"/>
  <c r="O500" i="1" a="1"/>
  <c r="O500" i="1" s="1"/>
  <c r="O14" i="1" a="1"/>
  <c r="O14" i="1" s="1"/>
  <c r="O57" i="1" a="1"/>
  <c r="O57" i="1" s="1"/>
  <c r="O79" i="1" a="1"/>
  <c r="O79" i="1" s="1"/>
  <c r="O122" i="1" a="1"/>
  <c r="O122" i="1" s="1"/>
  <c r="O143" i="1" a="1"/>
  <c r="O143" i="1" s="1"/>
  <c r="O165" i="1" a="1"/>
  <c r="O165" i="1" s="1"/>
  <c r="O189" i="1" a="1"/>
  <c r="O189" i="1" s="1"/>
  <c r="O213" i="1" a="1"/>
  <c r="O213" i="1" s="1"/>
  <c r="O285" i="1" a="1"/>
  <c r="O285" i="1" s="1"/>
  <c r="O309" i="1" a="1"/>
  <c r="O309" i="1" s="1"/>
  <c r="O333" i="1" a="1"/>
  <c r="O333" i="1" s="1"/>
  <c r="O357" i="1" a="1"/>
  <c r="O357" i="1" s="1"/>
  <c r="O381" i="1" a="1"/>
  <c r="O381" i="1" s="1"/>
  <c r="O405" i="1" a="1"/>
  <c r="O405" i="1" s="1"/>
  <c r="O429" i="1" a="1"/>
  <c r="O429" i="1" s="1"/>
  <c r="O453" i="1" a="1"/>
  <c r="O453" i="1" s="1"/>
  <c r="O477" i="1" a="1"/>
  <c r="O477" i="1" s="1"/>
  <c r="O501" i="1" a="1"/>
  <c r="O501" i="1" s="1"/>
  <c r="O15" i="1" a="1"/>
  <c r="O15" i="1" s="1"/>
  <c r="O36" i="1" a="1"/>
  <c r="O36" i="1" s="1"/>
  <c r="O58" i="1" a="1"/>
  <c r="O58" i="1" s="1"/>
  <c r="O123" i="1" a="1"/>
  <c r="O123" i="1" s="1"/>
  <c r="O144" i="1" a="1"/>
  <c r="O144" i="1" s="1"/>
  <c r="O166" i="1" a="1"/>
  <c r="O166" i="1" s="1"/>
  <c r="O190" i="1" a="1"/>
  <c r="O190" i="1" s="1"/>
  <c r="O214" i="1" a="1"/>
  <c r="O214" i="1" s="1"/>
  <c r="O238" i="1" a="1"/>
  <c r="O238" i="1" s="1"/>
  <c r="O262" i="1" a="1"/>
  <c r="O262" i="1" s="1"/>
  <c r="O286" i="1" a="1"/>
  <c r="O286" i="1" s="1"/>
  <c r="O310" i="1" a="1"/>
  <c r="O310" i="1" s="1"/>
  <c r="O334" i="1" a="1"/>
  <c r="O334" i="1" s="1"/>
  <c r="O358" i="1" a="1"/>
  <c r="O358" i="1" s="1"/>
  <c r="O382" i="1" a="1"/>
  <c r="O382" i="1" s="1"/>
  <c r="O406" i="1" a="1"/>
  <c r="O406" i="1" s="1"/>
  <c r="O430" i="1" a="1"/>
  <c r="O430" i="1" s="1"/>
  <c r="O454" i="1" a="1"/>
  <c r="O454" i="1" s="1"/>
  <c r="O478" i="1" a="1"/>
  <c r="O478" i="1" s="1"/>
  <c r="O502" i="1" a="1"/>
  <c r="O502" i="1" s="1"/>
  <c r="U143" i="1" a="1"/>
  <c r="U143" i="1" s="1"/>
  <c r="O16" i="1" a="1"/>
  <c r="O16" i="1" s="1"/>
  <c r="O37" i="1" a="1"/>
  <c r="O37" i="1" s="1"/>
  <c r="O59" i="1" a="1"/>
  <c r="O59" i="1" s="1"/>
  <c r="O124" i="1" a="1"/>
  <c r="O124" i="1" s="1"/>
  <c r="O145" i="1" a="1"/>
  <c r="O145" i="1" s="1"/>
  <c r="O167" i="1" a="1"/>
  <c r="O167" i="1" s="1"/>
  <c r="O191" i="1" a="1"/>
  <c r="O191" i="1" s="1"/>
  <c r="O215" i="1" a="1"/>
  <c r="O215" i="1" s="1"/>
  <c r="O239" i="1" a="1"/>
  <c r="O239" i="1" s="1"/>
  <c r="O263" i="1" a="1"/>
  <c r="O263" i="1" s="1"/>
  <c r="O287" i="1" a="1"/>
  <c r="O287" i="1" s="1"/>
  <c r="O311" i="1" a="1"/>
  <c r="O311" i="1" s="1"/>
  <c r="O335" i="1" a="1"/>
  <c r="O335" i="1" s="1"/>
  <c r="O359" i="1" a="1"/>
  <c r="O359" i="1" s="1"/>
  <c r="O383" i="1" a="1"/>
  <c r="O383" i="1" s="1"/>
  <c r="O407" i="1" a="1"/>
  <c r="O407" i="1" s="1"/>
  <c r="O431" i="1" a="1"/>
  <c r="O431" i="1" s="1"/>
  <c r="O455" i="1" a="1"/>
  <c r="O455" i="1" s="1"/>
  <c r="O479" i="1" a="1"/>
  <c r="O479" i="1" s="1"/>
  <c r="O503" i="1" a="1"/>
  <c r="O503" i="1" s="1"/>
  <c r="U162" i="1" a="1"/>
  <c r="U162" i="1" s="1"/>
  <c r="O38" i="1" a="1"/>
  <c r="O38" i="1" s="1"/>
  <c r="O82" i="1" a="1"/>
  <c r="O82" i="1" s="1"/>
  <c r="O102" i="1" a="1"/>
  <c r="O102" i="1" s="1"/>
  <c r="O125" i="1" a="1"/>
  <c r="O125" i="1" s="1"/>
  <c r="O146" i="1" a="1"/>
  <c r="O146" i="1" s="1"/>
  <c r="O168" i="1" a="1"/>
  <c r="O168" i="1" s="1"/>
  <c r="O192" i="1" a="1"/>
  <c r="O192" i="1" s="1"/>
  <c r="O216" i="1" a="1"/>
  <c r="O216" i="1" s="1"/>
  <c r="O288" i="1" a="1"/>
  <c r="O288" i="1" s="1"/>
  <c r="O312" i="1" a="1"/>
  <c r="O312" i="1" s="1"/>
  <c r="O336" i="1" a="1"/>
  <c r="O336" i="1" s="1"/>
  <c r="O360" i="1" a="1"/>
  <c r="O360" i="1" s="1"/>
  <c r="O384" i="1" a="1"/>
  <c r="O384" i="1" s="1"/>
  <c r="O408" i="1" a="1"/>
  <c r="O408" i="1" s="1"/>
  <c r="O432" i="1" a="1"/>
  <c r="O432" i="1" s="1"/>
  <c r="O456" i="1" a="1"/>
  <c r="O456" i="1" s="1"/>
  <c r="O480" i="1" a="1"/>
  <c r="O480" i="1" s="1"/>
  <c r="O504" i="1" a="1"/>
  <c r="O504" i="1" s="1"/>
  <c r="U182" i="1" a="1"/>
  <c r="U182" i="1" s="1"/>
  <c r="O18" i="1" a="1"/>
  <c r="O18" i="1" s="1"/>
  <c r="O39" i="1" a="1"/>
  <c r="O39" i="1" s="1"/>
  <c r="O60" i="1" a="1"/>
  <c r="O60" i="1" s="1"/>
  <c r="O103" i="1" a="1"/>
  <c r="O103" i="1" s="1"/>
  <c r="O126" i="1" a="1"/>
  <c r="O126" i="1" s="1"/>
  <c r="O147" i="1" a="1"/>
  <c r="O147" i="1" s="1"/>
  <c r="O169" i="1" a="1"/>
  <c r="O169" i="1" s="1"/>
  <c r="O193" i="1" a="1"/>
  <c r="O193" i="1" s="1"/>
  <c r="O217" i="1" a="1"/>
  <c r="O217" i="1" s="1"/>
  <c r="O289" i="1" a="1"/>
  <c r="O289" i="1" s="1"/>
  <c r="O313" i="1" a="1"/>
  <c r="O313" i="1" s="1"/>
  <c r="O337" i="1" a="1"/>
  <c r="O337" i="1" s="1"/>
  <c r="O361" i="1" a="1"/>
  <c r="O361" i="1" s="1"/>
  <c r="O385" i="1" a="1"/>
  <c r="O385" i="1" s="1"/>
  <c r="O409" i="1" a="1"/>
  <c r="O409" i="1" s="1"/>
  <c r="O433" i="1" a="1"/>
  <c r="O433" i="1" s="1"/>
  <c r="O457" i="1" a="1"/>
  <c r="O457" i="1" s="1"/>
  <c r="O481" i="1" a="1"/>
  <c r="O481" i="1" s="1"/>
  <c r="O505" i="1" a="1"/>
  <c r="O505" i="1" s="1"/>
  <c r="T123" i="1" a="1"/>
  <c r="T123" i="1" s="1"/>
  <c r="O19" i="1" a="1"/>
  <c r="O19" i="1" s="1"/>
  <c r="O61" i="1" a="1"/>
  <c r="O61" i="1" s="1"/>
  <c r="O104" i="1" a="1"/>
  <c r="O104" i="1" s="1"/>
  <c r="O127" i="1" a="1"/>
  <c r="O127" i="1" s="1"/>
  <c r="O148" i="1" a="1"/>
  <c r="O148" i="1" s="1"/>
  <c r="O170" i="1" a="1"/>
  <c r="O170" i="1" s="1"/>
  <c r="O194" i="1" a="1"/>
  <c r="O194" i="1" s="1"/>
  <c r="O218" i="1" a="1"/>
  <c r="O218" i="1" s="1"/>
  <c r="O242" i="1" a="1"/>
  <c r="O242" i="1" s="1"/>
  <c r="O266" i="1" a="1"/>
  <c r="O266" i="1" s="1"/>
  <c r="O290" i="1" a="1"/>
  <c r="O290" i="1" s="1"/>
  <c r="O314" i="1" a="1"/>
  <c r="O314" i="1" s="1"/>
  <c r="O338" i="1" a="1"/>
  <c r="O338" i="1" s="1"/>
  <c r="O362" i="1" a="1"/>
  <c r="O362" i="1" s="1"/>
  <c r="O386" i="1" a="1"/>
  <c r="O386" i="1" s="1"/>
  <c r="O410" i="1" a="1"/>
  <c r="O410" i="1" s="1"/>
  <c r="O434" i="1" a="1"/>
  <c r="O434" i="1" s="1"/>
  <c r="O458" i="1" a="1"/>
  <c r="O458" i="1" s="1"/>
  <c r="O482" i="1" a="1"/>
  <c r="O482" i="1" s="1"/>
  <c r="O506" i="1" a="1"/>
  <c r="O506" i="1" s="1"/>
  <c r="O20" i="1" a="1"/>
  <c r="O20" i="1" s="1"/>
  <c r="O62" i="1" a="1"/>
  <c r="O62" i="1" s="1"/>
  <c r="O105" i="1" a="1"/>
  <c r="O105" i="1" s="1"/>
  <c r="O128" i="1" a="1"/>
  <c r="O128" i="1" s="1"/>
  <c r="O149" i="1" a="1"/>
  <c r="O149" i="1" s="1"/>
  <c r="O171" i="1" a="1"/>
  <c r="O171" i="1" s="1"/>
  <c r="O195" i="1" a="1"/>
  <c r="O195" i="1" s="1"/>
  <c r="O219" i="1" a="1"/>
  <c r="O219" i="1" s="1"/>
  <c r="O243" i="1" a="1"/>
  <c r="O243" i="1" s="1"/>
  <c r="O291" i="1" a="1"/>
  <c r="O291" i="1" s="1"/>
  <c r="O315" i="1" a="1"/>
  <c r="O315" i="1" s="1"/>
  <c r="O339" i="1" a="1"/>
  <c r="O339" i="1" s="1"/>
  <c r="O363" i="1" a="1"/>
  <c r="O363" i="1" s="1"/>
  <c r="O387" i="1" a="1"/>
  <c r="O387" i="1" s="1"/>
  <c r="O411" i="1" a="1"/>
  <c r="O411" i="1" s="1"/>
  <c r="O435" i="1" a="1"/>
  <c r="O435" i="1" s="1"/>
  <c r="O459" i="1" a="1"/>
  <c r="O459" i="1" s="1"/>
  <c r="O483" i="1" a="1"/>
  <c r="O483" i="1" s="1"/>
  <c r="O507" i="1" a="1"/>
  <c r="O507" i="1" s="1"/>
  <c r="U201" i="1" a="1"/>
  <c r="U201" i="1" s="1"/>
  <c r="O42" i="1" a="1"/>
  <c r="O42" i="1" s="1"/>
  <c r="O63" i="1" a="1"/>
  <c r="O63" i="1" s="1"/>
  <c r="O106" i="1" a="1"/>
  <c r="O106" i="1" s="1"/>
  <c r="O172" i="1" a="1"/>
  <c r="O172" i="1" s="1"/>
  <c r="O220" i="1" a="1"/>
  <c r="O220" i="1" s="1"/>
  <c r="O244" i="1" a="1"/>
  <c r="O244" i="1" s="1"/>
  <c r="O292" i="1" a="1"/>
  <c r="O292" i="1" s="1"/>
  <c r="O316" i="1" a="1"/>
  <c r="O316" i="1" s="1"/>
  <c r="O340" i="1" a="1"/>
  <c r="O340" i="1" s="1"/>
  <c r="O364" i="1" a="1"/>
  <c r="O364" i="1" s="1"/>
  <c r="O388" i="1" a="1"/>
  <c r="O388" i="1" s="1"/>
  <c r="O412" i="1" a="1"/>
  <c r="O412" i="1" s="1"/>
  <c r="O436" i="1" a="1"/>
  <c r="O436" i="1" s="1"/>
  <c r="O460" i="1" a="1"/>
  <c r="O460" i="1" s="1"/>
  <c r="O484" i="1" a="1"/>
  <c r="O484" i="1" s="1"/>
  <c r="O508" i="1" a="1"/>
  <c r="O508" i="1" s="1"/>
  <c r="O2" i="1" a="1"/>
  <c r="O2" i="1" s="1"/>
  <c r="O22" i="1" a="1"/>
  <c r="O22" i="1" s="1"/>
  <c r="O43" i="1" a="1"/>
  <c r="O43" i="1" s="1"/>
  <c r="O64" i="1" a="1"/>
  <c r="O64" i="1" s="1"/>
  <c r="O107" i="1" a="1"/>
  <c r="O107" i="1" s="1"/>
  <c r="O130" i="1" a="1"/>
  <c r="O130" i="1" s="1"/>
  <c r="O150" i="1" a="1"/>
  <c r="O150" i="1" s="1"/>
  <c r="O173" i="1" a="1"/>
  <c r="O173" i="1" s="1"/>
  <c r="O221" i="1" a="1"/>
  <c r="O221" i="1" s="1"/>
  <c r="O245" i="1" a="1"/>
  <c r="O245" i="1" s="1"/>
  <c r="O293" i="1" a="1"/>
  <c r="O293" i="1" s="1"/>
  <c r="O317" i="1" a="1"/>
  <c r="O317" i="1" s="1"/>
  <c r="O341" i="1" a="1"/>
  <c r="O341" i="1" s="1"/>
  <c r="O365" i="1" a="1"/>
  <c r="O365" i="1" s="1"/>
  <c r="O389" i="1" a="1"/>
  <c r="O389" i="1" s="1"/>
  <c r="O413" i="1" a="1"/>
  <c r="O413" i="1" s="1"/>
  <c r="O437" i="1" a="1"/>
  <c r="O437" i="1" s="1"/>
  <c r="O461" i="1" a="1"/>
  <c r="O461" i="1" s="1"/>
  <c r="O485" i="1" a="1"/>
  <c r="O485" i="1" s="1"/>
  <c r="O509" i="1" a="1"/>
  <c r="O509" i="1" s="1"/>
  <c r="O3" i="1" a="1"/>
  <c r="O3" i="1" s="1"/>
  <c r="O44" i="1" a="1"/>
  <c r="O44" i="1" s="1"/>
  <c r="O65" i="1" a="1"/>
  <c r="O65" i="1" s="1"/>
  <c r="O86" i="1" a="1"/>
  <c r="O86" i="1" s="1"/>
  <c r="O151" i="1" a="1"/>
  <c r="O151" i="1" s="1"/>
  <c r="O174" i="1" a="1"/>
  <c r="O174" i="1" s="1"/>
  <c r="O198" i="1" a="1"/>
  <c r="O198" i="1" s="1"/>
  <c r="O222" i="1" a="1"/>
  <c r="O222" i="1" s="1"/>
  <c r="O246" i="1" a="1"/>
  <c r="O246" i="1" s="1"/>
  <c r="O270" i="1" a="1"/>
  <c r="O270" i="1" s="1"/>
  <c r="O294" i="1" a="1"/>
  <c r="O294" i="1" s="1"/>
  <c r="O318" i="1" a="1"/>
  <c r="O318" i="1" s="1"/>
  <c r="O342" i="1" a="1"/>
  <c r="O342" i="1" s="1"/>
  <c r="O366" i="1" a="1"/>
  <c r="O366" i="1" s="1"/>
  <c r="O390" i="1" a="1"/>
  <c r="O390" i="1" s="1"/>
  <c r="O414" i="1" a="1"/>
  <c r="O414" i="1" s="1"/>
  <c r="O438" i="1" a="1"/>
  <c r="O438" i="1" s="1"/>
  <c r="O462" i="1" a="1"/>
  <c r="O462" i="1" s="1"/>
  <c r="O486" i="1" a="1"/>
  <c r="O486" i="1" s="1"/>
  <c r="O510" i="1" a="1"/>
  <c r="O510" i="1" s="1"/>
  <c r="O23" i="1" a="1"/>
  <c r="O23" i="1" s="1"/>
  <c r="O66" i="1" a="1"/>
  <c r="O66" i="1" s="1"/>
  <c r="O87" i="1" a="1"/>
  <c r="O87" i="1" s="1"/>
  <c r="O108" i="1" a="1"/>
  <c r="O108" i="1" s="1"/>
  <c r="O152" i="1" a="1"/>
  <c r="O152" i="1" s="1"/>
  <c r="O175" i="1" a="1"/>
  <c r="O175" i="1" s="1"/>
  <c r="O199" i="1" a="1"/>
  <c r="O199" i="1" s="1"/>
  <c r="O223" i="1" a="1"/>
  <c r="O223" i="1" s="1"/>
  <c r="O247" i="1" a="1"/>
  <c r="O247" i="1" s="1"/>
  <c r="O271" i="1" a="1"/>
  <c r="O271" i="1" s="1"/>
  <c r="O295" i="1" a="1"/>
  <c r="O295" i="1" s="1"/>
  <c r="O319" i="1" a="1"/>
  <c r="O319" i="1" s="1"/>
  <c r="O343" i="1" a="1"/>
  <c r="O343" i="1" s="1"/>
  <c r="O367" i="1" a="1"/>
  <c r="O367" i="1" s="1"/>
  <c r="O391" i="1" a="1"/>
  <c r="O391" i="1" s="1"/>
  <c r="O415" i="1" a="1"/>
  <c r="O415" i="1" s="1"/>
  <c r="O439" i="1" a="1"/>
  <c r="O439" i="1" s="1"/>
  <c r="O463" i="1" a="1"/>
  <c r="O463" i="1" s="1"/>
  <c r="O487" i="1" a="1"/>
  <c r="O487" i="1" s="1"/>
  <c r="O511" i="1" a="1"/>
  <c r="O511" i="1" s="1"/>
  <c r="O24" i="1" a="1"/>
  <c r="O24" i="1" s="1"/>
  <c r="O109" i="1" a="1"/>
  <c r="O109" i="1" s="1"/>
  <c r="O153" i="1" a="1"/>
  <c r="O153" i="1" s="1"/>
  <c r="O176" i="1" a="1"/>
  <c r="O176" i="1" s="1"/>
  <c r="O200" i="1" a="1"/>
  <c r="O200" i="1" s="1"/>
  <c r="O224" i="1" a="1"/>
  <c r="O224" i="1" s="1"/>
  <c r="O248" i="1" a="1"/>
  <c r="O248" i="1" s="1"/>
  <c r="O272" i="1" a="1"/>
  <c r="O272" i="1" s="1"/>
  <c r="O296" i="1" a="1"/>
  <c r="O296" i="1" s="1"/>
  <c r="O320" i="1" a="1"/>
  <c r="O320" i="1" s="1"/>
  <c r="O344" i="1" a="1"/>
  <c r="O344" i="1" s="1"/>
  <c r="O368" i="1" a="1"/>
  <c r="O368" i="1" s="1"/>
  <c r="O392" i="1" a="1"/>
  <c r="O392" i="1" s="1"/>
  <c r="O416" i="1" a="1"/>
  <c r="O416" i="1" s="1"/>
  <c r="O440" i="1" a="1"/>
  <c r="O440" i="1" s="1"/>
  <c r="O464" i="1" a="1"/>
  <c r="O464" i="1" s="1"/>
  <c r="O488" i="1" a="1"/>
  <c r="O488" i="1" s="1"/>
  <c r="O512" i="1" a="1"/>
  <c r="O512" i="1" s="1"/>
  <c r="O46" i="1" a="1"/>
  <c r="O46" i="1" s="1"/>
  <c r="O110" i="1" a="1"/>
  <c r="O110" i="1" s="1"/>
  <c r="O154" i="1" a="1"/>
  <c r="O154" i="1" s="1"/>
  <c r="O177" i="1" a="1"/>
  <c r="O177" i="1" s="1"/>
  <c r="O201" i="1" a="1"/>
  <c r="O201" i="1" s="1"/>
  <c r="O225" i="1" a="1"/>
  <c r="O225" i="1" s="1"/>
  <c r="O249" i="1" a="1"/>
  <c r="O249" i="1" s="1"/>
  <c r="O273" i="1" a="1"/>
  <c r="O273" i="1" s="1"/>
  <c r="O297" i="1" a="1"/>
  <c r="O297" i="1" s="1"/>
  <c r="O321" i="1" a="1"/>
  <c r="O321" i="1" s="1"/>
  <c r="O345" i="1" a="1"/>
  <c r="O345" i="1" s="1"/>
  <c r="O369" i="1" a="1"/>
  <c r="O369" i="1" s="1"/>
  <c r="O393" i="1" a="1"/>
  <c r="O393" i="1" s="1"/>
  <c r="O417" i="1" a="1"/>
  <c r="O417" i="1" s="1"/>
  <c r="O441" i="1" a="1"/>
  <c r="O441" i="1" s="1"/>
  <c r="O465" i="1" a="1"/>
  <c r="O465" i="1" s="1"/>
  <c r="O489" i="1" a="1"/>
  <c r="O489" i="1" s="1"/>
  <c r="O513" i="1" a="1"/>
  <c r="O513" i="1" s="1"/>
  <c r="O6" i="1" a="1"/>
  <c r="O6" i="1" s="1"/>
  <c r="O26" i="1" a="1"/>
  <c r="O26" i="1" s="1"/>
  <c r="O47" i="1" a="1"/>
  <c r="O47" i="1" s="1"/>
  <c r="O90" i="1" a="1"/>
  <c r="O90" i="1" s="1"/>
  <c r="O111" i="1" a="1"/>
  <c r="O111" i="1" s="1"/>
  <c r="O155" i="1" a="1"/>
  <c r="O155" i="1" s="1"/>
  <c r="O178" i="1" a="1"/>
  <c r="O178" i="1" s="1"/>
  <c r="O202" i="1" a="1"/>
  <c r="O202" i="1" s="1"/>
  <c r="O226" i="1" a="1"/>
  <c r="O226" i="1" s="1"/>
  <c r="O250" i="1" a="1"/>
  <c r="O250" i="1" s="1"/>
  <c r="O274" i="1" a="1"/>
  <c r="O274" i="1" s="1"/>
  <c r="O298" i="1" a="1"/>
  <c r="O298" i="1" s="1"/>
  <c r="O322" i="1" a="1"/>
  <c r="O322" i="1" s="1"/>
  <c r="O346" i="1" a="1"/>
  <c r="O346" i="1" s="1"/>
  <c r="O370" i="1" a="1"/>
  <c r="O370" i="1" s="1"/>
  <c r="O394" i="1" a="1"/>
  <c r="O394" i="1" s="1"/>
  <c r="O418" i="1" a="1"/>
  <c r="O418" i="1" s="1"/>
  <c r="O442" i="1" a="1"/>
  <c r="O442" i="1" s="1"/>
  <c r="O466" i="1" a="1"/>
  <c r="O466" i="1" s="1"/>
  <c r="O490" i="1" a="1"/>
  <c r="O490" i="1" s="1"/>
  <c r="O27" i="1" a="1"/>
  <c r="O27" i="1" s="1"/>
  <c r="O48" i="1" a="1"/>
  <c r="O48" i="1" s="1"/>
  <c r="O70" i="1" a="1"/>
  <c r="O70" i="1" s="1"/>
  <c r="O91" i="1" a="1"/>
  <c r="O91" i="1" s="1"/>
  <c r="O112" i="1" a="1"/>
  <c r="O112" i="1" s="1"/>
  <c r="O134" i="1" a="1"/>
  <c r="O134" i="1" s="1"/>
  <c r="O179" i="1" a="1"/>
  <c r="O179" i="1" s="1"/>
  <c r="O203" i="1" a="1"/>
  <c r="O203" i="1" s="1"/>
  <c r="O227" i="1" a="1"/>
  <c r="O227" i="1" s="1"/>
  <c r="O251" i="1" a="1"/>
  <c r="O251" i="1" s="1"/>
  <c r="O275" i="1" a="1"/>
  <c r="O275" i="1" s="1"/>
  <c r="O299" i="1" a="1"/>
  <c r="O299" i="1" s="1"/>
  <c r="O323" i="1" a="1"/>
  <c r="O323" i="1" s="1"/>
  <c r="O347" i="1" a="1"/>
  <c r="O347" i="1" s="1"/>
  <c r="O371" i="1" a="1"/>
  <c r="O371" i="1" s="1"/>
  <c r="O395" i="1" a="1"/>
  <c r="O395" i="1" s="1"/>
  <c r="O419" i="1" a="1"/>
  <c r="O419" i="1" s="1"/>
  <c r="O443" i="1" a="1"/>
  <c r="O443" i="1" s="1"/>
  <c r="O467" i="1" a="1"/>
  <c r="O467" i="1" s="1"/>
  <c r="O491" i="1" a="1"/>
  <c r="O491" i="1" s="1"/>
  <c r="U6" i="1" a="1"/>
  <c r="U6" i="1" s="1"/>
  <c r="O7" i="1" a="1"/>
  <c r="O7" i="1" s="1"/>
  <c r="O28" i="1" a="1"/>
  <c r="O28" i="1" s="1"/>
  <c r="O49" i="1" a="1"/>
  <c r="O49" i="1" s="1"/>
  <c r="O92" i="1" a="1"/>
  <c r="O92" i="1" s="1"/>
  <c r="O113" i="1" a="1"/>
  <c r="O113" i="1" s="1"/>
  <c r="O135" i="1" a="1"/>
  <c r="O135" i="1" s="1"/>
  <c r="O156" i="1" a="1"/>
  <c r="O156" i="1" s="1"/>
  <c r="O180" i="1" a="1"/>
  <c r="O180" i="1" s="1"/>
  <c r="O204" i="1" a="1"/>
  <c r="O204" i="1" s="1"/>
  <c r="O228" i="1" a="1"/>
  <c r="O228" i="1" s="1"/>
  <c r="O252" i="1" a="1"/>
  <c r="O252" i="1" s="1"/>
  <c r="O276" i="1" a="1"/>
  <c r="O276" i="1" s="1"/>
  <c r="O300" i="1" a="1"/>
  <c r="O300" i="1" s="1"/>
  <c r="O324" i="1" a="1"/>
  <c r="O324" i="1" s="1"/>
  <c r="O348" i="1" a="1"/>
  <c r="O348" i="1" s="1"/>
  <c r="O372" i="1" a="1"/>
  <c r="O372" i="1" s="1"/>
  <c r="O396" i="1" a="1"/>
  <c r="O396" i="1" s="1"/>
  <c r="O420" i="1" a="1"/>
  <c r="O420" i="1" s="1"/>
  <c r="O444" i="1" a="1"/>
  <c r="O444" i="1" s="1"/>
  <c r="O468" i="1" a="1"/>
  <c r="O468" i="1" s="1"/>
  <c r="O492" i="1" a="1"/>
  <c r="O492" i="1" s="1"/>
  <c r="O8" i="1" a="1"/>
  <c r="O8" i="1" s="1"/>
  <c r="O29" i="1" a="1"/>
  <c r="O29" i="1" s="1"/>
  <c r="O50" i="1" a="1"/>
  <c r="O50" i="1" s="1"/>
  <c r="O71" i="1" a="1"/>
  <c r="O71" i="1" s="1"/>
  <c r="O93" i="1" a="1"/>
  <c r="O93" i="1" s="1"/>
  <c r="O114" i="1" a="1"/>
  <c r="O114" i="1" s="1"/>
  <c r="O136" i="1" a="1"/>
  <c r="O136" i="1" s="1"/>
  <c r="O157" i="1" a="1"/>
  <c r="O157" i="1" s="1"/>
  <c r="O181" i="1" a="1"/>
  <c r="O181" i="1" s="1"/>
  <c r="O205" i="1" a="1"/>
  <c r="O205" i="1" s="1"/>
  <c r="O229" i="1" a="1"/>
  <c r="O229" i="1" s="1"/>
  <c r="O253" i="1" a="1"/>
  <c r="O253" i="1" s="1"/>
  <c r="O277" i="1" a="1"/>
  <c r="O277" i="1" s="1"/>
  <c r="O301" i="1" a="1"/>
  <c r="O301" i="1" s="1"/>
  <c r="O325" i="1" a="1"/>
  <c r="O325" i="1" s="1"/>
  <c r="O349" i="1" a="1"/>
  <c r="O349" i="1" s="1"/>
  <c r="O373" i="1" a="1"/>
  <c r="O373" i="1" s="1"/>
  <c r="O397" i="1" a="1"/>
  <c r="O397" i="1" s="1"/>
  <c r="O421" i="1" a="1"/>
  <c r="O421" i="1" s="1"/>
  <c r="O445" i="1" a="1"/>
  <c r="O445" i="1" s="1"/>
  <c r="O469" i="1" a="1"/>
  <c r="O469" i="1" s="1"/>
  <c r="O493" i="1" a="1"/>
  <c r="O493" i="1" s="1"/>
  <c r="U221" i="1" a="1"/>
  <c r="U221" i="1" s="1"/>
  <c r="U245" i="1" a="1"/>
  <c r="U245" i="1" s="1"/>
  <c r="U269" i="1" a="1"/>
  <c r="U269" i="1" s="1"/>
  <c r="U293" i="1" a="1"/>
  <c r="U293" i="1" s="1"/>
  <c r="U317" i="1" a="1"/>
  <c r="U317" i="1" s="1"/>
  <c r="U341" i="1" a="1"/>
  <c r="U341" i="1" s="1"/>
  <c r="U365" i="1" a="1"/>
  <c r="U365" i="1" s="1"/>
  <c r="U389" i="1" a="1"/>
  <c r="U389" i="1" s="1"/>
  <c r="U413" i="1" a="1"/>
  <c r="U413" i="1" s="1"/>
  <c r="U437" i="1" a="1"/>
  <c r="U437" i="1" s="1"/>
  <c r="U461" i="1" a="1"/>
  <c r="U461" i="1" s="1"/>
  <c r="U485" i="1" a="1"/>
  <c r="U485" i="1" s="1"/>
  <c r="U26" i="1" a="1"/>
  <c r="U26" i="1" s="1"/>
  <c r="U66" i="1" a="1"/>
  <c r="U66" i="1" s="1"/>
  <c r="U106" i="1" a="1"/>
  <c r="U106" i="1" s="1"/>
  <c r="U124" i="1" a="1"/>
  <c r="U124" i="1" s="1"/>
  <c r="U144" i="1" a="1"/>
  <c r="U144" i="1" s="1"/>
  <c r="U163" i="1" a="1"/>
  <c r="U163" i="1" s="1"/>
  <c r="U183" i="1" a="1"/>
  <c r="U183" i="1" s="1"/>
  <c r="U202" i="1" a="1"/>
  <c r="U202" i="1" s="1"/>
  <c r="U222" i="1" a="1"/>
  <c r="U222" i="1" s="1"/>
  <c r="U246" i="1" a="1"/>
  <c r="U246" i="1" s="1"/>
  <c r="U270" i="1" a="1"/>
  <c r="U270" i="1" s="1"/>
  <c r="U294" i="1" a="1"/>
  <c r="U294" i="1" s="1"/>
  <c r="U318" i="1" a="1"/>
  <c r="U318" i="1" s="1"/>
  <c r="U342" i="1" a="1"/>
  <c r="U342" i="1" s="1"/>
  <c r="U366" i="1" a="1"/>
  <c r="U366" i="1" s="1"/>
  <c r="U390" i="1" a="1"/>
  <c r="U390" i="1" s="1"/>
  <c r="U414" i="1" a="1"/>
  <c r="U414" i="1" s="1"/>
  <c r="U438" i="1" a="1"/>
  <c r="U438" i="1" s="1"/>
  <c r="U462" i="1" a="1"/>
  <c r="U462" i="1" s="1"/>
  <c r="U486" i="1" a="1"/>
  <c r="U486" i="1" s="1"/>
  <c r="U510" i="1" a="1"/>
  <c r="U510" i="1" s="1"/>
  <c r="U7" i="1" a="1"/>
  <c r="U7" i="1" s="1"/>
  <c r="U27" i="1" a="1"/>
  <c r="U27" i="1" s="1"/>
  <c r="U46" i="1" a="1"/>
  <c r="U46" i="1" s="1"/>
  <c r="U86" i="1" a="1"/>
  <c r="U86" i="1" s="1"/>
  <c r="U107" i="1" a="1"/>
  <c r="U107" i="1" s="1"/>
  <c r="U125" i="1" a="1"/>
  <c r="U125" i="1" s="1"/>
  <c r="U164" i="1" a="1"/>
  <c r="U164" i="1" s="1"/>
  <c r="U184" i="1" a="1"/>
  <c r="U184" i="1" s="1"/>
  <c r="U223" i="1" a="1"/>
  <c r="U223" i="1" s="1"/>
  <c r="U247" i="1" a="1"/>
  <c r="U247" i="1" s="1"/>
  <c r="U271" i="1" a="1"/>
  <c r="U271" i="1" s="1"/>
  <c r="U295" i="1" a="1"/>
  <c r="U295" i="1" s="1"/>
  <c r="U319" i="1" a="1"/>
  <c r="U319" i="1" s="1"/>
  <c r="U343" i="1" a="1"/>
  <c r="U343" i="1" s="1"/>
  <c r="U367" i="1" a="1"/>
  <c r="U367" i="1" s="1"/>
  <c r="U391" i="1" a="1"/>
  <c r="U391" i="1" s="1"/>
  <c r="U415" i="1" a="1"/>
  <c r="U415" i="1" s="1"/>
  <c r="U439" i="1" a="1"/>
  <c r="U439" i="1" s="1"/>
  <c r="U463" i="1" a="1"/>
  <c r="U463" i="1" s="1"/>
  <c r="U487" i="1" a="1"/>
  <c r="U487" i="1" s="1"/>
  <c r="U511" i="1" a="1"/>
  <c r="U511" i="1" s="1"/>
  <c r="U8" i="1" a="1"/>
  <c r="U8" i="1" s="1"/>
  <c r="U28" i="1" a="1"/>
  <c r="U28" i="1" s="1"/>
  <c r="U47" i="1" a="1"/>
  <c r="U47" i="1" s="1"/>
  <c r="U87" i="1" a="1"/>
  <c r="U87" i="1" s="1"/>
  <c r="U126" i="1" a="1"/>
  <c r="U126" i="1" s="1"/>
  <c r="U145" i="1" a="1"/>
  <c r="U145" i="1" s="1"/>
  <c r="U165" i="1" a="1"/>
  <c r="U165" i="1" s="1"/>
  <c r="U185" i="1" a="1"/>
  <c r="U185" i="1" s="1"/>
  <c r="U203" i="1" a="1"/>
  <c r="U203" i="1" s="1"/>
  <c r="U224" i="1" a="1"/>
  <c r="U224" i="1" s="1"/>
  <c r="U248" i="1" a="1"/>
  <c r="U248" i="1" s="1"/>
  <c r="U272" i="1" a="1"/>
  <c r="U272" i="1" s="1"/>
  <c r="U296" i="1" a="1"/>
  <c r="U296" i="1" s="1"/>
  <c r="U320" i="1" a="1"/>
  <c r="U320" i="1" s="1"/>
  <c r="U344" i="1" a="1"/>
  <c r="U344" i="1" s="1"/>
  <c r="U368" i="1" a="1"/>
  <c r="U368" i="1" s="1"/>
  <c r="U392" i="1" a="1"/>
  <c r="U392" i="1" s="1"/>
  <c r="U416" i="1" a="1"/>
  <c r="U416" i="1" s="1"/>
  <c r="U440" i="1" a="1"/>
  <c r="U440" i="1" s="1"/>
  <c r="U464" i="1" a="1"/>
  <c r="U464" i="1" s="1"/>
  <c r="U488" i="1" a="1"/>
  <c r="U488" i="1" s="1"/>
  <c r="U512" i="1" a="1"/>
  <c r="U512" i="1" s="1"/>
  <c r="U9" i="1" a="1"/>
  <c r="U9" i="1" s="1"/>
  <c r="U29" i="1" a="1"/>
  <c r="U29" i="1" s="1"/>
  <c r="U48" i="1" a="1"/>
  <c r="U48" i="1" s="1"/>
  <c r="U108" i="1" a="1"/>
  <c r="U108" i="1" s="1"/>
  <c r="U146" i="1" a="1"/>
  <c r="U146" i="1" s="1"/>
  <c r="U166" i="1" a="1"/>
  <c r="U166" i="1" s="1"/>
  <c r="U186" i="1" a="1"/>
  <c r="U186" i="1" s="1"/>
  <c r="U225" i="1" a="1"/>
  <c r="U225" i="1" s="1"/>
  <c r="U249" i="1" a="1"/>
  <c r="U249" i="1" s="1"/>
  <c r="U273" i="1" a="1"/>
  <c r="U273" i="1" s="1"/>
  <c r="U297" i="1" a="1"/>
  <c r="U297" i="1" s="1"/>
  <c r="U321" i="1" a="1"/>
  <c r="U321" i="1" s="1"/>
  <c r="U345" i="1" a="1"/>
  <c r="U345" i="1" s="1"/>
  <c r="U369" i="1" a="1"/>
  <c r="U369" i="1" s="1"/>
  <c r="U393" i="1" a="1"/>
  <c r="U393" i="1" s="1"/>
  <c r="U417" i="1" a="1"/>
  <c r="U417" i="1" s="1"/>
  <c r="U441" i="1" a="1"/>
  <c r="U441" i="1" s="1"/>
  <c r="U465" i="1" a="1"/>
  <c r="U465" i="1" s="1"/>
  <c r="U489" i="1" a="1"/>
  <c r="U489" i="1" s="1"/>
  <c r="U513" i="1" a="1"/>
  <c r="U513" i="1" s="1"/>
  <c r="T147" i="1" a="1"/>
  <c r="T147" i="1" s="1"/>
  <c r="U10" i="1" a="1"/>
  <c r="U10" i="1" s="1"/>
  <c r="U30" i="1" a="1"/>
  <c r="U30" i="1" s="1"/>
  <c r="U49" i="1" a="1"/>
  <c r="U49" i="1" s="1"/>
  <c r="U70" i="1" a="1"/>
  <c r="U70" i="1" s="1"/>
  <c r="U127" i="1" a="1"/>
  <c r="U127" i="1" s="1"/>
  <c r="U147" i="1" a="1"/>
  <c r="U147" i="1" s="1"/>
  <c r="U204" i="1" a="1"/>
  <c r="U204" i="1" s="1"/>
  <c r="U226" i="1" a="1"/>
  <c r="U226" i="1" s="1"/>
  <c r="U250" i="1" a="1"/>
  <c r="U250" i="1" s="1"/>
  <c r="U274" i="1" a="1"/>
  <c r="U274" i="1" s="1"/>
  <c r="U298" i="1" a="1"/>
  <c r="U298" i="1" s="1"/>
  <c r="U322" i="1" a="1"/>
  <c r="U322" i="1" s="1"/>
  <c r="U346" i="1" a="1"/>
  <c r="U346" i="1" s="1"/>
  <c r="U370" i="1" a="1"/>
  <c r="U370" i="1" s="1"/>
  <c r="U394" i="1" a="1"/>
  <c r="U394" i="1" s="1"/>
  <c r="U418" i="1" a="1"/>
  <c r="U418" i="1" s="1"/>
  <c r="U442" i="1" a="1"/>
  <c r="U442" i="1" s="1"/>
  <c r="U466" i="1" a="1"/>
  <c r="U466" i="1" s="1"/>
  <c r="U490" i="1" a="1"/>
  <c r="U490" i="1" s="1"/>
  <c r="T171" i="1" a="1"/>
  <c r="T171" i="1" s="1"/>
  <c r="U31" i="1" a="1"/>
  <c r="U31" i="1" s="1"/>
  <c r="U50" i="1" a="1"/>
  <c r="U50" i="1" s="1"/>
  <c r="U90" i="1" a="1"/>
  <c r="U90" i="1" s="1"/>
  <c r="U109" i="1" a="1"/>
  <c r="U109" i="1" s="1"/>
  <c r="U128" i="1" a="1"/>
  <c r="U128" i="1" s="1"/>
  <c r="U148" i="1" a="1"/>
  <c r="U148" i="1" s="1"/>
  <c r="U167" i="1" a="1"/>
  <c r="U167" i="1" s="1"/>
  <c r="U187" i="1" a="1"/>
  <c r="U187" i="1" s="1"/>
  <c r="U227" i="1" a="1"/>
  <c r="U227" i="1" s="1"/>
  <c r="U251" i="1" a="1"/>
  <c r="U251" i="1" s="1"/>
  <c r="U275" i="1" a="1"/>
  <c r="U275" i="1" s="1"/>
  <c r="U299" i="1" a="1"/>
  <c r="U299" i="1" s="1"/>
  <c r="U323" i="1" a="1"/>
  <c r="U323" i="1" s="1"/>
  <c r="U347" i="1" a="1"/>
  <c r="U347" i="1" s="1"/>
  <c r="U371" i="1" a="1"/>
  <c r="U371" i="1" s="1"/>
  <c r="U395" i="1" a="1"/>
  <c r="U395" i="1" s="1"/>
  <c r="U419" i="1" a="1"/>
  <c r="U419" i="1" s="1"/>
  <c r="U443" i="1" a="1"/>
  <c r="U443" i="1" s="1"/>
  <c r="U467" i="1" a="1"/>
  <c r="U467" i="1" s="1"/>
  <c r="U491" i="1" a="1"/>
  <c r="U491" i="1" s="1"/>
  <c r="T195" i="1" a="1"/>
  <c r="T195" i="1" s="1"/>
  <c r="U11" i="1" a="1"/>
  <c r="U11" i="1" s="1"/>
  <c r="U71" i="1" a="1"/>
  <c r="U71" i="1" s="1"/>
  <c r="U110" i="1" a="1"/>
  <c r="U110" i="1" s="1"/>
  <c r="U149" i="1" a="1"/>
  <c r="U149" i="1" s="1"/>
  <c r="U168" i="1" a="1"/>
  <c r="U168" i="1" s="1"/>
  <c r="U188" i="1" a="1"/>
  <c r="U188" i="1" s="1"/>
  <c r="U205" i="1" a="1"/>
  <c r="U205" i="1" s="1"/>
  <c r="U228" i="1" a="1"/>
  <c r="U228" i="1" s="1"/>
  <c r="U252" i="1" a="1"/>
  <c r="U252" i="1" s="1"/>
  <c r="U276" i="1" a="1"/>
  <c r="U276" i="1" s="1"/>
  <c r="U300" i="1" a="1"/>
  <c r="U300" i="1" s="1"/>
  <c r="U324" i="1" a="1"/>
  <c r="U324" i="1" s="1"/>
  <c r="U348" i="1" a="1"/>
  <c r="U348" i="1" s="1"/>
  <c r="U372" i="1" a="1"/>
  <c r="U372" i="1" s="1"/>
  <c r="U396" i="1" a="1"/>
  <c r="U396" i="1" s="1"/>
  <c r="U420" i="1" a="1"/>
  <c r="U420" i="1" s="1"/>
  <c r="U444" i="1" a="1"/>
  <c r="U444" i="1" s="1"/>
  <c r="U468" i="1" a="1"/>
  <c r="U468" i="1" s="1"/>
  <c r="U492" i="1" a="1"/>
  <c r="U492" i="1" s="1"/>
  <c r="U12" i="1" a="1"/>
  <c r="U12" i="1" s="1"/>
  <c r="U91" i="1" a="1"/>
  <c r="U91" i="1" s="1"/>
  <c r="U150" i="1" a="1"/>
  <c r="U150" i="1" s="1"/>
  <c r="U169" i="1" a="1"/>
  <c r="U169" i="1" s="1"/>
  <c r="U189" i="1" a="1"/>
  <c r="U189" i="1" s="1"/>
  <c r="U206" i="1" a="1"/>
  <c r="U206" i="1" s="1"/>
  <c r="U229" i="1" a="1"/>
  <c r="U229" i="1" s="1"/>
  <c r="U253" i="1" a="1"/>
  <c r="U253" i="1" s="1"/>
  <c r="U277" i="1" a="1"/>
  <c r="U277" i="1" s="1"/>
  <c r="U301" i="1" a="1"/>
  <c r="U301" i="1" s="1"/>
  <c r="U325" i="1" a="1"/>
  <c r="U325" i="1" s="1"/>
  <c r="U349" i="1" a="1"/>
  <c r="U349" i="1" s="1"/>
  <c r="U373" i="1" a="1"/>
  <c r="U373" i="1" s="1"/>
  <c r="U397" i="1" a="1"/>
  <c r="U397" i="1" s="1"/>
  <c r="U421" i="1" a="1"/>
  <c r="U421" i="1" s="1"/>
  <c r="U445" i="1" a="1"/>
  <c r="U445" i="1" s="1"/>
  <c r="U469" i="1" a="1"/>
  <c r="U469" i="1" s="1"/>
  <c r="U493" i="1" a="1"/>
  <c r="U493" i="1" s="1"/>
  <c r="U92" i="1" a="1"/>
  <c r="U92" i="1" s="1"/>
  <c r="U111" i="1" a="1"/>
  <c r="U111" i="1" s="1"/>
  <c r="U130" i="1" a="1"/>
  <c r="U130" i="1" s="1"/>
  <c r="U170" i="1" a="1"/>
  <c r="U170" i="1" s="1"/>
  <c r="U207" i="1" a="1"/>
  <c r="U207" i="1" s="1"/>
  <c r="U230" i="1" a="1"/>
  <c r="U230" i="1" s="1"/>
  <c r="U254" i="1" a="1"/>
  <c r="U254" i="1" s="1"/>
  <c r="U278" i="1" a="1"/>
  <c r="U278" i="1" s="1"/>
  <c r="U302" i="1" a="1"/>
  <c r="U302" i="1" s="1"/>
  <c r="U326" i="1" a="1"/>
  <c r="U326" i="1" s="1"/>
  <c r="U350" i="1" a="1"/>
  <c r="U350" i="1" s="1"/>
  <c r="U374" i="1" a="1"/>
  <c r="U374" i="1" s="1"/>
  <c r="U398" i="1" a="1"/>
  <c r="U398" i="1" s="1"/>
  <c r="U422" i="1" a="1"/>
  <c r="U422" i="1" s="1"/>
  <c r="U446" i="1" a="1"/>
  <c r="U446" i="1" s="1"/>
  <c r="U470" i="1" a="1"/>
  <c r="U470" i="1" s="1"/>
  <c r="U494" i="1" a="1"/>
  <c r="U494" i="1" s="1"/>
  <c r="T76" i="1" a="1"/>
  <c r="T76" i="1" s="1"/>
  <c r="T219" i="1" a="1"/>
  <c r="T219" i="1" s="1"/>
  <c r="U13" i="1" a="1"/>
  <c r="U13" i="1" s="1"/>
  <c r="U34" i="1" a="1"/>
  <c r="U34" i="1" s="1"/>
  <c r="U93" i="1" a="1"/>
  <c r="U93" i="1" s="1"/>
  <c r="U112" i="1" a="1"/>
  <c r="U112" i="1" s="1"/>
  <c r="U151" i="1" a="1"/>
  <c r="U151" i="1" s="1"/>
  <c r="U171" i="1" a="1"/>
  <c r="U171" i="1" s="1"/>
  <c r="U190" i="1" a="1"/>
  <c r="U190" i="1" s="1"/>
  <c r="U208" i="1" a="1"/>
  <c r="U208" i="1" s="1"/>
  <c r="U231" i="1" a="1"/>
  <c r="U231" i="1" s="1"/>
  <c r="U255" i="1" a="1"/>
  <c r="U255" i="1" s="1"/>
  <c r="U279" i="1" a="1"/>
  <c r="U279" i="1" s="1"/>
  <c r="U303" i="1" a="1"/>
  <c r="U303" i="1" s="1"/>
  <c r="U327" i="1" a="1"/>
  <c r="U327" i="1" s="1"/>
  <c r="U351" i="1" a="1"/>
  <c r="U351" i="1" s="1"/>
  <c r="U375" i="1" a="1"/>
  <c r="U375" i="1" s="1"/>
  <c r="U399" i="1" a="1"/>
  <c r="U399" i="1" s="1"/>
  <c r="U423" i="1" a="1"/>
  <c r="U423" i="1" s="1"/>
  <c r="U447" i="1" a="1"/>
  <c r="U447" i="1" s="1"/>
  <c r="U471" i="1" a="1"/>
  <c r="U471" i="1" s="1"/>
  <c r="U495" i="1" a="1"/>
  <c r="U495" i="1" s="1"/>
  <c r="T243" i="1" a="1"/>
  <c r="T243" i="1" s="1"/>
  <c r="U14" i="1" a="1"/>
  <c r="U14" i="1" s="1"/>
  <c r="U54" i="1" a="1"/>
  <c r="U54" i="1" s="1"/>
  <c r="U74" i="1" a="1"/>
  <c r="U74" i="1" s="1"/>
  <c r="U94" i="1" a="1"/>
  <c r="U94" i="1" s="1"/>
  <c r="U113" i="1" a="1"/>
  <c r="U113" i="1" s="1"/>
  <c r="U152" i="1" a="1"/>
  <c r="U152" i="1" s="1"/>
  <c r="U172" i="1" a="1"/>
  <c r="U172" i="1" s="1"/>
  <c r="U209" i="1" a="1"/>
  <c r="U209" i="1" s="1"/>
  <c r="U232" i="1" a="1"/>
  <c r="U232" i="1" s="1"/>
  <c r="U256" i="1" a="1"/>
  <c r="U256" i="1" s="1"/>
  <c r="U280" i="1" a="1"/>
  <c r="U280" i="1" s="1"/>
  <c r="U304" i="1" a="1"/>
  <c r="U304" i="1" s="1"/>
  <c r="U328" i="1" a="1"/>
  <c r="U328" i="1" s="1"/>
  <c r="U352" i="1" a="1"/>
  <c r="U352" i="1" s="1"/>
  <c r="U376" i="1" a="1"/>
  <c r="U376" i="1" s="1"/>
  <c r="U400" i="1" a="1"/>
  <c r="U400" i="1" s="1"/>
  <c r="U424" i="1" a="1"/>
  <c r="U424" i="1" s="1"/>
  <c r="U448" i="1" a="1"/>
  <c r="U448" i="1" s="1"/>
  <c r="U472" i="1" a="1"/>
  <c r="U472" i="1" s="1"/>
  <c r="U496" i="1" a="1"/>
  <c r="U496" i="1" s="1"/>
  <c r="T267" i="1" a="1"/>
  <c r="T267" i="1" s="1"/>
  <c r="U35" i="1" a="1"/>
  <c r="U35" i="1" s="1"/>
  <c r="U55" i="1" a="1"/>
  <c r="U55" i="1" s="1"/>
  <c r="U75" i="1" a="1"/>
  <c r="U75" i="1" s="1"/>
  <c r="U95" i="1" a="1"/>
  <c r="U95" i="1" s="1"/>
  <c r="U114" i="1" a="1"/>
  <c r="U114" i="1" s="1"/>
  <c r="U153" i="1" a="1"/>
  <c r="U153" i="1" s="1"/>
  <c r="U173" i="1" a="1"/>
  <c r="U173" i="1" s="1"/>
  <c r="U191" i="1" a="1"/>
  <c r="U191" i="1" s="1"/>
  <c r="U233" i="1" a="1"/>
  <c r="U233" i="1" s="1"/>
  <c r="U257" i="1" a="1"/>
  <c r="U257" i="1" s="1"/>
  <c r="U281" i="1" a="1"/>
  <c r="U281" i="1" s="1"/>
  <c r="U305" i="1" a="1"/>
  <c r="U305" i="1" s="1"/>
  <c r="U329" i="1" a="1"/>
  <c r="U329" i="1" s="1"/>
  <c r="U353" i="1" a="1"/>
  <c r="U353" i="1" s="1"/>
  <c r="U377" i="1" a="1"/>
  <c r="U377" i="1" s="1"/>
  <c r="U401" i="1" a="1"/>
  <c r="U401" i="1" s="1"/>
  <c r="U425" i="1" a="1"/>
  <c r="U425" i="1" s="1"/>
  <c r="U449" i="1" a="1"/>
  <c r="U449" i="1" s="1"/>
  <c r="U473" i="1" a="1"/>
  <c r="U473" i="1" s="1"/>
  <c r="U497" i="1" a="1"/>
  <c r="U497" i="1" s="1"/>
  <c r="T291" i="1" a="1"/>
  <c r="T291" i="1" s="1"/>
  <c r="U15" i="1" a="1"/>
  <c r="U15" i="1" s="1"/>
  <c r="U56" i="1" a="1"/>
  <c r="U56" i="1" s="1"/>
  <c r="U115" i="1" a="1"/>
  <c r="U115" i="1" s="1"/>
  <c r="U134" i="1" a="1"/>
  <c r="U134" i="1" s="1"/>
  <c r="U154" i="1" a="1"/>
  <c r="U154" i="1" s="1"/>
  <c r="U192" i="1" a="1"/>
  <c r="U192" i="1" s="1"/>
  <c r="U210" i="1" a="1"/>
  <c r="U210" i="1" s="1"/>
  <c r="U234" i="1" a="1"/>
  <c r="U234" i="1" s="1"/>
  <c r="U258" i="1" a="1"/>
  <c r="U258" i="1" s="1"/>
  <c r="U282" i="1" a="1"/>
  <c r="U282" i="1" s="1"/>
  <c r="U306" i="1" a="1"/>
  <c r="U306" i="1" s="1"/>
  <c r="U330" i="1" a="1"/>
  <c r="U330" i="1" s="1"/>
  <c r="U354" i="1" a="1"/>
  <c r="U354" i="1" s="1"/>
  <c r="U378" i="1" a="1"/>
  <c r="U378" i="1" s="1"/>
  <c r="U402" i="1" a="1"/>
  <c r="U402" i="1" s="1"/>
  <c r="U426" i="1" a="1"/>
  <c r="U426" i="1" s="1"/>
  <c r="U450" i="1" a="1"/>
  <c r="U450" i="1" s="1"/>
  <c r="U474" i="1" a="1"/>
  <c r="U474" i="1" s="1"/>
  <c r="U498" i="1" a="1"/>
  <c r="U498" i="1" s="1"/>
  <c r="U509" i="1" a="1"/>
  <c r="U509" i="1" s="1"/>
  <c r="T315" i="1" a="1"/>
  <c r="T315" i="1" s="1"/>
  <c r="U16" i="1" a="1"/>
  <c r="U16" i="1" s="1"/>
  <c r="U36" i="1" a="1"/>
  <c r="U36" i="1" s="1"/>
  <c r="U57" i="1" a="1"/>
  <c r="U57" i="1" s="1"/>
  <c r="U96" i="1" a="1"/>
  <c r="U96" i="1" s="1"/>
  <c r="U116" i="1" a="1"/>
  <c r="U116" i="1" s="1"/>
  <c r="U135" i="1" a="1"/>
  <c r="U135" i="1" s="1"/>
  <c r="U174" i="1" a="1"/>
  <c r="U174" i="1" s="1"/>
  <c r="U211" i="1" a="1"/>
  <c r="U211" i="1" s="1"/>
  <c r="U235" i="1" a="1"/>
  <c r="U235" i="1" s="1"/>
  <c r="U259" i="1" a="1"/>
  <c r="U259" i="1" s="1"/>
  <c r="U283" i="1" a="1"/>
  <c r="U283" i="1" s="1"/>
  <c r="U307" i="1" a="1"/>
  <c r="U307" i="1" s="1"/>
  <c r="U331" i="1" a="1"/>
  <c r="U331" i="1" s="1"/>
  <c r="U355" i="1" a="1"/>
  <c r="U355" i="1" s="1"/>
  <c r="U379" i="1" a="1"/>
  <c r="U379" i="1" s="1"/>
  <c r="U403" i="1" a="1"/>
  <c r="U403" i="1" s="1"/>
  <c r="U427" i="1" a="1"/>
  <c r="U427" i="1" s="1"/>
  <c r="U451" i="1" a="1"/>
  <c r="U451" i="1" s="1"/>
  <c r="U475" i="1" a="1"/>
  <c r="U475" i="1" s="1"/>
  <c r="U499" i="1" a="1"/>
  <c r="U499" i="1" s="1"/>
  <c r="T339" i="1" a="1"/>
  <c r="T339" i="1" s="1"/>
  <c r="U37" i="1" a="1"/>
  <c r="U37" i="1" s="1"/>
  <c r="U58" i="1" a="1"/>
  <c r="U58" i="1" s="1"/>
  <c r="U117" i="1" a="1"/>
  <c r="U117" i="1" s="1"/>
  <c r="U136" i="1" a="1"/>
  <c r="U136" i="1" s="1"/>
  <c r="U155" i="1" a="1"/>
  <c r="U155" i="1" s="1"/>
  <c r="U193" i="1" a="1"/>
  <c r="U193" i="1" s="1"/>
  <c r="U212" i="1" a="1"/>
  <c r="U212" i="1" s="1"/>
  <c r="U236" i="1" a="1"/>
  <c r="U236" i="1" s="1"/>
  <c r="U260" i="1" a="1"/>
  <c r="U260" i="1" s="1"/>
  <c r="U284" i="1" a="1"/>
  <c r="U284" i="1" s="1"/>
  <c r="U308" i="1" a="1"/>
  <c r="U308" i="1" s="1"/>
  <c r="U332" i="1" a="1"/>
  <c r="U332" i="1" s="1"/>
  <c r="U356" i="1" a="1"/>
  <c r="U356" i="1" s="1"/>
  <c r="U380" i="1" a="1"/>
  <c r="U380" i="1" s="1"/>
  <c r="U404" i="1" a="1"/>
  <c r="U404" i="1" s="1"/>
  <c r="U428" i="1" a="1"/>
  <c r="U428" i="1" s="1"/>
  <c r="U452" i="1" a="1"/>
  <c r="U452" i="1" s="1"/>
  <c r="U476" i="1" a="1"/>
  <c r="U476" i="1" s="1"/>
  <c r="U500" i="1" a="1"/>
  <c r="U500" i="1" s="1"/>
  <c r="T363" i="1" a="1"/>
  <c r="T363" i="1" s="1"/>
  <c r="U18" i="1" a="1"/>
  <c r="U18" i="1" s="1"/>
  <c r="U38" i="1" a="1"/>
  <c r="U38" i="1" s="1"/>
  <c r="U78" i="1" a="1"/>
  <c r="U78" i="1" s="1"/>
  <c r="U98" i="1" a="1"/>
  <c r="U98" i="1" s="1"/>
  <c r="U118" i="1" a="1"/>
  <c r="U118" i="1" s="1"/>
  <c r="U137" i="1" a="1"/>
  <c r="U137" i="1" s="1"/>
  <c r="U175" i="1" a="1"/>
  <c r="U175" i="1" s="1"/>
  <c r="U194" i="1" a="1"/>
  <c r="U194" i="1" s="1"/>
  <c r="U213" i="1" a="1"/>
  <c r="U213" i="1" s="1"/>
  <c r="U237" i="1" a="1"/>
  <c r="U237" i="1" s="1"/>
  <c r="U261" i="1" a="1"/>
  <c r="U261" i="1" s="1"/>
  <c r="U285" i="1" a="1"/>
  <c r="U285" i="1" s="1"/>
  <c r="U309" i="1" a="1"/>
  <c r="U309" i="1" s="1"/>
  <c r="U333" i="1" a="1"/>
  <c r="U333" i="1" s="1"/>
  <c r="U357" i="1" a="1"/>
  <c r="U357" i="1" s="1"/>
  <c r="U381" i="1" a="1"/>
  <c r="U381" i="1" s="1"/>
  <c r="U405" i="1" a="1"/>
  <c r="U405" i="1" s="1"/>
  <c r="U429" i="1" a="1"/>
  <c r="U429" i="1" s="1"/>
  <c r="U453" i="1" a="1"/>
  <c r="U453" i="1" s="1"/>
  <c r="U477" i="1" a="1"/>
  <c r="U477" i="1" s="1"/>
  <c r="U501" i="1" a="1"/>
  <c r="U501" i="1" s="1"/>
  <c r="T387" i="1" a="1"/>
  <c r="T387" i="1" s="1"/>
  <c r="U19" i="1" a="1"/>
  <c r="U19" i="1" s="1"/>
  <c r="U39" i="1" a="1"/>
  <c r="U39" i="1" s="1"/>
  <c r="U59" i="1" a="1"/>
  <c r="U59" i="1" s="1"/>
  <c r="U138" i="1" a="1"/>
  <c r="U138" i="1" s="1"/>
  <c r="U156" i="1" a="1"/>
  <c r="U156" i="1" s="1"/>
  <c r="U176" i="1" a="1"/>
  <c r="U176" i="1" s="1"/>
  <c r="U195" i="1" a="1"/>
  <c r="U195" i="1" s="1"/>
  <c r="U214" i="1" a="1"/>
  <c r="U214" i="1" s="1"/>
  <c r="U238" i="1" a="1"/>
  <c r="U238" i="1" s="1"/>
  <c r="U262" i="1" a="1"/>
  <c r="U262" i="1" s="1"/>
  <c r="U286" i="1" a="1"/>
  <c r="U286" i="1" s="1"/>
  <c r="U310" i="1" a="1"/>
  <c r="U310" i="1" s="1"/>
  <c r="U334" i="1" a="1"/>
  <c r="U334" i="1" s="1"/>
  <c r="U358" i="1" a="1"/>
  <c r="U358" i="1" s="1"/>
  <c r="U382" i="1" a="1"/>
  <c r="U382" i="1" s="1"/>
  <c r="U406" i="1" a="1"/>
  <c r="U406" i="1" s="1"/>
  <c r="U430" i="1" a="1"/>
  <c r="U430" i="1" s="1"/>
  <c r="U454" i="1" a="1"/>
  <c r="U454" i="1" s="1"/>
  <c r="U478" i="1" a="1"/>
  <c r="U478" i="1" s="1"/>
  <c r="U502" i="1" a="1"/>
  <c r="U502" i="1" s="1"/>
  <c r="T411" i="1" a="1"/>
  <c r="T411" i="1" s="1"/>
  <c r="U20" i="1" a="1"/>
  <c r="U20" i="1" s="1"/>
  <c r="U60" i="1" a="1"/>
  <c r="U60" i="1" s="1"/>
  <c r="U79" i="1" a="1"/>
  <c r="U79" i="1" s="1"/>
  <c r="U99" i="1" a="1"/>
  <c r="U99" i="1" s="1"/>
  <c r="U119" i="1" a="1"/>
  <c r="U119" i="1" s="1"/>
  <c r="U157" i="1" a="1"/>
  <c r="U157" i="1" s="1"/>
  <c r="U177" i="1" a="1"/>
  <c r="U177" i="1" s="1"/>
  <c r="U215" i="1" a="1"/>
  <c r="U215" i="1" s="1"/>
  <c r="U239" i="1" a="1"/>
  <c r="U239" i="1" s="1"/>
  <c r="U263" i="1" a="1"/>
  <c r="U263" i="1" s="1"/>
  <c r="U287" i="1" a="1"/>
  <c r="U287" i="1" s="1"/>
  <c r="U311" i="1" a="1"/>
  <c r="U311" i="1" s="1"/>
  <c r="U335" i="1" a="1"/>
  <c r="U335" i="1" s="1"/>
  <c r="U359" i="1" a="1"/>
  <c r="U359" i="1" s="1"/>
  <c r="U383" i="1" a="1"/>
  <c r="U383" i="1" s="1"/>
  <c r="U407" i="1" a="1"/>
  <c r="U407" i="1" s="1"/>
  <c r="U431" i="1" a="1"/>
  <c r="U431" i="1" s="1"/>
  <c r="U455" i="1" a="1"/>
  <c r="U455" i="1" s="1"/>
  <c r="U479" i="1" a="1"/>
  <c r="U479" i="1" s="1"/>
  <c r="U503" i="1" a="1"/>
  <c r="U503" i="1" s="1"/>
  <c r="T435" i="1" a="1"/>
  <c r="T435" i="1" s="1"/>
  <c r="U61" i="1" a="1"/>
  <c r="U61" i="1" s="1"/>
  <c r="U120" i="1" a="1"/>
  <c r="U120" i="1" s="1"/>
  <c r="U139" i="1" a="1"/>
  <c r="U139" i="1" s="1"/>
  <c r="U158" i="1" a="1"/>
  <c r="U158" i="1" s="1"/>
  <c r="U216" i="1" a="1"/>
  <c r="U216" i="1" s="1"/>
  <c r="U240" i="1" a="1"/>
  <c r="U240" i="1" s="1"/>
  <c r="U264" i="1" a="1"/>
  <c r="U264" i="1" s="1"/>
  <c r="U288" i="1" a="1"/>
  <c r="U288" i="1" s="1"/>
  <c r="U312" i="1" a="1"/>
  <c r="U312" i="1" s="1"/>
  <c r="U336" i="1" a="1"/>
  <c r="U336" i="1" s="1"/>
  <c r="U360" i="1" a="1"/>
  <c r="U360" i="1" s="1"/>
  <c r="U384" i="1" a="1"/>
  <c r="U384" i="1" s="1"/>
  <c r="U408" i="1" a="1"/>
  <c r="U408" i="1" s="1"/>
  <c r="U432" i="1" a="1"/>
  <c r="U432" i="1" s="1"/>
  <c r="U456" i="1" a="1"/>
  <c r="U456" i="1" s="1"/>
  <c r="U480" i="1" a="1"/>
  <c r="U480" i="1" s="1"/>
  <c r="U504" i="1" a="1"/>
  <c r="U504" i="1" s="1"/>
  <c r="T459" i="1" a="1"/>
  <c r="T459" i="1" s="1"/>
  <c r="U2" i="1" a="1"/>
  <c r="U2" i="1" s="1"/>
  <c r="U22" i="1" a="1"/>
  <c r="U22" i="1" s="1"/>
  <c r="U42" i="1" a="1"/>
  <c r="U42" i="1" s="1"/>
  <c r="U62" i="1" a="1"/>
  <c r="U62" i="1" s="1"/>
  <c r="U140" i="1" a="1"/>
  <c r="U140" i="1" s="1"/>
  <c r="U159" i="1" a="1"/>
  <c r="U159" i="1" s="1"/>
  <c r="U178" i="1" a="1"/>
  <c r="U178" i="1" s="1"/>
  <c r="U198" i="1" a="1"/>
  <c r="U198" i="1" s="1"/>
  <c r="U217" i="1" a="1"/>
  <c r="U217" i="1" s="1"/>
  <c r="U241" i="1" a="1"/>
  <c r="U241" i="1" s="1"/>
  <c r="U265" i="1" a="1"/>
  <c r="U265" i="1" s="1"/>
  <c r="U289" i="1" a="1"/>
  <c r="U289" i="1" s="1"/>
  <c r="U313" i="1" a="1"/>
  <c r="U313" i="1" s="1"/>
  <c r="U337" i="1" a="1"/>
  <c r="U337" i="1" s="1"/>
  <c r="U361" i="1" a="1"/>
  <c r="U361" i="1" s="1"/>
  <c r="U385" i="1" a="1"/>
  <c r="U385" i="1" s="1"/>
  <c r="U409" i="1" a="1"/>
  <c r="U409" i="1" s="1"/>
  <c r="U433" i="1" a="1"/>
  <c r="U433" i="1" s="1"/>
  <c r="U457" i="1" a="1"/>
  <c r="U457" i="1" s="1"/>
  <c r="U481" i="1" a="1"/>
  <c r="U481" i="1" s="1"/>
  <c r="U505" i="1" a="1"/>
  <c r="U505" i="1" s="1"/>
  <c r="T483" i="1" a="1"/>
  <c r="T483" i="1" s="1"/>
  <c r="U3" i="1" a="1"/>
  <c r="U3" i="1" s="1"/>
  <c r="U23" i="1" a="1"/>
  <c r="U23" i="1" s="1"/>
  <c r="U63" i="1" a="1"/>
  <c r="U63" i="1" s="1"/>
  <c r="U102" i="1" a="1"/>
  <c r="U102" i="1" s="1"/>
  <c r="U141" i="1" a="1"/>
  <c r="U141" i="1" s="1"/>
  <c r="U160" i="1" a="1"/>
  <c r="U160" i="1" s="1"/>
  <c r="U179" i="1" a="1"/>
  <c r="U179" i="1" s="1"/>
  <c r="U218" i="1" a="1"/>
  <c r="U218" i="1" s="1"/>
  <c r="U242" i="1" a="1"/>
  <c r="U242" i="1" s="1"/>
  <c r="U266" i="1" a="1"/>
  <c r="U266" i="1" s="1"/>
  <c r="U290" i="1" a="1"/>
  <c r="U290" i="1" s="1"/>
  <c r="U314" i="1" a="1"/>
  <c r="U314" i="1" s="1"/>
  <c r="U338" i="1" a="1"/>
  <c r="U338" i="1" s="1"/>
  <c r="U362" i="1" a="1"/>
  <c r="U362" i="1" s="1"/>
  <c r="U386" i="1" a="1"/>
  <c r="U386" i="1" s="1"/>
  <c r="U410" i="1" a="1"/>
  <c r="U410" i="1" s="1"/>
  <c r="U434" i="1" a="1"/>
  <c r="U434" i="1" s="1"/>
  <c r="U458" i="1" a="1"/>
  <c r="U458" i="1" s="1"/>
  <c r="U482" i="1" a="1"/>
  <c r="U482" i="1" s="1"/>
  <c r="U506" i="1" a="1"/>
  <c r="U506" i="1" s="1"/>
  <c r="T507" i="1" a="1"/>
  <c r="T507" i="1" s="1"/>
  <c r="U24" i="1" a="1"/>
  <c r="U24" i="1" s="1"/>
  <c r="U43" i="1" a="1"/>
  <c r="U43" i="1" s="1"/>
  <c r="U64" i="1" a="1"/>
  <c r="U64" i="1" s="1"/>
  <c r="U82" i="1" a="1"/>
  <c r="U82" i="1" s="1"/>
  <c r="U103" i="1" a="1"/>
  <c r="U103" i="1" s="1"/>
  <c r="U122" i="1" a="1"/>
  <c r="U122" i="1" s="1"/>
  <c r="U142" i="1" a="1"/>
  <c r="U142" i="1" s="1"/>
  <c r="U161" i="1" a="1"/>
  <c r="U161" i="1" s="1"/>
  <c r="U180" i="1" a="1"/>
  <c r="U180" i="1" s="1"/>
  <c r="U199" i="1" a="1"/>
  <c r="U199" i="1" s="1"/>
  <c r="U219" i="1" a="1"/>
  <c r="U219" i="1" s="1"/>
  <c r="U267" i="1" a="1"/>
  <c r="U267" i="1" s="1"/>
  <c r="U291" i="1" a="1"/>
  <c r="U291" i="1" s="1"/>
  <c r="U315" i="1" a="1"/>
  <c r="U315" i="1" s="1"/>
  <c r="U339" i="1" a="1"/>
  <c r="U339" i="1" s="1"/>
  <c r="U363" i="1" a="1"/>
  <c r="U363" i="1" s="1"/>
  <c r="U387" i="1" a="1"/>
  <c r="U387" i="1" s="1"/>
  <c r="U411" i="1" a="1"/>
  <c r="U411" i="1" s="1"/>
  <c r="U435" i="1" a="1"/>
  <c r="U435" i="1" s="1"/>
  <c r="U459" i="1" a="1"/>
  <c r="U459" i="1" s="1"/>
  <c r="U483" i="1" a="1"/>
  <c r="U483" i="1" s="1"/>
  <c r="U507" i="1" a="1"/>
  <c r="U507" i="1" s="1"/>
  <c r="U44" i="1" a="1"/>
  <c r="U44" i="1" s="1"/>
  <c r="U65" i="1" a="1"/>
  <c r="U65" i="1" s="1"/>
  <c r="U104" i="1" a="1"/>
  <c r="U104" i="1" s="1"/>
  <c r="U181" i="1" a="1"/>
  <c r="U181" i="1" s="1"/>
  <c r="U200" i="1" a="1"/>
  <c r="U200" i="1" s="1"/>
  <c r="U220" i="1" a="1"/>
  <c r="U220" i="1" s="1"/>
  <c r="U244" i="1" a="1"/>
  <c r="U244" i="1" s="1"/>
  <c r="U268" i="1" a="1"/>
  <c r="U268" i="1" s="1"/>
  <c r="U292" i="1" a="1"/>
  <c r="U292" i="1" s="1"/>
  <c r="U316" i="1" a="1"/>
  <c r="U316" i="1" s="1"/>
  <c r="U340" i="1" a="1"/>
  <c r="U340" i="1" s="1"/>
  <c r="U364" i="1" a="1"/>
  <c r="U364" i="1" s="1"/>
  <c r="U388" i="1" a="1"/>
  <c r="U388" i="1" s="1"/>
  <c r="U412" i="1" a="1"/>
  <c r="U412" i="1" s="1"/>
  <c r="U436" i="1" a="1"/>
  <c r="U436" i="1" s="1"/>
  <c r="U460" i="1" a="1"/>
  <c r="U460" i="1" s="1"/>
  <c r="U484" i="1" a="1"/>
  <c r="U484" i="1" s="1"/>
  <c r="U508" i="1" a="1"/>
  <c r="U508" i="1" s="1"/>
  <c r="T220" i="1" a="1"/>
  <c r="T220" i="1" s="1"/>
  <c r="T268" i="1" a="1"/>
  <c r="T268" i="1" s="1"/>
  <c r="T292" i="1" a="1"/>
  <c r="T292" i="1" s="1"/>
  <c r="T316" i="1" a="1"/>
  <c r="T316" i="1" s="1"/>
  <c r="T340" i="1" a="1"/>
  <c r="T340" i="1" s="1"/>
  <c r="T364" i="1" a="1"/>
  <c r="T364" i="1" s="1"/>
  <c r="T388" i="1" a="1"/>
  <c r="T388" i="1" s="1"/>
  <c r="T412" i="1" a="1"/>
  <c r="T412" i="1" s="1"/>
  <c r="T460" i="1" a="1"/>
  <c r="T460" i="1" s="1"/>
  <c r="T484" i="1" a="1"/>
  <c r="T484" i="1" s="1"/>
  <c r="T508" i="1" a="1"/>
  <c r="T508" i="1" s="1"/>
  <c r="T10" i="1" a="1"/>
  <c r="T10" i="1" s="1"/>
  <c r="T54" i="1" a="1"/>
  <c r="T54" i="1" s="1"/>
  <c r="T125" i="1" a="1"/>
  <c r="T125" i="1" s="1"/>
  <c r="T221" i="1" a="1"/>
  <c r="T221" i="1" s="1"/>
  <c r="T245" i="1" a="1"/>
  <c r="T245" i="1" s="1"/>
  <c r="T269" i="1" a="1"/>
  <c r="T269" i="1" s="1"/>
  <c r="T293" i="1" a="1"/>
  <c r="T293" i="1" s="1"/>
  <c r="T317" i="1" a="1"/>
  <c r="T317" i="1" s="1"/>
  <c r="T341" i="1" a="1"/>
  <c r="T341" i="1" s="1"/>
  <c r="T365" i="1" a="1"/>
  <c r="T365" i="1" s="1"/>
  <c r="T389" i="1" a="1"/>
  <c r="T389" i="1" s="1"/>
  <c r="T413" i="1" a="1"/>
  <c r="T413" i="1" s="1"/>
  <c r="T437" i="1" a="1"/>
  <c r="T437" i="1" s="1"/>
  <c r="T461" i="1" a="1"/>
  <c r="T461" i="1" s="1"/>
  <c r="T485" i="1" a="1"/>
  <c r="T485" i="1" s="1"/>
  <c r="T509" i="1" a="1"/>
  <c r="T509" i="1" s="1"/>
  <c r="T246" i="1" a="1"/>
  <c r="T246" i="1" s="1"/>
  <c r="T12" i="1" a="1"/>
  <c r="T12" i="1" s="1"/>
  <c r="T104" i="1" a="1"/>
  <c r="T104" i="1" s="1"/>
  <c r="T13" i="1" a="1"/>
  <c r="T13" i="1" s="1"/>
  <c r="T178" i="1" a="1"/>
  <c r="T178" i="1" s="1"/>
  <c r="T250" i="1" a="1"/>
  <c r="T250" i="1" s="1"/>
  <c r="T442" i="1" a="1"/>
  <c r="T442" i="1" s="1"/>
  <c r="T14" i="1" a="1"/>
  <c r="T14" i="1" s="1"/>
  <c r="T36" i="1" a="1"/>
  <c r="T36" i="1" s="1"/>
  <c r="T60" i="1" a="1"/>
  <c r="T60" i="1" s="1"/>
  <c r="T227" i="1" a="1"/>
  <c r="T227" i="1" s="1"/>
  <c r="T15" i="1" a="1"/>
  <c r="T15" i="1" s="1"/>
  <c r="T37" i="1" a="1"/>
  <c r="T37" i="1" s="1"/>
  <c r="T61" i="1" a="1"/>
  <c r="T61" i="1" s="1"/>
  <c r="T180" i="1" a="1"/>
  <c r="T180" i="1" s="1"/>
  <c r="T252" i="1" a="1"/>
  <c r="T252" i="1" s="1"/>
  <c r="T372" i="1" a="1"/>
  <c r="T372" i="1" s="1"/>
  <c r="T444" i="1" a="1"/>
  <c r="T444" i="1" s="1"/>
  <c r="T16" i="1" a="1"/>
  <c r="T16" i="1" s="1"/>
  <c r="T38" i="1" a="1"/>
  <c r="T38" i="1" s="1"/>
  <c r="T62" i="1" a="1"/>
  <c r="T62" i="1" s="1"/>
  <c r="T181" i="1" a="1"/>
  <c r="T181" i="1" s="1"/>
  <c r="T253" i="1" a="1"/>
  <c r="T253" i="1" s="1"/>
  <c r="T325" i="1" a="1"/>
  <c r="T325" i="1" s="1"/>
  <c r="T373" i="1" a="1"/>
  <c r="T373" i="1" s="1"/>
  <c r="T445" i="1" a="1"/>
  <c r="T445" i="1" s="1"/>
  <c r="T39" i="1" a="1"/>
  <c r="T39" i="1" s="1"/>
  <c r="T63" i="1" a="1"/>
  <c r="T63" i="1" s="1"/>
  <c r="T86" i="1" a="1"/>
  <c r="T86" i="1" s="1"/>
  <c r="T182" i="1" a="1"/>
  <c r="T182" i="1" s="1"/>
  <c r="T206" i="1" a="1"/>
  <c r="T206" i="1" s="1"/>
  <c r="T254" i="1" a="1"/>
  <c r="T254" i="1" s="1"/>
  <c r="T326" i="1" a="1"/>
  <c r="T326" i="1" s="1"/>
  <c r="T374" i="1" a="1"/>
  <c r="T374" i="1" s="1"/>
  <c r="T446" i="1" a="1"/>
  <c r="T446" i="1" s="1"/>
  <c r="T64" i="1" a="1"/>
  <c r="T64" i="1" s="1"/>
  <c r="T87" i="1" a="1"/>
  <c r="T87" i="1" s="1"/>
  <c r="T111" i="1" a="1"/>
  <c r="T111" i="1" s="1"/>
  <c r="T183" i="1" a="1"/>
  <c r="T183" i="1" s="1"/>
  <c r="T255" i="1" a="1"/>
  <c r="T255" i="1" s="1"/>
  <c r="T327" i="1" a="1"/>
  <c r="T327" i="1" s="1"/>
  <c r="T375" i="1" a="1"/>
  <c r="T375" i="1" s="1"/>
  <c r="T447" i="1" a="1"/>
  <c r="T447" i="1" s="1"/>
  <c r="T18" i="1" a="1"/>
  <c r="T18" i="1" s="1"/>
  <c r="T65" i="1" a="1"/>
  <c r="T65" i="1" s="1"/>
  <c r="T112" i="1" a="1"/>
  <c r="T112" i="1" s="1"/>
  <c r="T184" i="1" a="1"/>
  <c r="T184" i="1" s="1"/>
  <c r="T208" i="1" a="1"/>
  <c r="T208" i="1" s="1"/>
  <c r="T256" i="1" a="1"/>
  <c r="T256" i="1" s="1"/>
  <c r="T304" i="1" a="1"/>
  <c r="T304" i="1" s="1"/>
  <c r="T328" i="1" a="1"/>
  <c r="T328" i="1" s="1"/>
  <c r="T376" i="1" a="1"/>
  <c r="T376" i="1" s="1"/>
  <c r="T400" i="1" a="1"/>
  <c r="T400" i="1" s="1"/>
  <c r="T448" i="1" a="1"/>
  <c r="T448" i="1" s="1"/>
  <c r="T19" i="1" a="1"/>
  <c r="T19" i="1" s="1"/>
  <c r="T42" i="1" a="1"/>
  <c r="T42" i="1" s="1"/>
  <c r="T66" i="1" a="1"/>
  <c r="T66" i="1" s="1"/>
  <c r="T113" i="1" a="1"/>
  <c r="T113" i="1" s="1"/>
  <c r="T185" i="1" a="1"/>
  <c r="T185" i="1" s="1"/>
  <c r="T209" i="1" a="1"/>
  <c r="T209" i="1" s="1"/>
  <c r="T257" i="1" a="1"/>
  <c r="T257" i="1" s="1"/>
  <c r="T329" i="1" a="1"/>
  <c r="T329" i="1" s="1"/>
  <c r="T377" i="1" a="1"/>
  <c r="T377" i="1" s="1"/>
  <c r="T401" i="1" a="1"/>
  <c r="T401" i="1" s="1"/>
  <c r="T449" i="1" a="1"/>
  <c r="T449" i="1" s="1"/>
  <c r="T20" i="1" a="1"/>
  <c r="T20" i="1" s="1"/>
  <c r="T43" i="1" a="1"/>
  <c r="T43" i="1" s="1"/>
  <c r="T90" i="1" a="1"/>
  <c r="T90" i="1" s="1"/>
  <c r="T114" i="1" a="1"/>
  <c r="T114" i="1" s="1"/>
  <c r="T138" i="1" a="1"/>
  <c r="T138" i="1" s="1"/>
  <c r="T186" i="1" a="1"/>
  <c r="T186" i="1" s="1"/>
  <c r="T210" i="1" a="1"/>
  <c r="T210" i="1" s="1"/>
  <c r="T258" i="1" a="1"/>
  <c r="T258" i="1" s="1"/>
  <c r="T306" i="1" a="1"/>
  <c r="T306" i="1" s="1"/>
  <c r="T330" i="1" a="1"/>
  <c r="T330" i="1" s="1"/>
  <c r="T378" i="1" a="1"/>
  <c r="T378" i="1" s="1"/>
  <c r="T402" i="1" a="1"/>
  <c r="T402" i="1" s="1"/>
  <c r="T450" i="1" a="1"/>
  <c r="T450" i="1" s="1"/>
  <c r="T2" i="1" a="1"/>
  <c r="T2" i="1" s="1"/>
  <c r="T44" i="1" a="1"/>
  <c r="T44" i="1" s="1"/>
  <c r="T283" i="1" a="1"/>
  <c r="T283" i="1" s="1"/>
  <c r="T116" i="1" a="1"/>
  <c r="T116" i="1" s="1"/>
  <c r="T140" i="1" a="1"/>
  <c r="T140" i="1" s="1"/>
  <c r="T46" i="1" a="1"/>
  <c r="T46" i="1" s="1"/>
  <c r="T70" i="1" a="1"/>
  <c r="T70" i="1" s="1"/>
  <c r="T117" i="1" a="1"/>
  <c r="T117" i="1" s="1"/>
  <c r="T141" i="1" a="1"/>
  <c r="T141" i="1" s="1"/>
  <c r="T285" i="1" a="1"/>
  <c r="T285" i="1" s="1"/>
  <c r="T47" i="1" a="1"/>
  <c r="T47" i="1" s="1"/>
  <c r="T71" i="1" a="1"/>
  <c r="T71" i="1" s="1"/>
  <c r="T118" i="1" a="1"/>
  <c r="T118" i="1" s="1"/>
  <c r="T142" i="1" a="1"/>
  <c r="T142" i="1" s="1"/>
  <c r="T166" i="1" a="1"/>
  <c r="T166" i="1" s="1"/>
  <c r="T190" i="1" a="1"/>
  <c r="T190" i="1" s="1"/>
  <c r="T214" i="1" a="1"/>
  <c r="T214" i="1" s="1"/>
  <c r="T262" i="1" a="1"/>
  <c r="T262" i="1" s="1"/>
  <c r="T286" i="1" a="1"/>
  <c r="T286" i="1" s="1"/>
  <c r="T310" i="1" a="1"/>
  <c r="T310" i="1" s="1"/>
  <c r="T334" i="1" a="1"/>
  <c r="T334" i="1" s="1"/>
  <c r="T382" i="1" a="1"/>
  <c r="T382" i="1" s="1"/>
  <c r="T406" i="1" a="1"/>
  <c r="T406" i="1" s="1"/>
  <c r="T454" i="1" a="1"/>
  <c r="T454" i="1" s="1"/>
  <c r="T478" i="1" a="1"/>
  <c r="T478" i="1" s="1"/>
  <c r="T502" i="1" a="1"/>
  <c r="T502" i="1" s="1"/>
  <c r="T48" i="1" a="1"/>
  <c r="T48" i="1" s="1"/>
  <c r="T143" i="1" a="1"/>
  <c r="T143" i="1" s="1"/>
  <c r="T49" i="1" a="1"/>
  <c r="T49" i="1" s="1"/>
  <c r="T27" i="1" a="1"/>
  <c r="T27" i="1" s="1"/>
  <c r="T50" i="1" a="1"/>
  <c r="T50" i="1" s="1"/>
  <c r="T145" i="1" a="1"/>
  <c r="T145" i="1" s="1"/>
  <c r="T193" i="1" a="1"/>
  <c r="T193" i="1" s="1"/>
  <c r="T217" i="1" a="1"/>
  <c r="T217" i="1" s="1"/>
  <c r="T265" i="1" a="1"/>
  <c r="T265" i="1" s="1"/>
  <c r="T289" i="1" a="1"/>
  <c r="T289" i="1" s="1"/>
  <c r="T313" i="1" a="1"/>
  <c r="T313" i="1" s="1"/>
  <c r="T337" i="1" a="1"/>
  <c r="T337" i="1" s="1"/>
  <c r="T385" i="1" a="1"/>
  <c r="T385" i="1" s="1"/>
  <c r="T409" i="1" a="1"/>
  <c r="T409" i="1" s="1"/>
  <c r="T457" i="1" a="1"/>
  <c r="T457" i="1" s="1"/>
  <c r="T481" i="1" a="1"/>
  <c r="T481" i="1" s="1"/>
  <c r="T505" i="1" a="1"/>
  <c r="T505" i="1" s="1"/>
  <c r="T8" i="1" a="1"/>
  <c r="T8" i="1" s="1"/>
  <c r="T28" i="1" a="1"/>
  <c r="T28" i="1" s="1"/>
  <c r="T146" i="1" a="1"/>
  <c r="T146" i="1" s="1"/>
  <c r="T194" i="1" a="1"/>
  <c r="T194" i="1" s="1"/>
  <c r="T218" i="1" a="1"/>
  <c r="T218" i="1" s="1"/>
  <c r="T266" i="1" a="1"/>
  <c r="T266" i="1" s="1"/>
  <c r="T290" i="1" a="1"/>
  <c r="T290" i="1" s="1"/>
  <c r="T314" i="1" a="1"/>
  <c r="T314" i="1" s="1"/>
  <c r="T338" i="1" a="1"/>
  <c r="T338" i="1" s="1"/>
  <c r="T386" i="1" a="1"/>
  <c r="T386" i="1" s="1"/>
  <c r="T410" i="1" a="1"/>
  <c r="T410" i="1" s="1"/>
  <c r="T458" i="1" a="1"/>
  <c r="T458" i="1" s="1"/>
  <c r="T482" i="1" a="1"/>
  <c r="T482" i="1" s="1"/>
  <c r="T506" i="1" a="1"/>
  <c r="T506" i="1" s="1"/>
  <c r="S22" i="1" a="1"/>
  <c r="S22" i="1" s="1"/>
  <c r="S55" i="1" a="1"/>
  <c r="S55" i="1" s="1"/>
  <c r="S92" i="1" a="1"/>
  <c r="S92" i="1" s="1"/>
  <c r="S119" i="1" a="1"/>
  <c r="S119" i="1" s="1"/>
  <c r="S148" i="1" a="1"/>
  <c r="S148" i="1" s="1"/>
  <c r="S172" i="1" a="1"/>
  <c r="S172" i="1" s="1"/>
  <c r="S198" i="1" a="1"/>
  <c r="S198" i="1" s="1"/>
  <c r="S222" i="1" a="1"/>
  <c r="S222" i="1" s="1"/>
  <c r="S270" i="1" a="1"/>
  <c r="S270" i="1" s="1"/>
  <c r="S294" i="1" a="1"/>
  <c r="S294" i="1" s="1"/>
  <c r="S318" i="1" a="1"/>
  <c r="S318" i="1" s="1"/>
  <c r="S342" i="1" a="1"/>
  <c r="S342" i="1" s="1"/>
  <c r="S366" i="1" a="1"/>
  <c r="S366" i="1" s="1"/>
  <c r="S390" i="1" a="1"/>
  <c r="S390" i="1" s="1"/>
  <c r="S414" i="1" a="1"/>
  <c r="S414" i="1" s="1"/>
  <c r="S438" i="1" a="1"/>
  <c r="S438" i="1" s="1"/>
  <c r="S462" i="1" a="1"/>
  <c r="S462" i="1" s="1"/>
  <c r="S486" i="1" a="1"/>
  <c r="S486" i="1" s="1"/>
  <c r="S510" i="1" a="1"/>
  <c r="S510" i="1" s="1"/>
  <c r="S206" i="1" a="1"/>
  <c r="S206" i="1" s="1"/>
  <c r="S459" i="1" a="1"/>
  <c r="S459" i="1" s="1"/>
  <c r="S23" i="1" a="1"/>
  <c r="S23" i="1" s="1"/>
  <c r="S56" i="1" a="1"/>
  <c r="S56" i="1" s="1"/>
  <c r="S93" i="1" a="1"/>
  <c r="S93" i="1" s="1"/>
  <c r="S120" i="1" a="1"/>
  <c r="S120" i="1" s="1"/>
  <c r="S149" i="1" a="1"/>
  <c r="S149" i="1" s="1"/>
  <c r="S173" i="1" a="1"/>
  <c r="S173" i="1" s="1"/>
  <c r="S199" i="1" a="1"/>
  <c r="S199" i="1" s="1"/>
  <c r="S223" i="1" a="1"/>
  <c r="S223" i="1" s="1"/>
  <c r="S247" i="1" a="1"/>
  <c r="S247" i="1" s="1"/>
  <c r="S271" i="1" a="1"/>
  <c r="S271" i="1" s="1"/>
  <c r="S295" i="1" a="1"/>
  <c r="S295" i="1" s="1"/>
  <c r="S319" i="1" a="1"/>
  <c r="S319" i="1" s="1"/>
  <c r="S367" i="1" a="1"/>
  <c r="S367" i="1" s="1"/>
  <c r="S391" i="1" a="1"/>
  <c r="S391" i="1" s="1"/>
  <c r="S415" i="1" a="1"/>
  <c r="S415" i="1" s="1"/>
  <c r="S439" i="1" a="1"/>
  <c r="S439" i="1" s="1"/>
  <c r="S463" i="1" a="1"/>
  <c r="S463" i="1" s="1"/>
  <c r="S487" i="1" a="1"/>
  <c r="S487" i="1" s="1"/>
  <c r="S511" i="1" a="1"/>
  <c r="S511" i="1" s="1"/>
  <c r="S27" i="1" a="1"/>
  <c r="S27" i="1" s="1"/>
  <c r="S86" i="1" a="1"/>
  <c r="S86" i="1" s="1"/>
  <c r="S208" i="1" a="1"/>
  <c r="S208" i="1" s="1"/>
  <c r="S461" i="1" a="1"/>
  <c r="S461" i="1" s="1"/>
  <c r="S24" i="1" a="1"/>
  <c r="S24" i="1" s="1"/>
  <c r="S57" i="1" a="1"/>
  <c r="S57" i="1" s="1"/>
  <c r="S94" i="1" a="1"/>
  <c r="S94" i="1" s="1"/>
  <c r="S122" i="1" a="1"/>
  <c r="S122" i="1" s="1"/>
  <c r="S150" i="1" a="1"/>
  <c r="S150" i="1" s="1"/>
  <c r="S174" i="1" a="1"/>
  <c r="S174" i="1" s="1"/>
  <c r="S200" i="1" a="1"/>
  <c r="S200" i="1" s="1"/>
  <c r="S224" i="1" a="1"/>
  <c r="S224" i="1" s="1"/>
  <c r="S248" i="1" a="1"/>
  <c r="S248" i="1" s="1"/>
  <c r="S272" i="1" a="1"/>
  <c r="S272" i="1" s="1"/>
  <c r="S296" i="1" a="1"/>
  <c r="S296" i="1" s="1"/>
  <c r="S320" i="1" a="1"/>
  <c r="S320" i="1" s="1"/>
  <c r="S344" i="1" a="1"/>
  <c r="S344" i="1" s="1"/>
  <c r="S368" i="1" a="1"/>
  <c r="S368" i="1" s="1"/>
  <c r="S392" i="1" a="1"/>
  <c r="S392" i="1" s="1"/>
  <c r="S416" i="1" a="1"/>
  <c r="S416" i="1" s="1"/>
  <c r="S440" i="1" a="1"/>
  <c r="S440" i="1" s="1"/>
  <c r="S464" i="1" a="1"/>
  <c r="S464" i="1" s="1"/>
  <c r="S488" i="1" a="1"/>
  <c r="S488" i="1" s="1"/>
  <c r="S512" i="1" a="1"/>
  <c r="S512" i="1" s="1"/>
  <c r="S28" i="1" a="1"/>
  <c r="S28" i="1" s="1"/>
  <c r="S483" i="1" a="1"/>
  <c r="S483" i="1" s="1"/>
  <c r="S26" i="1" a="1"/>
  <c r="S26" i="1" s="1"/>
  <c r="S58" i="1" a="1"/>
  <c r="S58" i="1" s="1"/>
  <c r="S95" i="1" a="1"/>
  <c r="S95" i="1" s="1"/>
  <c r="S151" i="1" a="1"/>
  <c r="S151" i="1" s="1"/>
  <c r="S175" i="1" a="1"/>
  <c r="S175" i="1" s="1"/>
  <c r="S201" i="1" a="1"/>
  <c r="S201" i="1" s="1"/>
  <c r="S225" i="1" a="1"/>
  <c r="S225" i="1" s="1"/>
  <c r="S249" i="1" a="1"/>
  <c r="S249" i="1" s="1"/>
  <c r="S273" i="1" a="1"/>
  <c r="S273" i="1" s="1"/>
  <c r="S297" i="1" a="1"/>
  <c r="S297" i="1" s="1"/>
  <c r="S321" i="1" a="1"/>
  <c r="S321" i="1" s="1"/>
  <c r="S369" i="1" a="1"/>
  <c r="S369" i="1" s="1"/>
  <c r="S393" i="1" a="1"/>
  <c r="S393" i="1" s="1"/>
  <c r="S417" i="1" a="1"/>
  <c r="S417" i="1" s="1"/>
  <c r="S441" i="1" a="1"/>
  <c r="S441" i="1" s="1"/>
  <c r="S465" i="1" a="1"/>
  <c r="S465" i="1" s="1"/>
  <c r="S489" i="1" a="1"/>
  <c r="S489" i="1" s="1"/>
  <c r="S513" i="1" a="1"/>
  <c r="S513" i="1" s="1"/>
  <c r="S485" i="1" a="1"/>
  <c r="S485" i="1" s="1"/>
  <c r="S59" i="1" a="1"/>
  <c r="S59" i="1" s="1"/>
  <c r="S96" i="1" a="1"/>
  <c r="S96" i="1" s="1"/>
  <c r="S124" i="1" a="1"/>
  <c r="S124" i="1" s="1"/>
  <c r="S152" i="1" a="1"/>
  <c r="S152" i="1" s="1"/>
  <c r="S176" i="1" a="1"/>
  <c r="S176" i="1" s="1"/>
  <c r="S202" i="1" a="1"/>
  <c r="S202" i="1" s="1"/>
  <c r="S226" i="1" a="1"/>
  <c r="S226" i="1" s="1"/>
  <c r="S250" i="1" a="1"/>
  <c r="S250" i="1" s="1"/>
  <c r="S274" i="1" a="1"/>
  <c r="S274" i="1" s="1"/>
  <c r="S298" i="1" a="1"/>
  <c r="S298" i="1" s="1"/>
  <c r="S322" i="1" a="1"/>
  <c r="S322" i="1" s="1"/>
  <c r="S346" i="1" a="1"/>
  <c r="S346" i="1" s="1"/>
  <c r="S370" i="1" a="1"/>
  <c r="S370" i="1" s="1"/>
  <c r="S394" i="1" a="1"/>
  <c r="S394" i="1" s="1"/>
  <c r="S418" i="1" a="1"/>
  <c r="S418" i="1" s="1"/>
  <c r="S442" i="1" a="1"/>
  <c r="S442" i="1" s="1"/>
  <c r="S466" i="1" a="1"/>
  <c r="S466" i="1" s="1"/>
  <c r="S490" i="1" a="1"/>
  <c r="S490" i="1" s="1"/>
  <c r="S245" i="1" a="1"/>
  <c r="S245" i="1" s="1"/>
  <c r="S507" i="1" a="1"/>
  <c r="S507" i="1" s="1"/>
  <c r="S60" i="1" a="1"/>
  <c r="S60" i="1" s="1"/>
  <c r="S98" i="1" a="1"/>
  <c r="S98" i="1" s="1"/>
  <c r="S153" i="1" a="1"/>
  <c r="S153" i="1" s="1"/>
  <c r="S177" i="1" a="1"/>
  <c r="S177" i="1" s="1"/>
  <c r="S203" i="1" a="1"/>
  <c r="S203" i="1" s="1"/>
  <c r="S251" i="1" a="1"/>
  <c r="S251" i="1" s="1"/>
  <c r="S275" i="1" a="1"/>
  <c r="S275" i="1" s="1"/>
  <c r="S299" i="1" a="1"/>
  <c r="S299" i="1" s="1"/>
  <c r="S323" i="1" a="1"/>
  <c r="S323" i="1" s="1"/>
  <c r="S347" i="1" a="1"/>
  <c r="S347" i="1" s="1"/>
  <c r="S371" i="1" a="1"/>
  <c r="S371" i="1" s="1"/>
  <c r="S395" i="1" a="1"/>
  <c r="S395" i="1" s="1"/>
  <c r="S419" i="1" a="1"/>
  <c r="S419" i="1" s="1"/>
  <c r="S443" i="1" a="1"/>
  <c r="S443" i="1" s="1"/>
  <c r="S467" i="1" a="1"/>
  <c r="S467" i="1" s="1"/>
  <c r="S491" i="1" a="1"/>
  <c r="S491" i="1" s="1"/>
  <c r="S246" i="1" a="1"/>
  <c r="S246" i="1" s="1"/>
  <c r="S509" i="1" a="1"/>
  <c r="S509" i="1" s="1"/>
  <c r="S29" i="1" a="1"/>
  <c r="S29" i="1" s="1"/>
  <c r="S61" i="1" a="1"/>
  <c r="S61" i="1" s="1"/>
  <c r="S99" i="1" a="1"/>
  <c r="S99" i="1" s="1"/>
  <c r="S126" i="1" a="1"/>
  <c r="S126" i="1" s="1"/>
  <c r="S154" i="1" a="1"/>
  <c r="S154" i="1" s="1"/>
  <c r="S178" i="1" a="1"/>
  <c r="S178" i="1" s="1"/>
  <c r="S204" i="1" a="1"/>
  <c r="S204" i="1" s="1"/>
  <c r="S228" i="1" a="1"/>
  <c r="S228" i="1" s="1"/>
  <c r="S252" i="1" a="1"/>
  <c r="S252" i="1" s="1"/>
  <c r="S276" i="1" a="1"/>
  <c r="S276" i="1" s="1"/>
  <c r="S300" i="1" a="1"/>
  <c r="S300" i="1" s="1"/>
  <c r="S324" i="1" a="1"/>
  <c r="S324" i="1" s="1"/>
  <c r="S348" i="1" a="1"/>
  <c r="S348" i="1" s="1"/>
  <c r="S372" i="1" a="1"/>
  <c r="S372" i="1" s="1"/>
  <c r="S396" i="1" a="1"/>
  <c r="S396" i="1" s="1"/>
  <c r="S420" i="1" a="1"/>
  <c r="S420" i="1" s="1"/>
  <c r="S444" i="1" a="1"/>
  <c r="S444" i="1" s="1"/>
  <c r="S468" i="1" a="1"/>
  <c r="S468" i="1" s="1"/>
  <c r="S492" i="1" a="1"/>
  <c r="S492" i="1" s="1"/>
  <c r="S265" i="1" a="1"/>
  <c r="S265" i="1" s="1"/>
  <c r="S30" i="1" a="1"/>
  <c r="S30" i="1" s="1"/>
  <c r="S62" i="1" a="1"/>
  <c r="S62" i="1" s="1"/>
  <c r="S102" i="1" a="1"/>
  <c r="S102" i="1" s="1"/>
  <c r="S127" i="1" a="1"/>
  <c r="S127" i="1" s="1"/>
  <c r="S155" i="1" a="1"/>
  <c r="S155" i="1" s="1"/>
  <c r="S179" i="1" a="1"/>
  <c r="S179" i="1" s="1"/>
  <c r="S205" i="1" a="1"/>
  <c r="S205" i="1" s="1"/>
  <c r="S229" i="1" a="1"/>
  <c r="S229" i="1" s="1"/>
  <c r="S253" i="1" a="1"/>
  <c r="S253" i="1" s="1"/>
  <c r="S277" i="1" a="1"/>
  <c r="S277" i="1" s="1"/>
  <c r="S301" i="1" a="1"/>
  <c r="S301" i="1" s="1"/>
  <c r="S349" i="1" a="1"/>
  <c r="S349" i="1" s="1"/>
  <c r="S373" i="1" a="1"/>
  <c r="S373" i="1" s="1"/>
  <c r="S397" i="1" a="1"/>
  <c r="S397" i="1" s="1"/>
  <c r="S421" i="1" a="1"/>
  <c r="S421" i="1" s="1"/>
  <c r="S445" i="1" a="1"/>
  <c r="S445" i="1" s="1"/>
  <c r="S469" i="1" a="1"/>
  <c r="S469" i="1" s="1"/>
  <c r="S493" i="1" a="1"/>
  <c r="S493" i="1" s="1"/>
  <c r="S104" i="1" a="1"/>
  <c r="S104" i="1" s="1"/>
  <c r="S267" i="1" a="1"/>
  <c r="S267" i="1" s="1"/>
  <c r="S31" i="1" a="1"/>
  <c r="S31" i="1" s="1"/>
  <c r="S63" i="1" a="1"/>
  <c r="S63" i="1" s="1"/>
  <c r="S103" i="1" a="1"/>
  <c r="S103" i="1" s="1"/>
  <c r="S128" i="1" a="1"/>
  <c r="S128" i="1" s="1"/>
  <c r="S156" i="1" a="1"/>
  <c r="S156" i="1" s="1"/>
  <c r="S180" i="1" a="1"/>
  <c r="S180" i="1" s="1"/>
  <c r="S230" i="1" a="1"/>
  <c r="S230" i="1" s="1"/>
  <c r="S254" i="1" a="1"/>
  <c r="S254" i="1" s="1"/>
  <c r="S278" i="1" a="1"/>
  <c r="S278" i="1" s="1"/>
  <c r="S302" i="1" a="1"/>
  <c r="S302" i="1" s="1"/>
  <c r="S326" i="1" a="1"/>
  <c r="S326" i="1" s="1"/>
  <c r="S350" i="1" a="1"/>
  <c r="S350" i="1" s="1"/>
  <c r="S374" i="1" a="1"/>
  <c r="S374" i="1" s="1"/>
  <c r="S398" i="1" a="1"/>
  <c r="S398" i="1" s="1"/>
  <c r="S422" i="1" a="1"/>
  <c r="S422" i="1" s="1"/>
  <c r="S446" i="1" a="1"/>
  <c r="S446" i="1" s="1"/>
  <c r="S470" i="1" a="1"/>
  <c r="S470" i="1" s="1"/>
  <c r="S494" i="1" a="1"/>
  <c r="S494" i="1" s="1"/>
  <c r="S3" i="1" a="1"/>
  <c r="S3" i="1" s="1"/>
  <c r="S34" i="1" a="1"/>
  <c r="S34" i="1" s="1"/>
  <c r="S64" i="1" a="1"/>
  <c r="S64" i="1" s="1"/>
  <c r="S130" i="1" a="1"/>
  <c r="S130" i="1" s="1"/>
  <c r="S157" i="1" a="1"/>
  <c r="S157" i="1" s="1"/>
  <c r="S181" i="1" a="1"/>
  <c r="S181" i="1" s="1"/>
  <c r="S207" i="1" a="1"/>
  <c r="S207" i="1" s="1"/>
  <c r="S231" i="1" a="1"/>
  <c r="S231" i="1" s="1"/>
  <c r="S255" i="1" a="1"/>
  <c r="S255" i="1" s="1"/>
  <c r="S279" i="1" a="1"/>
  <c r="S279" i="1" s="1"/>
  <c r="S303" i="1" a="1"/>
  <c r="S303" i="1" s="1"/>
  <c r="S327" i="1" a="1"/>
  <c r="S327" i="1" s="1"/>
  <c r="S351" i="1" a="1"/>
  <c r="S351" i="1" s="1"/>
  <c r="S375" i="1" a="1"/>
  <c r="S375" i="1" s="1"/>
  <c r="S399" i="1" a="1"/>
  <c r="S399" i="1" s="1"/>
  <c r="S423" i="1" a="1"/>
  <c r="S423" i="1" s="1"/>
  <c r="S447" i="1" a="1"/>
  <c r="S447" i="1" s="1"/>
  <c r="S471" i="1" a="1"/>
  <c r="S471" i="1" s="1"/>
  <c r="S495" i="1" a="1"/>
  <c r="S495" i="1" s="1"/>
  <c r="S48" i="1" a="1"/>
  <c r="S48" i="1" s="1"/>
  <c r="S6" i="1" a="1"/>
  <c r="S6" i="1" s="1"/>
  <c r="S35" i="1" a="1"/>
  <c r="S35" i="1" s="1"/>
  <c r="S65" i="1" a="1"/>
  <c r="S65" i="1" s="1"/>
  <c r="S105" i="1" a="1"/>
  <c r="S105" i="1" s="1"/>
  <c r="S134" i="1" a="1"/>
  <c r="S134" i="1" s="1"/>
  <c r="S158" i="1" a="1"/>
  <c r="S158" i="1" s="1"/>
  <c r="S182" i="1" a="1"/>
  <c r="S182" i="1" s="1"/>
  <c r="S232" i="1" a="1"/>
  <c r="S232" i="1" s="1"/>
  <c r="S256" i="1" a="1"/>
  <c r="S256" i="1" s="1"/>
  <c r="S280" i="1" a="1"/>
  <c r="S280" i="1" s="1"/>
  <c r="S328" i="1" a="1"/>
  <c r="S328" i="1" s="1"/>
  <c r="S352" i="1" a="1"/>
  <c r="S352" i="1" s="1"/>
  <c r="S376" i="1" a="1"/>
  <c r="S376" i="1" s="1"/>
  <c r="S400" i="1" a="1"/>
  <c r="S400" i="1" s="1"/>
  <c r="S424" i="1" a="1"/>
  <c r="S424" i="1" s="1"/>
  <c r="S448" i="1" a="1"/>
  <c r="S448" i="1" s="1"/>
  <c r="S472" i="1" a="1"/>
  <c r="S472" i="1" s="1"/>
  <c r="S496" i="1" a="1"/>
  <c r="S496" i="1" s="1"/>
  <c r="S123" i="1" a="1"/>
  <c r="S123" i="1" s="1"/>
  <c r="S304" i="1" a="1"/>
  <c r="S304" i="1" s="1"/>
  <c r="S7" i="1" a="1"/>
  <c r="S7" i="1" s="1"/>
  <c r="S36" i="1" a="1"/>
  <c r="S36" i="1" s="1"/>
  <c r="S66" i="1" a="1"/>
  <c r="S66" i="1" s="1"/>
  <c r="S106" i="1" a="1"/>
  <c r="S106" i="1" s="1"/>
  <c r="S135" i="1" a="1"/>
  <c r="S135" i="1" s="1"/>
  <c r="S159" i="1" a="1"/>
  <c r="S159" i="1" s="1"/>
  <c r="S183" i="1" a="1"/>
  <c r="S183" i="1" s="1"/>
  <c r="S209" i="1" a="1"/>
  <c r="S209" i="1" s="1"/>
  <c r="S233" i="1" a="1"/>
  <c r="S233" i="1" s="1"/>
  <c r="S257" i="1" a="1"/>
  <c r="S257" i="1" s="1"/>
  <c r="S281" i="1" a="1"/>
  <c r="S281" i="1" s="1"/>
  <c r="S305" i="1" a="1"/>
  <c r="S305" i="1" s="1"/>
  <c r="S329" i="1" a="1"/>
  <c r="S329" i="1" s="1"/>
  <c r="S353" i="1" a="1"/>
  <c r="S353" i="1" s="1"/>
  <c r="S377" i="1" a="1"/>
  <c r="S377" i="1" s="1"/>
  <c r="S401" i="1" a="1"/>
  <c r="S401" i="1" s="1"/>
  <c r="S425" i="1" a="1"/>
  <c r="S425" i="1" s="1"/>
  <c r="S449" i="1" a="1"/>
  <c r="S449" i="1" s="1"/>
  <c r="S473" i="1" a="1"/>
  <c r="S473" i="1" s="1"/>
  <c r="S497" i="1" a="1"/>
  <c r="S497" i="1" s="1"/>
  <c r="S125" i="1" a="1"/>
  <c r="S125" i="1" s="1"/>
  <c r="S306" i="1" a="1"/>
  <c r="S306" i="1" s="1"/>
  <c r="S37" i="1" a="1"/>
  <c r="S37" i="1" s="1"/>
  <c r="S70" i="1" a="1"/>
  <c r="S70" i="1" s="1"/>
  <c r="S107" i="1" a="1"/>
  <c r="S107" i="1" s="1"/>
  <c r="S136" i="1" a="1"/>
  <c r="S136" i="1" s="1"/>
  <c r="S160" i="1" a="1"/>
  <c r="S160" i="1" s="1"/>
  <c r="S184" i="1" a="1"/>
  <c r="S184" i="1" s="1"/>
  <c r="S210" i="1" a="1"/>
  <c r="S210" i="1" s="1"/>
  <c r="S234" i="1" a="1"/>
  <c r="S234" i="1" s="1"/>
  <c r="S258" i="1" a="1"/>
  <c r="S258" i="1" s="1"/>
  <c r="S282" i="1" a="1"/>
  <c r="S282" i="1" s="1"/>
  <c r="S330" i="1" a="1"/>
  <c r="S330" i="1" s="1"/>
  <c r="S354" i="1" a="1"/>
  <c r="S354" i="1" s="1"/>
  <c r="S378" i="1" a="1"/>
  <c r="S378" i="1" s="1"/>
  <c r="S402" i="1" a="1"/>
  <c r="S402" i="1" s="1"/>
  <c r="S426" i="1" a="1"/>
  <c r="S426" i="1" s="1"/>
  <c r="S450" i="1" a="1"/>
  <c r="S450" i="1" s="1"/>
  <c r="S474" i="1" a="1"/>
  <c r="S474" i="1" s="1"/>
  <c r="S498" i="1" a="1"/>
  <c r="S498" i="1" s="1"/>
  <c r="S9" i="1" a="1"/>
  <c r="S9" i="1" s="1"/>
  <c r="S38" i="1" a="1"/>
  <c r="S38" i="1" s="1"/>
  <c r="S71" i="1" a="1"/>
  <c r="S71" i="1" s="1"/>
  <c r="S108" i="1" a="1"/>
  <c r="S108" i="1" s="1"/>
  <c r="S137" i="1" a="1"/>
  <c r="S137" i="1" s="1"/>
  <c r="S161" i="1" a="1"/>
  <c r="S161" i="1" s="1"/>
  <c r="S185" i="1" a="1"/>
  <c r="S185" i="1" s="1"/>
  <c r="S211" i="1" a="1"/>
  <c r="S211" i="1" s="1"/>
  <c r="S235" i="1" a="1"/>
  <c r="S235" i="1" s="1"/>
  <c r="S259" i="1" a="1"/>
  <c r="S259" i="1" s="1"/>
  <c r="S307" i="1" a="1"/>
  <c r="S307" i="1" s="1"/>
  <c r="S331" i="1" a="1"/>
  <c r="S331" i="1" s="1"/>
  <c r="S355" i="1" a="1"/>
  <c r="S355" i="1" s="1"/>
  <c r="S379" i="1" a="1"/>
  <c r="S379" i="1" s="1"/>
  <c r="S403" i="1" a="1"/>
  <c r="S403" i="1" s="1"/>
  <c r="S427" i="1" a="1"/>
  <c r="S427" i="1" s="1"/>
  <c r="S451" i="1" a="1"/>
  <c r="S451" i="1" s="1"/>
  <c r="S475" i="1" a="1"/>
  <c r="S475" i="1" s="1"/>
  <c r="S499" i="1" a="1"/>
  <c r="S499" i="1" s="1"/>
  <c r="S325" i="1" a="1"/>
  <c r="S325" i="1" s="1"/>
  <c r="S39" i="1" a="1"/>
  <c r="S39" i="1" s="1"/>
  <c r="S74" i="1" a="1"/>
  <c r="S74" i="1" s="1"/>
  <c r="S109" i="1" a="1"/>
  <c r="S109" i="1" s="1"/>
  <c r="S138" i="1" a="1"/>
  <c r="S138" i="1" s="1"/>
  <c r="S162" i="1" a="1"/>
  <c r="S162" i="1" s="1"/>
  <c r="S186" i="1" a="1"/>
  <c r="S186" i="1" s="1"/>
  <c r="S212" i="1" a="1"/>
  <c r="S212" i="1" s="1"/>
  <c r="S236" i="1" a="1"/>
  <c r="S236" i="1" s="1"/>
  <c r="S260" i="1" a="1"/>
  <c r="S260" i="1" s="1"/>
  <c r="S284" i="1" a="1"/>
  <c r="S284" i="1" s="1"/>
  <c r="S308" i="1" a="1"/>
  <c r="S308" i="1" s="1"/>
  <c r="S332" i="1" a="1"/>
  <c r="S332" i="1" s="1"/>
  <c r="S356" i="1" a="1"/>
  <c r="S356" i="1" s="1"/>
  <c r="S380" i="1" a="1"/>
  <c r="S380" i="1" s="1"/>
  <c r="S404" i="1" a="1"/>
  <c r="S404" i="1" s="1"/>
  <c r="S428" i="1" a="1"/>
  <c r="S428" i="1" s="1"/>
  <c r="S452" i="1" a="1"/>
  <c r="S452" i="1" s="1"/>
  <c r="S476" i="1" a="1"/>
  <c r="S476" i="1" s="1"/>
  <c r="S500" i="1" a="1"/>
  <c r="S500" i="1" s="1"/>
  <c r="S343" i="1" a="1"/>
  <c r="S343" i="1" s="1"/>
  <c r="S11" i="1" a="1"/>
  <c r="S11" i="1" s="1"/>
  <c r="S42" i="1" a="1"/>
  <c r="S42" i="1" s="1"/>
  <c r="S75" i="1" a="1"/>
  <c r="S75" i="1" s="1"/>
  <c r="S110" i="1" a="1"/>
  <c r="S110" i="1" s="1"/>
  <c r="S139" i="1" a="1"/>
  <c r="S139" i="1" s="1"/>
  <c r="S163" i="1" a="1"/>
  <c r="S163" i="1" s="1"/>
  <c r="S213" i="1" a="1"/>
  <c r="S213" i="1" s="1"/>
  <c r="S237" i="1" a="1"/>
  <c r="S237" i="1" s="1"/>
  <c r="S261" i="1" a="1"/>
  <c r="S261" i="1" s="1"/>
  <c r="S309" i="1" a="1"/>
  <c r="S309" i="1" s="1"/>
  <c r="S333" i="1" a="1"/>
  <c r="S333" i="1" s="1"/>
  <c r="S357" i="1" a="1"/>
  <c r="S357" i="1" s="1"/>
  <c r="S381" i="1" a="1"/>
  <c r="S381" i="1" s="1"/>
  <c r="S405" i="1" a="1"/>
  <c r="S405" i="1" s="1"/>
  <c r="S429" i="1" a="1"/>
  <c r="S429" i="1" s="1"/>
  <c r="S453" i="1" a="1"/>
  <c r="S453" i="1" s="1"/>
  <c r="S477" i="1" a="1"/>
  <c r="S477" i="1" s="1"/>
  <c r="S501" i="1" a="1"/>
  <c r="S501" i="1" s="1"/>
  <c r="S345" i="1" a="1"/>
  <c r="S345" i="1" s="1"/>
  <c r="S12" i="1" a="1"/>
  <c r="S12" i="1" s="1"/>
  <c r="S43" i="1" a="1"/>
  <c r="S43" i="1" s="1"/>
  <c r="S76" i="1" a="1"/>
  <c r="S76" i="1" s="1"/>
  <c r="S111" i="1" a="1"/>
  <c r="S111" i="1" s="1"/>
  <c r="S140" i="1" a="1"/>
  <c r="S140" i="1" s="1"/>
  <c r="S164" i="1" a="1"/>
  <c r="S164" i="1" s="1"/>
  <c r="S188" i="1" a="1"/>
  <c r="S188" i="1" s="1"/>
  <c r="S214" i="1" a="1"/>
  <c r="S214" i="1" s="1"/>
  <c r="S238" i="1" a="1"/>
  <c r="S238" i="1" s="1"/>
  <c r="S262" i="1" a="1"/>
  <c r="S262" i="1" s="1"/>
  <c r="S286" i="1" a="1"/>
  <c r="S286" i="1" s="1"/>
  <c r="S310" i="1" a="1"/>
  <c r="S310" i="1" s="1"/>
  <c r="S334" i="1" a="1"/>
  <c r="S334" i="1" s="1"/>
  <c r="S358" i="1" a="1"/>
  <c r="S358" i="1" s="1"/>
  <c r="S382" i="1" a="1"/>
  <c r="S382" i="1" s="1"/>
  <c r="S406" i="1" a="1"/>
  <c r="S406" i="1" s="1"/>
  <c r="S430" i="1" a="1"/>
  <c r="S430" i="1" s="1"/>
  <c r="S454" i="1" a="1"/>
  <c r="S454" i="1" s="1"/>
  <c r="S478" i="1" a="1"/>
  <c r="S478" i="1" s="1"/>
  <c r="S502" i="1" a="1"/>
  <c r="S502" i="1" s="1"/>
  <c r="S364" i="1" a="1"/>
  <c r="S364" i="1" s="1"/>
  <c r="S13" i="1" a="1"/>
  <c r="S13" i="1" s="1"/>
  <c r="S44" i="1" a="1"/>
  <c r="S44" i="1" s="1"/>
  <c r="S78" i="1" a="1"/>
  <c r="S78" i="1" s="1"/>
  <c r="S112" i="1" a="1"/>
  <c r="S112" i="1" s="1"/>
  <c r="S141" i="1" a="1"/>
  <c r="S141" i="1" s="1"/>
  <c r="S165" i="1" a="1"/>
  <c r="S165" i="1" s="1"/>
  <c r="S189" i="1" a="1"/>
  <c r="S189" i="1" s="1"/>
  <c r="S215" i="1" a="1"/>
  <c r="S215" i="1" s="1"/>
  <c r="S239" i="1" a="1"/>
  <c r="S239" i="1" s="1"/>
  <c r="S263" i="1" a="1"/>
  <c r="S263" i="1" s="1"/>
  <c r="S287" i="1" a="1"/>
  <c r="S287" i="1" s="1"/>
  <c r="S311" i="1" a="1"/>
  <c r="S311" i="1" s="1"/>
  <c r="S335" i="1" a="1"/>
  <c r="S335" i="1" s="1"/>
  <c r="S359" i="1" a="1"/>
  <c r="S359" i="1" s="1"/>
  <c r="S383" i="1" a="1"/>
  <c r="S383" i="1" s="1"/>
  <c r="S407" i="1" a="1"/>
  <c r="S407" i="1" s="1"/>
  <c r="S431" i="1" a="1"/>
  <c r="S431" i="1" s="1"/>
  <c r="S455" i="1" a="1"/>
  <c r="S455" i="1" s="1"/>
  <c r="S479" i="1" a="1"/>
  <c r="S479" i="1" s="1"/>
  <c r="S503" i="1" a="1"/>
  <c r="S503" i="1" s="1"/>
  <c r="S145" i="1" a="1"/>
  <c r="S145" i="1" s="1"/>
  <c r="S365" i="1" a="1"/>
  <c r="S365" i="1" s="1"/>
  <c r="S14" i="1" a="1"/>
  <c r="S14" i="1" s="1"/>
  <c r="S46" i="1" a="1"/>
  <c r="S46" i="1" s="1"/>
  <c r="S79" i="1" a="1"/>
  <c r="S79" i="1" s="1"/>
  <c r="S113" i="1" a="1"/>
  <c r="S113" i="1" s="1"/>
  <c r="S142" i="1" a="1"/>
  <c r="S142" i="1" s="1"/>
  <c r="S190" i="1" a="1"/>
  <c r="S190" i="1" s="1"/>
  <c r="S216" i="1" a="1"/>
  <c r="S216" i="1" s="1"/>
  <c r="S240" i="1" a="1"/>
  <c r="S240" i="1" s="1"/>
  <c r="S264" i="1" a="1"/>
  <c r="S264" i="1" s="1"/>
  <c r="S288" i="1" a="1"/>
  <c r="S288" i="1" s="1"/>
  <c r="S312" i="1" a="1"/>
  <c r="S312" i="1" s="1"/>
  <c r="S336" i="1" a="1"/>
  <c r="S336" i="1" s="1"/>
  <c r="S360" i="1" a="1"/>
  <c r="S360" i="1" s="1"/>
  <c r="S384" i="1" a="1"/>
  <c r="S384" i="1" s="1"/>
  <c r="S408" i="1" a="1"/>
  <c r="S408" i="1" s="1"/>
  <c r="S432" i="1" a="1"/>
  <c r="S432" i="1" s="1"/>
  <c r="S456" i="1" a="1"/>
  <c r="S456" i="1" s="1"/>
  <c r="S480" i="1" a="1"/>
  <c r="S480" i="1" s="1"/>
  <c r="S504" i="1" a="1"/>
  <c r="S504" i="1" s="1"/>
  <c r="S166" i="1" a="1"/>
  <c r="S166" i="1" s="1"/>
  <c r="S387" i="1" a="1"/>
  <c r="S387" i="1" s="1"/>
  <c r="S15" i="1" a="1"/>
  <c r="S15" i="1" s="1"/>
  <c r="S47" i="1" a="1"/>
  <c r="S47" i="1" s="1"/>
  <c r="S82" i="1" a="1"/>
  <c r="S82" i="1" s="1"/>
  <c r="S114" i="1" a="1"/>
  <c r="S114" i="1" s="1"/>
  <c r="S167" i="1" a="1"/>
  <c r="S167" i="1" s="1"/>
  <c r="S191" i="1" a="1"/>
  <c r="S191" i="1" s="1"/>
  <c r="S217" i="1" a="1"/>
  <c r="S217" i="1" s="1"/>
  <c r="S241" i="1" a="1"/>
  <c r="S241" i="1" s="1"/>
  <c r="S289" i="1" a="1"/>
  <c r="S289" i="1" s="1"/>
  <c r="S313" i="1" a="1"/>
  <c r="S313" i="1" s="1"/>
  <c r="S337" i="1" a="1"/>
  <c r="S337" i="1" s="1"/>
  <c r="S361" i="1" a="1"/>
  <c r="S361" i="1" s="1"/>
  <c r="S385" i="1" a="1"/>
  <c r="S385" i="1" s="1"/>
  <c r="S409" i="1" a="1"/>
  <c r="S409" i="1" s="1"/>
  <c r="S433" i="1" a="1"/>
  <c r="S433" i="1" s="1"/>
  <c r="S457" i="1" a="1"/>
  <c r="S457" i="1" s="1"/>
  <c r="S481" i="1" a="1"/>
  <c r="S481" i="1" s="1"/>
  <c r="S505" i="1" a="1"/>
  <c r="S505" i="1" s="1"/>
  <c r="S389" i="1" a="1"/>
  <c r="S389" i="1" s="1"/>
  <c r="S16" i="1" a="1"/>
  <c r="S16" i="1" s="1"/>
  <c r="S115" i="1" a="1"/>
  <c r="S115" i="1" s="1"/>
  <c r="S144" i="1" a="1"/>
  <c r="S144" i="1" s="1"/>
  <c r="S168" i="1" a="1"/>
  <c r="S168" i="1" s="1"/>
  <c r="S192" i="1" a="1"/>
  <c r="S192" i="1" s="1"/>
  <c r="S218" i="1" a="1"/>
  <c r="S218" i="1" s="1"/>
  <c r="S242" i="1" a="1"/>
  <c r="S242" i="1" s="1"/>
  <c r="S266" i="1" a="1"/>
  <c r="S266" i="1" s="1"/>
  <c r="S290" i="1" a="1"/>
  <c r="S290" i="1" s="1"/>
  <c r="S314" i="1" a="1"/>
  <c r="S314" i="1" s="1"/>
  <c r="S338" i="1" a="1"/>
  <c r="S338" i="1" s="1"/>
  <c r="S362" i="1" a="1"/>
  <c r="S362" i="1" s="1"/>
  <c r="S386" i="1" a="1"/>
  <c r="S386" i="1" s="1"/>
  <c r="S410" i="1" a="1"/>
  <c r="S410" i="1" s="1"/>
  <c r="S434" i="1" a="1"/>
  <c r="S434" i="1" s="1"/>
  <c r="S458" i="1" a="1"/>
  <c r="S458" i="1" s="1"/>
  <c r="S482" i="1" a="1"/>
  <c r="S482" i="1" s="1"/>
  <c r="S506" i="1" a="1"/>
  <c r="S506" i="1" s="1"/>
  <c r="S2" i="1" a="1"/>
  <c r="S2" i="1" s="1"/>
  <c r="S8" i="1" a="1"/>
  <c r="S8" i="1" s="1"/>
  <c r="S411" i="1" a="1"/>
  <c r="S411" i="1" s="1"/>
  <c r="S18" i="1" a="1"/>
  <c r="S18" i="1" s="1"/>
  <c r="S49" i="1" a="1"/>
  <c r="S49" i="1" s="1"/>
  <c r="S87" i="1" a="1"/>
  <c r="S87" i="1" s="1"/>
  <c r="S116" i="1" a="1"/>
  <c r="S116" i="1" s="1"/>
  <c r="S169" i="1" a="1"/>
  <c r="S169" i="1" s="1"/>
  <c r="S193" i="1" a="1"/>
  <c r="S193" i="1" s="1"/>
  <c r="S219" i="1" a="1"/>
  <c r="S219" i="1" s="1"/>
  <c r="S243" i="1" a="1"/>
  <c r="S243" i="1" s="1"/>
  <c r="S291" i="1" a="1"/>
  <c r="S291" i="1" s="1"/>
  <c r="S315" i="1" a="1"/>
  <c r="S315" i="1" s="1"/>
  <c r="S339" i="1" a="1"/>
  <c r="S339" i="1" s="1"/>
  <c r="S363" i="1" a="1"/>
  <c r="S363" i="1" s="1"/>
  <c r="S10" i="1" a="1"/>
  <c r="S10" i="1" s="1"/>
  <c r="S187" i="1" a="1"/>
  <c r="S187" i="1" s="1"/>
  <c r="S413" i="1" a="1"/>
  <c r="S413" i="1" s="1"/>
  <c r="S19" i="1" a="1"/>
  <c r="S19" i="1" s="1"/>
  <c r="S50" i="1" a="1"/>
  <c r="S50" i="1" s="1"/>
  <c r="S90" i="1" a="1"/>
  <c r="S90" i="1" s="1"/>
  <c r="S117" i="1" a="1"/>
  <c r="S117" i="1" s="1"/>
  <c r="S146" i="1" a="1"/>
  <c r="S146" i="1" s="1"/>
  <c r="S170" i="1" a="1"/>
  <c r="S170" i="1" s="1"/>
  <c r="S194" i="1" a="1"/>
  <c r="S194" i="1" s="1"/>
  <c r="S220" i="1" a="1"/>
  <c r="S220" i="1" s="1"/>
  <c r="S244" i="1" a="1"/>
  <c r="S244" i="1" s="1"/>
  <c r="S268" i="1" a="1"/>
  <c r="S268" i="1" s="1"/>
  <c r="S292" i="1" a="1"/>
  <c r="S292" i="1" s="1"/>
  <c r="S316" i="1" a="1"/>
  <c r="S316" i="1" s="1"/>
  <c r="S340" i="1" a="1"/>
  <c r="S340" i="1" s="1"/>
  <c r="S388" i="1" a="1"/>
  <c r="S388" i="1" s="1"/>
  <c r="S412" i="1" a="1"/>
  <c r="S412" i="1" s="1"/>
  <c r="S436" i="1" a="1"/>
  <c r="S436" i="1" s="1"/>
  <c r="S460" i="1" a="1"/>
  <c r="S460" i="1" s="1"/>
  <c r="S484" i="1" a="1"/>
  <c r="S484" i="1" s="1"/>
  <c r="S508" i="1" a="1"/>
  <c r="S508" i="1" s="1"/>
  <c r="S435" i="1" a="1"/>
  <c r="S435" i="1" s="1"/>
  <c r="S20" i="1" a="1"/>
  <c r="S20" i="1" s="1"/>
  <c r="S54" i="1" a="1"/>
  <c r="S54" i="1" s="1"/>
  <c r="S91" i="1" a="1"/>
  <c r="S91" i="1" s="1"/>
  <c r="S118" i="1" a="1"/>
  <c r="S118" i="1" s="1"/>
  <c r="S147" i="1" a="1"/>
  <c r="S147" i="1" s="1"/>
  <c r="S171" i="1" a="1"/>
  <c r="S171" i="1" s="1"/>
  <c r="S195" i="1" a="1"/>
  <c r="S195" i="1" s="1"/>
  <c r="S221" i="1" a="1"/>
  <c r="S221" i="1" s="1"/>
  <c r="S269" i="1" a="1"/>
  <c r="S269" i="1" s="1"/>
  <c r="S293" i="1" a="1"/>
  <c r="S293" i="1" s="1"/>
  <c r="S317" i="1" a="1"/>
  <c r="S317" i="1" s="1"/>
  <c r="S341" i="1" a="1"/>
  <c r="S341" i="1" s="1"/>
  <c r="S437" i="1" a="1"/>
  <c r="S437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<sst xmlns="http://schemas.openxmlformats.org/spreadsheetml/2006/main" count="2352" uniqueCount="1150">
  <si>
    <t>01100100101000110001101001111</t>
  </si>
  <si>
    <t>00?.00???0??.00</t>
  </si>
  <si>
    <t>00,01,02,03,08,09,0a,0b,10,11,12,13,18,19,1a,1b,20,21,22,23,28,29,2a,2b,30,31,32,33,38,39,3a,3b</t>
  </si>
  <si>
    <t>01011011000000000110000000100</t>
  </si>
  <si>
    <t>00000000000000000000000000000</t>
  </si>
  <si>
    <t>01100100101010110001010001101</t>
  </si>
  <si>
    <t>00?.00???10?.00</t>
  </si>
  <si>
    <t>04,05,0c,0d,14,15,1c,1d,24,25,2c,2d,34,35,3c,3d</t>
  </si>
  <si>
    <t>11000010010000000000000000000</t>
  </si>
  <si>
    <t>00000000000000000011101001111</t>
  </si>
  <si>
    <t>01011011000000000100000000000</t>
  </si>
  <si>
    <t>00011110100000000000000011001</t>
  </si>
  <si>
    <t>00?.000??111.00</t>
  </si>
  <si>
    <t>07,0f,17,1f</t>
  </si>
  <si>
    <t>00011100100000000001100011101</t>
  </si>
  <si>
    <t>01011000110000000000000000000</t>
  </si>
  <si>
    <t>11001011010000001010000000000</t>
  </si>
  <si>
    <t>00011100100000000001100010101</t>
  </si>
  <si>
    <t>00?.000??110.00</t>
  </si>
  <si>
    <t>06,0e,16,1e</t>
  </si>
  <si>
    <t>01101110011011010000000010101</t>
  </si>
  <si>
    <t>01011000110000000010000000000</t>
  </si>
  <si>
    <t>00111010100000000001101011101</t>
  </si>
  <si>
    <t>00?.00100111.00</t>
  </si>
  <si>
    <t>27</t>
  </si>
  <si>
    <t>01010100110000000011111111111</t>
  </si>
  <si>
    <t>01011101111011000100000000000</t>
  </si>
  <si>
    <t>00?.00101111.00</t>
  </si>
  <si>
    <t>2f</t>
  </si>
  <si>
    <t>01010100110000000011111010111</t>
  </si>
  <si>
    <t>00111010100000000001101010101</t>
  </si>
  <si>
    <t>00?.00110111.00</t>
  </si>
  <si>
    <t>37</t>
  </si>
  <si>
    <t>01010100110000000001111111111</t>
  </si>
  <si>
    <t>01011101111011000101100111101</t>
  </si>
  <si>
    <t>01111100100000000001011101010</t>
  </si>
  <si>
    <t>01011011110000000000000000000</t>
  </si>
  <si>
    <t>00?.0011?111.01</t>
  </si>
  <si>
    <t>37,3f</t>
  </si>
  <si>
    <t>00000000000000000010000000000</t>
  </si>
  <si>
    <t>00?.00111111.00</t>
  </si>
  <si>
    <t>3f</t>
  </si>
  <si>
    <t>01010100110000000001111010111</t>
  </si>
  <si>
    <t>01011101111011000101100110101</t>
  </si>
  <si>
    <t>01100100100000000011101001101</t>
  </si>
  <si>
    <t>00?.0100????.00</t>
  </si>
  <si>
    <t>40,41,42,43,44,45,46,47,48,49,4a,4b,4c,4d,4e,4f</t>
  </si>
  <si>
    <t>00?.01010???.00</t>
  </si>
  <si>
    <t>50,51,52,53,54,55,56,57</t>
  </si>
  <si>
    <t>01011000111011010010000010101</t>
  </si>
  <si>
    <t>01100110010000000000000000000</t>
  </si>
  <si>
    <t>00?.01011???.00</t>
  </si>
  <si>
    <t>58,59,5a,5b,5c,5d,5e,5f</t>
  </si>
  <si>
    <t>11001011000000001010000000000</t>
  </si>
  <si>
    <t>00?.0110011?.00</t>
  </si>
  <si>
    <t>66,67</t>
  </si>
  <si>
    <t>11000010100000000001111111111</t>
  </si>
  <si>
    <t>00?.0111????.00</t>
  </si>
  <si>
    <t>70,71,72,73,74,75,76,77,78,79,7a,7b,7c,7d,7e,7f</t>
  </si>
  <si>
    <t>00000000000000000001000001011</t>
  </si>
  <si>
    <t>11011100110000000000011100000</t>
  </si>
  <si>
    <t>00?.0111????.01</t>
  </si>
  <si>
    <t>01011110110000000010011000000</t>
  </si>
  <si>
    <t>11000010100000000001010001101</t>
  </si>
  <si>
    <t>00?.100000??.00</t>
  </si>
  <si>
    <t>80,81,82,83</t>
  </si>
  <si>
    <t>11000010000000000000000000000</t>
  </si>
  <si>
    <t>10010100110000000001101001111</t>
  </si>
  <si>
    <t>01100100100000000000000000000</t>
  </si>
  <si>
    <t>00?.100000??.01</t>
  </si>
  <si>
    <t>01100100111000100011111011111</t>
  </si>
  <si>
    <t>00?.1000010?.00</t>
  </si>
  <si>
    <t>84,85</t>
  </si>
  <si>
    <t>01011110000000000100000000000</t>
  </si>
  <si>
    <t>01100100111000100000000000000</t>
  </si>
  <si>
    <t>00?.1000011?.00</t>
  </si>
  <si>
    <t>86,87</t>
  </si>
  <si>
    <t>10011011010000000010000000100</t>
  </si>
  <si>
    <t>10010011000000000000000000000</t>
  </si>
  <si>
    <t>01101100110000000000000000000</t>
  </si>
  <si>
    <t>00?.100010??.00</t>
  </si>
  <si>
    <t>88,89,8a,8b</t>
  </si>
  <si>
    <t>10011011000000000010000000100</t>
  </si>
  <si>
    <t>01101011000000000010000000100</t>
  </si>
  <si>
    <t>00?.100011?0.00</t>
  </si>
  <si>
    <t>8c,8e</t>
  </si>
  <si>
    <t>00?.10001101.00</t>
  </si>
  <si>
    <t>8d</t>
  </si>
  <si>
    <t>01011011010000000000000000000</t>
  </si>
  <si>
    <t>01011100110000000001100011101</t>
  </si>
  <si>
    <t>00?.10001111.00</t>
  </si>
  <si>
    <t>8f</t>
  </si>
  <si>
    <t>00011110100011100000000011001</t>
  </si>
  <si>
    <t>01011000110000001001100000111</t>
  </si>
  <si>
    <t>01011110100000000010000000100</t>
  </si>
  <si>
    <t>01100100100111110000000000000</t>
  </si>
  <si>
    <t>00?.10010???.00</t>
  </si>
  <si>
    <t>90,91,92,93,94,95,96,97</t>
  </si>
  <si>
    <t>10011011000000000010000000000</t>
  </si>
  <si>
    <t>10010001110000000000000000000</t>
  </si>
  <si>
    <t>00111010100000000010000000000</t>
  </si>
  <si>
    <t>00?.10011000.00</t>
  </si>
  <si>
    <t>98</t>
  </si>
  <si>
    <t>10110001010111100000000000000</t>
  </si>
  <si>
    <t>00?.10011001.00</t>
  </si>
  <si>
    <t>99</t>
  </si>
  <si>
    <t>00000000000000000001001001100</t>
  </si>
  <si>
    <t>01010001010000000000000000000</t>
  </si>
  <si>
    <t>11000010110000000000000000000</t>
  </si>
  <si>
    <t>00?.10011010.00</t>
  </si>
  <si>
    <t>9a</t>
  </si>
  <si>
    <t>11000010100000000000000000000</t>
  </si>
  <si>
    <t>11000010000000000000000110010</t>
  </si>
  <si>
    <t>00000000000000000001000101100</t>
  </si>
  <si>
    <t>00?.10011011.00</t>
  </si>
  <si>
    <t>9b</t>
  </si>
  <si>
    <t>00000000000000000010010100000</t>
  </si>
  <si>
    <t>00000000000000000001000011010</t>
  </si>
  <si>
    <t>00000000000000000001001111111</t>
  </si>
  <si>
    <t>00?.10011011.01</t>
  </si>
  <si>
    <t>00000000000000000000011100000</t>
  </si>
  <si>
    <t>11011100100000000001100110101</t>
  </si>
  <si>
    <t>00?.10011100.00</t>
  </si>
  <si>
    <t>9c</t>
  </si>
  <si>
    <t>10000110011011010010000010101</t>
  </si>
  <si>
    <t>00?.10011101.00</t>
  </si>
  <si>
    <t>9d</t>
  </si>
  <si>
    <t>11001100000000001010000000000</t>
  </si>
  <si>
    <t>01111010110000000000000000000</t>
  </si>
  <si>
    <t>00?.10011110.00</t>
  </si>
  <si>
    <t>9e</t>
  </si>
  <si>
    <t>10000010010000000010000000000</t>
  </si>
  <si>
    <t>10011100000000000000000000000</t>
  </si>
  <si>
    <t>10000011110000000010000000000</t>
  </si>
  <si>
    <t>00?.10011111.00</t>
  </si>
  <si>
    <t>9f</t>
  </si>
  <si>
    <t>00?.1010000?.00</t>
  </si>
  <si>
    <t>a0,a1</t>
  </si>
  <si>
    <t>10010110100000000000000011000</t>
  </si>
  <si>
    <t>00?.1010001?.00</t>
  </si>
  <si>
    <t>a2,a3</t>
  </si>
  <si>
    <t>10010110100000000010000010100</t>
  </si>
  <si>
    <t>10111100010001100001111111011</t>
  </si>
  <si>
    <t>000.1010010?.00</t>
  </si>
  <si>
    <t>a4,a5</t>
  </si>
  <si>
    <t>00001110100000000000000011000</t>
  </si>
  <si>
    <t>01011000010000100001111111011</t>
  </si>
  <si>
    <t>00000110100000000010000010111</t>
  </si>
  <si>
    <t>10000110010000001000000000000</t>
  </si>
  <si>
    <t>111.00011000.10</t>
  </si>
  <si>
    <t>18</t>
  </si>
  <si>
    <t>01011100101011010000110010101</t>
  </si>
  <si>
    <t>11110110011011011001010100011</t>
  </si>
  <si>
    <t>00000000000000000000110100000</t>
  </si>
  <si>
    <t>00110011100110100001100000101</t>
  </si>
  <si>
    <t>001.1010010?.00</t>
  </si>
  <si>
    <t>01011110000000000001111111011</t>
  </si>
  <si>
    <t>10111100010000000001011011000</t>
  </si>
  <si>
    <t>00001110100000100000000011000</t>
  </si>
  <si>
    <t>01011000000000000000000000000</t>
  </si>
  <si>
    <t>00?.1010010?.01</t>
  </si>
  <si>
    <t>10010110100001100000000010111</t>
  </si>
  <si>
    <t>01011000010000000001000111100</t>
  </si>
  <si>
    <t>01110001100000000000000110111</t>
  </si>
  <si>
    <t>000.1010011?.00</t>
  </si>
  <si>
    <t>a6,a7</t>
  </si>
  <si>
    <t>01011000010000100000000000000</t>
  </si>
  <si>
    <t>00000110101011110000000011011</t>
  </si>
  <si>
    <t>11001100100000001000000000000</t>
  </si>
  <si>
    <t>000.1010011?.01</t>
  </si>
  <si>
    <t>10011000000000000001111010111</t>
  </si>
  <si>
    <t>11001100110000001010000000000</t>
  </si>
  <si>
    <t>001.1010?11?.00</t>
  </si>
  <si>
    <t>a6,a7,ae,af</t>
  </si>
  <si>
    <t>10111100011011000001111111011</t>
  </si>
  <si>
    <t>00000000000000000001011010100</t>
  </si>
  <si>
    <t>00000110100000100000000011011</t>
  </si>
  <si>
    <t>01011000000001100000000000000</t>
  </si>
  <si>
    <t>001.1010011?.01</t>
  </si>
  <si>
    <t>00001110101011100000000011000</t>
  </si>
  <si>
    <t>11001100110000001000000000000</t>
  </si>
  <si>
    <t>10010000010000000001111010111</t>
  </si>
  <si>
    <t>001.1010011?.10</t>
  </si>
  <si>
    <t>01011110000000000101111111011</t>
  </si>
  <si>
    <t>00000000000000000001000111100</t>
  </si>
  <si>
    <t>10010100010000000001010000000</t>
  </si>
  <si>
    <t>111.00110000.11</t>
  </si>
  <si>
    <t>30</t>
  </si>
  <si>
    <t>10010001010000000000000000000</t>
  </si>
  <si>
    <t>10011001110000000000000111011</t>
  </si>
  <si>
    <t>10010011110000000000000000000</t>
  </si>
  <si>
    <t>00111100101010110001010001101</t>
  </si>
  <si>
    <t>00?.1010100?.00</t>
  </si>
  <si>
    <t>a8,a9</t>
  </si>
  <si>
    <t>00000000000000000011111011111</t>
  </si>
  <si>
    <t>10111100010000100001111111011</t>
  </si>
  <si>
    <t>000.1010101?.00</t>
  </si>
  <si>
    <t>aa,ab</t>
  </si>
  <si>
    <t>00000110100000000000000010111</t>
  </si>
  <si>
    <t>01100110010000000010000000000</t>
  </si>
  <si>
    <t>001.1010101?.00</t>
  </si>
  <si>
    <t>01100110010000000001011011010</t>
  </si>
  <si>
    <t>00000110100000100000000010111</t>
  </si>
  <si>
    <t>01011000000000000001000111100</t>
  </si>
  <si>
    <t>001.1010101?.01</t>
  </si>
  <si>
    <t>000.1010110?.00</t>
  </si>
  <si>
    <t>ac,ad</t>
  </si>
  <si>
    <t>01011000010000000000000000000</t>
  </si>
  <si>
    <t>001.1010110?.00</t>
  </si>
  <si>
    <t>00000000000000000001011011000</t>
  </si>
  <si>
    <t>00001110100001100000000011000</t>
  </si>
  <si>
    <t>001.1010110?.01</t>
  </si>
  <si>
    <t>11001011000000001000000000000</t>
  </si>
  <si>
    <t>000.1010111?.00</t>
  </si>
  <si>
    <t>ae,af</t>
  </si>
  <si>
    <t>00000110100000000000000011011</t>
  </si>
  <si>
    <t>01011000000000000001111010111</t>
  </si>
  <si>
    <t>000.1010111?.01</t>
  </si>
  <si>
    <t>01011110000000000110000000000</t>
  </si>
  <si>
    <t>001.1010111?.01</t>
  </si>
  <si>
    <t>001.1010111?.10</t>
  </si>
  <si>
    <t>00?.1011????.00</t>
  </si>
  <si>
    <t>b0,b1,b2,b3,b4,b5,b6,b7,b8,b9,ba,bb,bc,bd,be,bf</t>
  </si>
  <si>
    <t>10010011000000000010000000000</t>
  </si>
  <si>
    <t>00?.1100?010.00</t>
  </si>
  <si>
    <t>c2,ca</t>
  </si>
  <si>
    <t>11000010000000000001100011111</t>
  </si>
  <si>
    <t>00011110100011110000011111001</t>
  </si>
  <si>
    <t>01011100110000000001111111111</t>
  </si>
  <si>
    <t>00?.11000010.01</t>
  </si>
  <si>
    <t>c2</t>
  </si>
  <si>
    <t>11001110110000001010011000000</t>
  </si>
  <si>
    <t>01011110101011110000000011001</t>
  </si>
  <si>
    <t>00?.11001010.01</t>
  </si>
  <si>
    <t>ca</t>
  </si>
  <si>
    <t>01011100110000000000000101111</t>
  </si>
  <si>
    <t>00?.11000011.00</t>
  </si>
  <si>
    <t>c3</t>
  </si>
  <si>
    <t>00000000000000000001100011111</t>
  </si>
  <si>
    <t>00?.11001011.00</t>
  </si>
  <si>
    <t>cb</t>
  </si>
  <si>
    <t>10110100100000000001100011111</t>
  </si>
  <si>
    <t>11001011011011101001100011101</t>
  </si>
  <si>
    <t>00?.11000100.00</t>
  </si>
  <si>
    <t>c4</t>
  </si>
  <si>
    <t>01011110100000000000000011000</t>
  </si>
  <si>
    <t>11001111110000001010000000000</t>
  </si>
  <si>
    <t>00?.11000101.00</t>
  </si>
  <si>
    <t>c5</t>
  </si>
  <si>
    <t>11001111000000001010000000000</t>
  </si>
  <si>
    <t>00?.1100011?.00</t>
  </si>
  <si>
    <t>c6,c7</t>
  </si>
  <si>
    <t>10010011000000000010000000100</t>
  </si>
  <si>
    <t>01000010101111000000011100000</t>
  </si>
  <si>
    <t>00?.11001100.00</t>
  </si>
  <si>
    <t>cc</t>
  </si>
  <si>
    <t>00000000000000000000000111101</t>
  </si>
  <si>
    <t>11000010100000000000000111101</t>
  </si>
  <si>
    <t>00?.11001101.00</t>
  </si>
  <si>
    <t>cd</t>
  </si>
  <si>
    <t>01000010101110110001001011100</t>
  </si>
  <si>
    <t>00?.11001110.00</t>
  </si>
  <si>
    <t>ce</t>
  </si>
  <si>
    <t>00?.11001111.00</t>
  </si>
  <si>
    <t>cf</t>
  </si>
  <si>
    <t>00000000000000000000000111110</t>
  </si>
  <si>
    <t>01000011101111100000000000000</t>
  </si>
  <si>
    <t>00?.1101000?.00</t>
  </si>
  <si>
    <t>d0,d1</t>
  </si>
  <si>
    <t>01100100100000000001100000101</t>
  </si>
  <si>
    <t>01011100100000000101101001100</t>
  </si>
  <si>
    <t>01011011000000000010000000100</t>
  </si>
  <si>
    <t>01100100100000000001100000111</t>
  </si>
  <si>
    <t>00?.1101001?.00</t>
  </si>
  <si>
    <t>d2,d3</t>
  </si>
  <si>
    <t>00110010110000000000000000000</t>
  </si>
  <si>
    <t>10011011101011000001100000101</t>
  </si>
  <si>
    <t>00000000000000000000000110110</t>
  </si>
  <si>
    <t>11000100010111110000000000000</t>
  </si>
  <si>
    <t>00?.11010100.00</t>
  </si>
  <si>
    <t>d4</t>
  </si>
  <si>
    <t>10110100100000000000000000000</t>
  </si>
  <si>
    <t>01000011101101110001111010011</t>
  </si>
  <si>
    <t>01011100100000000001101101010</t>
  </si>
  <si>
    <t>01011110001011100001101101011</t>
  </si>
  <si>
    <t>00?.11010100.01</t>
  </si>
  <si>
    <t>10011011110000000011100000101</t>
  </si>
  <si>
    <t>01011101110000000100000000000</t>
  </si>
  <si>
    <t>01111100111010100000000000000</t>
  </si>
  <si>
    <t>00?.11010101.00</t>
  </si>
  <si>
    <t>d5</t>
  </si>
  <si>
    <t>01111100100000000001111111101</t>
  </si>
  <si>
    <t>01011100100000000000000000000</t>
  </si>
  <si>
    <t>01011100100000000001111111111</t>
  </si>
  <si>
    <t>01011100100000000001111111101</t>
  </si>
  <si>
    <t>00?.11010101.01</t>
  </si>
  <si>
    <t>10110011110111110011111111111</t>
  </si>
  <si>
    <t>00111010110100100000000000000</t>
  </si>
  <si>
    <t>00?.11010111.00</t>
  </si>
  <si>
    <t>d7</t>
  </si>
  <si>
    <t>11001101110000001010000000000</t>
  </si>
  <si>
    <t>00?.11011???.00</t>
  </si>
  <si>
    <t>d8,d9,da,db,dc,dd,de,df</t>
  </si>
  <si>
    <t>00110011100000000000000000000</t>
  </si>
  <si>
    <t>00?.1110000?.00</t>
  </si>
  <si>
    <t>e0,e1</t>
  </si>
  <si>
    <t>11000010110000000001000111011</t>
  </si>
  <si>
    <t>01110001100000000000000000000</t>
  </si>
  <si>
    <t>00?.111000??.01</t>
  </si>
  <si>
    <t>e0,e1,e2,e3</t>
  </si>
  <si>
    <t>10011010100000000000011100000</t>
  </si>
  <si>
    <t>11011100110000000001111111111</t>
  </si>
  <si>
    <t>11000010110110100001100110101</t>
  </si>
  <si>
    <t>00?.11100010.00</t>
  </si>
  <si>
    <t>e2</t>
  </si>
  <si>
    <t>01011001100000000000000000000</t>
  </si>
  <si>
    <t>00110011100000000001011001010</t>
  </si>
  <si>
    <t>11000010110110100001100000101</t>
  </si>
  <si>
    <t>00?.11100011.00</t>
  </si>
  <si>
    <t>e3</t>
  </si>
  <si>
    <t>01011110000000000000000000000</t>
  </si>
  <si>
    <t>00000000000000000001011011010</t>
  </si>
  <si>
    <t>00110011100000000010000000000</t>
  </si>
  <si>
    <t>00?.1110010?.00</t>
  </si>
  <si>
    <t>e4,e5</t>
  </si>
  <si>
    <t>10011110100000000000000011010</t>
  </si>
  <si>
    <t>11000010110000000001100000111</t>
  </si>
  <si>
    <t>00?.1110011?.00</t>
  </si>
  <si>
    <t>e6,e7</t>
  </si>
  <si>
    <t>01100110011011010010000010110</t>
  </si>
  <si>
    <t>11000010110011100001100010101</t>
  </si>
  <si>
    <t>00?.11101000.00</t>
  </si>
  <si>
    <t>e8</t>
  </si>
  <si>
    <t>01011000111011010000011100000</t>
  </si>
  <si>
    <t>11011100100000000001111111111</t>
  </si>
  <si>
    <t>01011110110000000000011000000</t>
  </si>
  <si>
    <t>00?.11101000.01</t>
  </si>
  <si>
    <t>10010110010000000010000010101</t>
  </si>
  <si>
    <t>00?.11101001.00</t>
  </si>
  <si>
    <t>e9</t>
  </si>
  <si>
    <t>11000010000000000001001111101</t>
  </si>
  <si>
    <t>00?.11101011.00</t>
  </si>
  <si>
    <t>eb</t>
  </si>
  <si>
    <t>11011100110000000000000000000</t>
  </si>
  <si>
    <t>00?.11101010.00</t>
  </si>
  <si>
    <t>ea</t>
  </si>
  <si>
    <t>10011111100000000000011100000</t>
  </si>
  <si>
    <t>00?.11101010.01</t>
  </si>
  <si>
    <t>10010110110000000010011000000</t>
  </si>
  <si>
    <t>00101110100000000000000011010</t>
  </si>
  <si>
    <t>00?.1110110?.00</t>
  </si>
  <si>
    <t>ec,ed</t>
  </si>
  <si>
    <t>00101110100000000010000010110</t>
  </si>
  <si>
    <t>00?.1110111?.00</t>
  </si>
  <si>
    <t>ee,ef</t>
  </si>
  <si>
    <t>010.??00????.00</t>
  </si>
  <si>
    <t>00,01,02,03,04,05,06,07,08,09,0a,0b,0c,0d,0e,0f,40,41,42,43,44,45,46,47,48,49,4a,4b,4c,4d,4e,4f,80,81,82,83,84,85,86,87,88,89,8a,8b,8c,8d,8e,8f,c0,c1,c2,c3,c4,c5,c6,c7,c8,c9,ca,cb,cc,cd,ce,cf</t>
  </si>
  <si>
    <t>01100100110000000011111011111</t>
  </si>
  <si>
    <t>01100100100000000001101001101</t>
  </si>
  <si>
    <t>010.??011???.00</t>
  </si>
  <si>
    <t>18,19,1a,1b,1c,1d,1e,1f,58,59,5a,5b,5c,5d,5e,5f,98,99,9a,9b,9c,9d,9e,9f,d8,d9,da,db,dc,dd,de,df</t>
  </si>
  <si>
    <t>010.??010???.00</t>
  </si>
  <si>
    <t>10,11,12,13,14,15,16,17,50,51,52,53,54,55,56,57,90,91,92,93,94,95,96,97,d0,d1,d2,d3,d4,d5,d6,d7</t>
  </si>
  <si>
    <t>01100100011001100001100000011</t>
  </si>
  <si>
    <t>010.??100???.00</t>
  </si>
  <si>
    <t>20,21,22,23,24,25,26,27,60,61,62,63,64,65,66,67,a0,a1,a2,a3,a4,a5,a6,a7,e0,e1,e2,e3,e4,e5,e6,e7</t>
  </si>
  <si>
    <t>00111100110000000000000000000</t>
  </si>
  <si>
    <t>01000011101101110001010001011</t>
  </si>
  <si>
    <t>01000011101011110000000000000</t>
  </si>
  <si>
    <t>01011100100000000001101100010</t>
  </si>
  <si>
    <t>010.??100???.01</t>
  </si>
  <si>
    <t>00000000000000000001100000101</t>
  </si>
  <si>
    <t>10011001110000000001010000111</t>
  </si>
  <si>
    <t>10010001011011000000000111010</t>
  </si>
  <si>
    <t>10010011111011000000000111010</t>
  </si>
  <si>
    <t>010.??100???.10</t>
  </si>
  <si>
    <t>01100100110111100001100001101</t>
  </si>
  <si>
    <t>010.??101???.00</t>
  </si>
  <si>
    <t>28,29,2a,2b,2c,2d,2e,2f,68,69,6a,6b,6c,6d,6e,6f,a8,a9,aa,ab,ac,ad,ae,af,e8,e9,ea,eb,ec,ed,ee,ef</t>
  </si>
  <si>
    <t>00000000000000000000000111001</t>
  </si>
  <si>
    <t>01100100010111110001111010011</t>
  </si>
  <si>
    <t>010.??110???.00</t>
  </si>
  <si>
    <t>30,31,32,33,34,35,36,37,70,71,72,73,74,75,76,77,b0,b1,b2,b3,b4,b5,b6,b7,f0,f1,f2,f3,f4,f5,f6,f7</t>
  </si>
  <si>
    <t>00101100100000000001010001011</t>
  </si>
  <si>
    <t>01011110000000000101001111000</t>
  </si>
  <si>
    <t>01111100100000000000000000000</t>
  </si>
  <si>
    <t>010.??110???.01</t>
  </si>
  <si>
    <t>01000011101101110000000000000</t>
  </si>
  <si>
    <t>00000000000000000001011100010</t>
  </si>
  <si>
    <t>010.??110???.10</t>
  </si>
  <si>
    <t>10011001110000000001010000001</t>
  </si>
  <si>
    <t>10010001010000000010000000000</t>
  </si>
  <si>
    <t>010.??110???.11</t>
  </si>
  <si>
    <t>10110010100000000000000111101</t>
  </si>
  <si>
    <t>10010011110000000010000000000</t>
  </si>
  <si>
    <t>01100100100000000001100001101</t>
  </si>
  <si>
    <t>010.??111???.00</t>
  </si>
  <si>
    <t>38,39,3a,3b,3c,3d,3e,3f,78,79,7a,7b,7c,7d,7e,7f,b8,b9,ba,bb,bc,bd,be,bf,f8,f9,fa,fb,fc,fd,fe,ff</t>
  </si>
  <si>
    <t>01000011101101110000100000000</t>
  </si>
  <si>
    <t>01011100010000000001100000101</t>
  </si>
  <si>
    <t>00101100101011110001010001010</t>
  </si>
  <si>
    <t>01000011101011110001001111001</t>
  </si>
  <si>
    <t>010.??111???.01</t>
  </si>
  <si>
    <t>00000000000000000000001100000</t>
  </si>
  <si>
    <t>00000000000000000000000110000</t>
  </si>
  <si>
    <t>00111100110000000001100100111</t>
  </si>
  <si>
    <t>111.01111000.00</t>
  </si>
  <si>
    <t>78</t>
  </si>
  <si>
    <t>10010110010000000001001001001</t>
  </si>
  <si>
    <t>01011100110000000101100100101</t>
  </si>
  <si>
    <t>00000000000000000001011101010</t>
  </si>
  <si>
    <t>00000000000000000001100101101</t>
  </si>
  <si>
    <t>111.01111000.01</t>
  </si>
  <si>
    <t>00000000000000000001111010011</t>
  </si>
  <si>
    <t>01011110000000000100000101101</t>
  </si>
  <si>
    <t>00000000000000000001011111101</t>
  </si>
  <si>
    <t>111.10010000.00</t>
  </si>
  <si>
    <t>90</t>
  </si>
  <si>
    <t>10010100010000000001100000111</t>
  </si>
  <si>
    <t>111.10010000.01</t>
  </si>
  <si>
    <t>11001100101011000101100100111</t>
  </si>
  <si>
    <t>00000000000000000001010011110</t>
  </si>
  <si>
    <t>00000000000000000001001100110</t>
  </si>
  <si>
    <t>01011100110000000000000000000</t>
  </si>
  <si>
    <t>111.10010000.10</t>
  </si>
  <si>
    <t>00000000000000000001100100011</t>
  </si>
  <si>
    <t>00000000000000000001001000011</t>
  </si>
  <si>
    <t>01011100010000000000000000000</t>
  </si>
  <si>
    <t>10011001110000000001010000000</t>
  </si>
  <si>
    <t>111.10010000.11</t>
  </si>
  <si>
    <t>10001001010000000010000000000</t>
  </si>
  <si>
    <t>10001011110000000010000000000</t>
  </si>
  <si>
    <t>011.??00????.00</t>
  </si>
  <si>
    <t>11011100110011100001100010101</t>
  </si>
  <si>
    <t>011.??010???.00</t>
  </si>
  <si>
    <t>01100110111011010000011000000</t>
  </si>
  <si>
    <t>01011000110000000000000010101</t>
  </si>
  <si>
    <t>10011110010000000010000000000</t>
  </si>
  <si>
    <t>01011100100000000000011100000</t>
  </si>
  <si>
    <t>011.??011???.00</t>
  </si>
  <si>
    <t>11001100110000001001100011101</t>
  </si>
  <si>
    <t>11001100100000001000000110010</t>
  </si>
  <si>
    <t>01100110110000000010011000000</t>
  </si>
  <si>
    <t>011.??100???.00</t>
  </si>
  <si>
    <t>11001100101011111001100011111</t>
  </si>
  <si>
    <t>011.??101???.00</t>
  </si>
  <si>
    <t>01011110100000000000011111000</t>
  </si>
  <si>
    <t>11001111100000001000000000000</t>
  </si>
  <si>
    <t>011.??11????.00</t>
  </si>
  <si>
    <t>30,31,32,33,34,35,36,37,38,39,3a,3b,3c,3d,3e,3f,70,71,72,73,74,75,76,77,78,79,7a,7b,7c,7d,7e,7f,b0,b1,b2,b3,b4,b5,b6,b7,b8,b9,ba,bb,bc,bd,be,bf,f0,f1,f2,f3,f4,f5,f6,f7,f8,f9,fa,fb,fc,fd,fe,ff</t>
  </si>
  <si>
    <t>01100110011011010010000010101</t>
  </si>
  <si>
    <t>10110111001001100001100000111</t>
  </si>
  <si>
    <t>111.00000011.00</t>
  </si>
  <si>
    <t>03</t>
  </si>
  <si>
    <t>10110100000000000000011100000</t>
  </si>
  <si>
    <t>01010111100000000000000000000</t>
  </si>
  <si>
    <t>10110110110000000000011000000</t>
  </si>
  <si>
    <t>10110111110000000010110000000</t>
  </si>
  <si>
    <t>111.00000011.01</t>
  </si>
  <si>
    <t>10110111010000000000000000000</t>
  </si>
  <si>
    <t>01000010101111100000011100000</t>
  </si>
  <si>
    <t>111.00000000.00</t>
  </si>
  <si>
    <t>00</t>
  </si>
  <si>
    <t>01000010101111010000011100000</t>
  </si>
  <si>
    <t>00111100010000000000011101010</t>
  </si>
  <si>
    <t>111.00000010.00</t>
  </si>
  <si>
    <t>02</t>
  </si>
  <si>
    <t>11001001110000001000000000000</t>
  </si>
  <si>
    <t>01111010100000000000000000000</t>
  </si>
  <si>
    <t>10001001110000000000000111101</t>
  </si>
  <si>
    <t>10110110100000000000011101010</t>
  </si>
  <si>
    <t>10110110100000000000000001010</t>
  </si>
  <si>
    <t>11001100100000001000000111101</t>
  </si>
  <si>
    <t>111.00001000.00</t>
  </si>
  <si>
    <t>08</t>
  </si>
  <si>
    <t>01011110101011110000011111001</t>
  </si>
  <si>
    <t>11001110110000001000000000000</t>
  </si>
  <si>
    <t>11001111100000001000011000000</t>
  </si>
  <si>
    <t>111.00001000.01</t>
  </si>
  <si>
    <t>10110010000000000001111111101</t>
  </si>
  <si>
    <t>111.0001?000.00</t>
  </si>
  <si>
    <t>10,18</t>
  </si>
  <si>
    <t>01011100100000000000011110010</t>
  </si>
  <si>
    <t>01011110100000000000000011010</t>
  </si>
  <si>
    <t>01011100100000000001100011101</t>
  </si>
  <si>
    <t>111.0001?000.01</t>
  </si>
  <si>
    <t>11001100010000001000000000000</t>
  </si>
  <si>
    <t>111.00010000.10</t>
  </si>
  <si>
    <t>10</t>
  </si>
  <si>
    <t>01011100101011010000111010101</t>
  </si>
  <si>
    <t>11110110011011011000110000000</t>
  </si>
  <si>
    <t>111.0001?000.11</t>
  </si>
  <si>
    <t>10011111101011100000000010101</t>
  </si>
  <si>
    <t>11011110011011011000000000000</t>
  </si>
  <si>
    <t>10001110110000000000000010101</t>
  </si>
  <si>
    <t>01011000110000000010011000000</t>
  </si>
  <si>
    <t>111.0001?001.00</t>
  </si>
  <si>
    <t>11,19</t>
  </si>
  <si>
    <t>34,3c</t>
  </si>
  <si>
    <t>10011001110000000010000000000</t>
  </si>
  <si>
    <t>111.00100000.00</t>
  </si>
  <si>
    <t>20</t>
  </si>
  <si>
    <t>10011100100000000001111111101</t>
  </si>
  <si>
    <t>111.00101000.00</t>
  </si>
  <si>
    <t>28</t>
  </si>
  <si>
    <t>01011110001001100101111101011</t>
  </si>
  <si>
    <t>01011110000000000000000111010</t>
  </si>
  <si>
    <t>00000000000000000000100100000</t>
  </si>
  <si>
    <t>111.0011?000.00</t>
  </si>
  <si>
    <t>30,38</t>
  </si>
  <si>
    <t>00000000000000000001011011100</t>
  </si>
  <si>
    <t>00000000000000000000100000000</t>
  </si>
  <si>
    <t>10011100101011110000001100000</t>
  </si>
  <si>
    <t>111.0011?000.01</t>
  </si>
  <si>
    <t>01011100011001100001100000011</t>
  </si>
  <si>
    <t>01000011101101110001010111010</t>
  </si>
  <si>
    <t>111.0011?000.10</t>
  </si>
  <si>
    <t>10010100010000000001001100011</t>
  </si>
  <si>
    <t>00000000000000000001100100111</t>
  </si>
  <si>
    <t>111.00110001.00</t>
  </si>
  <si>
    <t>31</t>
  </si>
  <si>
    <t>00000000000000000001011100100</t>
  </si>
  <si>
    <t>01011100011011100000000000000</t>
  </si>
  <si>
    <t>10011101110000000000000111011</t>
  </si>
  <si>
    <t>111.00111000.11</t>
  </si>
  <si>
    <t>38</t>
  </si>
  <si>
    <t>10011011010000000000000111011</t>
  </si>
  <si>
    <t>111.01000000.00</t>
  </si>
  <si>
    <t>40</t>
  </si>
  <si>
    <t>00110100100000000001100000101</t>
  </si>
  <si>
    <t>111.01000000.01</t>
  </si>
  <si>
    <t>11011100101011000001111010111</t>
  </si>
  <si>
    <t>00000000000000000001011011011</t>
  </si>
  <si>
    <t>111.01001000.00</t>
  </si>
  <si>
    <t>48</t>
  </si>
  <si>
    <t>10101100110000000000000000000</t>
  </si>
  <si>
    <t>01011100100000000001100110101</t>
  </si>
  <si>
    <t>111.01101000.00</t>
  </si>
  <si>
    <t>68</t>
  </si>
  <si>
    <t>01011011000000000000000000100</t>
  </si>
  <si>
    <t>10010100010011100000011100000</t>
  </si>
  <si>
    <t>111.01101000.01</t>
  </si>
  <si>
    <t>11110110010000001001100010101</t>
  </si>
  <si>
    <t>01011110100000000000000010101</t>
  </si>
  <si>
    <t>11011110011011101000000000000</t>
  </si>
  <si>
    <t>10001111101011010000000010101</t>
  </si>
  <si>
    <t>111.10000000.00</t>
  </si>
  <si>
    <t>80</t>
  </si>
  <si>
    <t>10011110110000000010011000000</t>
  </si>
  <si>
    <t>11001100010000001001111111111</t>
  </si>
  <si>
    <t>00?.01100000.00</t>
  </si>
  <si>
    <t>60</t>
  </si>
  <si>
    <t>10001110110000000010011000000</t>
  </si>
  <si>
    <t>111.01011000.00</t>
  </si>
  <si>
    <t>58</t>
  </si>
  <si>
    <t>00111110011011011000000000000</t>
  </si>
  <si>
    <t>01011100100000000000000010101</t>
  </si>
  <si>
    <t>00110110010000001000000110100</t>
  </si>
  <si>
    <t>01011100101011010000000010101</t>
  </si>
  <si>
    <t>111.01011000.01</t>
  </si>
  <si>
    <t>00101110010000001000000000000</t>
  </si>
  <si>
    <t>00100110010000001000000000000</t>
  </si>
  <si>
    <t>111.01011000.10</t>
  </si>
  <si>
    <t>00011110010000001000000000000</t>
  </si>
  <si>
    <t>00010110010000001000000000000</t>
  </si>
  <si>
    <t>111.01011000.11</t>
  </si>
  <si>
    <t>00001110010000001000000000000</t>
  </si>
  <si>
    <t>00000110010000001000000000000</t>
  </si>
  <si>
    <t>00?.01100001.00</t>
  </si>
  <si>
    <t>61</t>
  </si>
  <si>
    <t>111.01100000.00</t>
  </si>
  <si>
    <t>00000000000000000001100011101</t>
  </si>
  <si>
    <t>01011100101011010000000011001</t>
  </si>
  <si>
    <t>11001000000000001000000110011</t>
  </si>
  <si>
    <t>111.01100000.01</t>
  </si>
  <si>
    <t>11001000010000001000000000000</t>
  </si>
  <si>
    <t>11001000100000001000000000000</t>
  </si>
  <si>
    <t>111.01100000.10</t>
  </si>
  <si>
    <t>11001001000000001000000000000</t>
  </si>
  <si>
    <t>11001001010000001000000000000</t>
  </si>
  <si>
    <t>111.01100000.11</t>
  </si>
  <si>
    <t>11001001100000001000000000000</t>
  </si>
  <si>
    <t>11001001110000001010000000000</t>
  </si>
  <si>
    <t>00?.11001000.00</t>
  </si>
  <si>
    <t>c8</t>
  </si>
  <si>
    <t>111.01010000.00</t>
  </si>
  <si>
    <t>50</t>
  </si>
  <si>
    <t>11000010011011010000000000000</t>
  </si>
  <si>
    <t>00000000000000000000000010101</t>
  </si>
  <si>
    <t>00010110010000001000000110101</t>
  </si>
  <si>
    <t>01011000111010100000000000000</t>
  </si>
  <si>
    <t>111.01010000.01</t>
  </si>
  <si>
    <t>10110010000000000001100000101</t>
  </si>
  <si>
    <t>01011110000000000001100110101</t>
  </si>
  <si>
    <t>00011100010000000001011010001</t>
  </si>
  <si>
    <t>111.01010000.10</t>
  </si>
  <si>
    <t>01011011100000000001011010100</t>
  </si>
  <si>
    <t>00010100100000000001100010101</t>
  </si>
  <si>
    <t>01011000101011010000000011001</t>
  </si>
  <si>
    <t>00011100100000000000000000000</t>
  </si>
  <si>
    <t>111.01010000.11</t>
  </si>
  <si>
    <t>01011000111011010000000010101</t>
  </si>
  <si>
    <t>00000000000000000001010101001</t>
  </si>
  <si>
    <t>00?.11001001.00</t>
  </si>
  <si>
    <t>c9</t>
  </si>
  <si>
    <t>10001110010000001000000000000</t>
  </si>
  <si>
    <t>10001000100011100011111010111</t>
  </si>
  <si>
    <t>00010110100010100000000011001</t>
  </si>
  <si>
    <t>00?.01100010.00</t>
  </si>
  <si>
    <t>62</t>
  </si>
  <si>
    <t>01000100111111010001111111111</t>
  </si>
  <si>
    <t>11001000100000001010000000000</t>
  </si>
  <si>
    <t>11001100011011111001100011111</t>
  </si>
  <si>
    <t>00?.01100010.01</t>
  </si>
  <si>
    <t>10000011101011010000000011000</t>
  </si>
  <si>
    <t>01101100100000000001111010011</t>
  </si>
  <si>
    <t>01110100001000110001010010101</t>
  </si>
  <si>
    <t>00?.01100010.10</t>
  </si>
  <si>
    <t>11001100100000001001111010111</t>
  </si>
  <si>
    <t>01110100000000000001010010100</t>
  </si>
  <si>
    <t>00?.01101010.00</t>
  </si>
  <si>
    <t>6a</t>
  </si>
  <si>
    <t>01000010101110100000000111101</t>
  </si>
  <si>
    <t>11000100110011100001100010101</t>
  </si>
  <si>
    <t>00?.01101000.00</t>
  </si>
  <si>
    <t>10011010100000000010000000000</t>
  </si>
  <si>
    <t>10010110010000000000000000000</t>
  </si>
  <si>
    <t>00?.1100000?.00</t>
  </si>
  <si>
    <t>c0,c1</t>
  </si>
  <si>
    <t>10011110011011010000000010101</t>
  </si>
  <si>
    <t>00?.011010?1.00</t>
  </si>
  <si>
    <t>69,6b</t>
  </si>
  <si>
    <t>000.0110110?.00</t>
  </si>
  <si>
    <t>6c,6d</t>
  </si>
  <si>
    <t>01100100110000000001100001101</t>
  </si>
  <si>
    <t>00000000000000000000000111000</t>
  </si>
  <si>
    <t>001.0110110?.00</t>
  </si>
  <si>
    <t>10111100110000100000000000000</t>
  </si>
  <si>
    <t>001.0110110?.01</t>
  </si>
  <si>
    <t>000.0110111?.00</t>
  </si>
  <si>
    <t>6e,6f</t>
  </si>
  <si>
    <t>001.0110111?.00</t>
  </si>
  <si>
    <t>10111100110001100000000000000</t>
  </si>
  <si>
    <t>001.0110111?.01</t>
  </si>
  <si>
    <t>100.0001000?.00</t>
  </si>
  <si>
    <t>10,11</t>
  </si>
  <si>
    <t>00101110100000000000000010110</t>
  </si>
  <si>
    <t>01100100100110110001101000111</t>
  </si>
  <si>
    <t>100.0001100?.00</t>
  </si>
  <si>
    <t>18,19</t>
  </si>
  <si>
    <t>01010100110000000001111011111</t>
  </si>
  <si>
    <t>01100100101010110001101000111</t>
  </si>
  <si>
    <t>100.0001010?.00</t>
  </si>
  <si>
    <t>14,15</t>
  </si>
  <si>
    <t>100.0001110?.00</t>
  </si>
  <si>
    <t>1c,1d</t>
  </si>
  <si>
    <t>01010100110000000001111110111</t>
  </si>
  <si>
    <t>100.0001001?.00</t>
  </si>
  <si>
    <t>12,13</t>
  </si>
  <si>
    <t>100.0001101?.00</t>
  </si>
  <si>
    <t>1a,1b</t>
  </si>
  <si>
    <t>01010100110000000001100101111</t>
  </si>
  <si>
    <t>01011100110000000001111011111</t>
  </si>
  <si>
    <t>100.0001011?.00</t>
  </si>
  <si>
    <t>16,17</t>
  </si>
  <si>
    <t>100.0001111?.00</t>
  </si>
  <si>
    <t>1e,1f</t>
  </si>
  <si>
    <t>01010100110000000001111001111</t>
  </si>
  <si>
    <t>100.00100??0.00</t>
  </si>
  <si>
    <t>20,22,24,26</t>
  </si>
  <si>
    <t>00110010110000000001100111111</t>
  </si>
  <si>
    <t>100.00100??0.01</t>
  </si>
  <si>
    <t>01011100100000000001110010101</t>
  </si>
  <si>
    <t>01011011100000000000101100000</t>
  </si>
  <si>
    <t>00001110100001110000000011000</t>
  </si>
  <si>
    <t>00000000000000000001100111111</t>
  </si>
  <si>
    <t>100.00100000.10</t>
  </si>
  <si>
    <t>11001100100000001001111101011</t>
  </si>
  <si>
    <t>100.00100??0.11</t>
  </si>
  <si>
    <t>01011100100000000101101011101</t>
  </si>
  <si>
    <t>00000110101011000100000010111</t>
  </si>
  <si>
    <t>00000000000000000000001000000</t>
  </si>
  <si>
    <t>100.00100??1.00</t>
  </si>
  <si>
    <t>21,23,25,27</t>
  </si>
  <si>
    <t>01011110010000110001100111111</t>
  </si>
  <si>
    <t>01011000001111100001010101100</t>
  </si>
  <si>
    <t>00110010110000000001111111101</t>
  </si>
  <si>
    <t>00000000000000000001011111100</t>
  </si>
  <si>
    <t>100.00100??1.01</t>
  </si>
  <si>
    <t>01000100101111100001001101100</t>
  </si>
  <si>
    <t>01011110000000000101100111111</t>
  </si>
  <si>
    <t>100.00100010.10</t>
  </si>
  <si>
    <t>22</t>
  </si>
  <si>
    <t>00000100101011110001111010111</t>
  </si>
  <si>
    <t>01011000000001100010000000000</t>
  </si>
  <si>
    <t>11001100100000001001111100011</t>
  </si>
  <si>
    <t>100.00100110.10</t>
  </si>
  <si>
    <t>26</t>
  </si>
  <si>
    <t>100.00101000.00</t>
  </si>
  <si>
    <t>00000110101011000100000000000</t>
  </si>
  <si>
    <t>01000011101110110000000000000</t>
  </si>
  <si>
    <t>100.001010?0.01</t>
  </si>
  <si>
    <t>28,2a</t>
  </si>
  <si>
    <t>01100010100000000000000000000</t>
  </si>
  <si>
    <t>01111010000000000001100000101</t>
  </si>
  <si>
    <t>01011100100000000001101111100</t>
  </si>
  <si>
    <t>10010011000000000001100000101</t>
  </si>
  <si>
    <t>100.001010?0.10</t>
  </si>
  <si>
    <t>00111100110000000000000000100</t>
  </si>
  <si>
    <t>10011010000000000010000000000</t>
  </si>
  <si>
    <t>100.00101010.00</t>
  </si>
  <si>
    <t>2a</t>
  </si>
  <si>
    <t>100.00110011.00</t>
  </si>
  <si>
    <t>33</t>
  </si>
  <si>
    <t>01000100011100000001100000011</t>
  </si>
  <si>
    <t>100.0011?011.01</t>
  </si>
  <si>
    <t>33,3b</t>
  </si>
  <si>
    <t>01101010111011100001111010111</t>
  </si>
  <si>
    <t>01011001110000000001100000111</t>
  </si>
  <si>
    <t>100.0011?011.10</t>
  </si>
  <si>
    <t>01100010110000000001111111111</t>
  </si>
  <si>
    <t>10001100101011110001111011111</t>
  </si>
  <si>
    <t>01011011100000000001111010111</t>
  </si>
  <si>
    <t>00001100101011000101100011101</t>
  </si>
  <si>
    <t>100.0011?011.11</t>
  </si>
  <si>
    <t>11001100010000001001011010100</t>
  </si>
  <si>
    <t>00000000000000000001011100001</t>
  </si>
  <si>
    <t>01011000011011010001011010001</t>
  </si>
  <si>
    <t>10001100110000000000000011000</t>
  </si>
  <si>
    <t>100.0011?100.00</t>
  </si>
  <si>
    <t>01110100100000000001100111101</t>
  </si>
  <si>
    <t>01011011101011100001101010101</t>
  </si>
  <si>
    <t>01011110000000000001100000011</t>
  </si>
  <si>
    <t>100.0011?100.01</t>
  </si>
  <si>
    <t>10010011001011100000000000000</t>
  </si>
  <si>
    <t>10110100010000000001100000101</t>
  </si>
  <si>
    <t>00111100100000000001100000101</t>
  </si>
  <si>
    <t>100.00111011.00</t>
  </si>
  <si>
    <t>3b</t>
  </si>
  <si>
    <t>01011011100000000000000000000</t>
  </si>
  <si>
    <t>10110100100000000001011010111</t>
  </si>
  <si>
    <t>100.0011?001.00</t>
  </si>
  <si>
    <t>31,39</t>
  </si>
  <si>
    <t>11000010111011100000000000000</t>
  </si>
  <si>
    <t>00000000000000000001111010111</t>
  </si>
  <si>
    <t>01100010110000000001100000111</t>
  </si>
  <si>
    <t>100.00110001.01</t>
  </si>
  <si>
    <t>10011011101011000000000000000</t>
  </si>
  <si>
    <t>10110100010000000001011011001</t>
  </si>
  <si>
    <t>11001100100000001001100000101</t>
  </si>
  <si>
    <t>100.0011?001.10</t>
  </si>
  <si>
    <t>10011110010000000000000000000</t>
  </si>
  <si>
    <t>01101010110000000001100111111</t>
  </si>
  <si>
    <t>01100010111011100001111111111</t>
  </si>
  <si>
    <t>100.0011?001.11</t>
  </si>
  <si>
    <t>10010011100000000000000000000</t>
  </si>
  <si>
    <t>01000100101100000001111011011</t>
  </si>
  <si>
    <t>01100010110000000000000000000</t>
  </si>
  <si>
    <t>111.01110000.00</t>
  </si>
  <si>
    <t>70</t>
  </si>
  <si>
    <t>01011011000000000001111010011</t>
  </si>
  <si>
    <t>00111100101011000100000110001</t>
  </si>
  <si>
    <t>00000110100000000001011100001</t>
  </si>
  <si>
    <t>111.01110000.01</t>
  </si>
  <si>
    <t>01000100101011110001111010111</t>
  </si>
  <si>
    <t>11001100110000000000000000000</t>
  </si>
  <si>
    <t>10110100010111100001100000101</t>
  </si>
  <si>
    <t>111.01110000.10</t>
  </si>
  <si>
    <t>00000100010000000001100000011</t>
  </si>
  <si>
    <t>111.01110000.11</t>
  </si>
  <si>
    <t>01100010110000000001100011011</t>
  </si>
  <si>
    <t>01011000000000000001100000111</t>
  </si>
  <si>
    <t>10110100010000000001011000001</t>
  </si>
  <si>
    <t>111.01110001.00</t>
  </si>
  <si>
    <t>71</t>
  </si>
  <si>
    <t>01011011000000000010000000000</t>
  </si>
  <si>
    <t>11001100110000000001100000101</t>
  </si>
  <si>
    <t>111.01110001.01</t>
  </si>
  <si>
    <t>10011100010000000000000000000</t>
  </si>
  <si>
    <t>10011011100000000000000000000</t>
  </si>
  <si>
    <t>111.01110001.10</t>
  </si>
  <si>
    <t>01011100100000000001110010100</t>
  </si>
  <si>
    <t>10011011100000000001100000011</t>
  </si>
  <si>
    <t>00000110101011110000000000000</t>
  </si>
  <si>
    <t>100.00111001.01</t>
  </si>
  <si>
    <t>39</t>
  </si>
  <si>
    <t>10110100010000000000000000000</t>
  </si>
  <si>
    <t>10010110010000000010000010111</t>
  </si>
  <si>
    <t>100.11111111.00</t>
  </si>
  <si>
    <t>ff</t>
  </si>
  <si>
    <t>11000010110000000001100111111</t>
  </si>
  <si>
    <t>110.00000000.00</t>
  </si>
  <si>
    <t>01000011101111100000000111100</t>
  </si>
  <si>
    <t>110.01??????.00</t>
  </si>
  <si>
    <t>40,41,42,43,44,45,46,47,48,49,4a,4b,4c,4d,4e,4f,50,51,52,53,54,55,56,57,58,59,5a,5b,5c,5d,5e,5f,60,61,62,63,64,65,66,67,68,69,6a,6b,6c,6d,6e,6f,70,71,72,73,74,75,76,77,78,79,7a,7b,7c,7d,7e,7f</t>
  </si>
  <si>
    <t>01100100110000000000000000000</t>
  </si>
  <si>
    <t>110.00???110.00</t>
  </si>
  <si>
    <t>06,0e,16,1e,26,2e,36,3e</t>
  </si>
  <si>
    <t>00100110100000000000000000000</t>
  </si>
  <si>
    <t>11011110000000000000000000000</t>
  </si>
  <si>
    <t>110.00??0001.00</t>
  </si>
  <si>
    <t>01,11,21,31</t>
  </si>
  <si>
    <t>110.00111010.00</t>
  </si>
  <si>
    <t>3a</t>
  </si>
  <si>
    <t>10011011010000000010000000000</t>
  </si>
  <si>
    <t>110.00110010.00</t>
  </si>
  <si>
    <t>32</t>
  </si>
  <si>
    <t>10011110100000000000000011000</t>
  </si>
  <si>
    <t>110.00101010.00</t>
  </si>
  <si>
    <t>00111110011011010010000010100</t>
  </si>
  <si>
    <t>110.00100010.00</t>
  </si>
  <si>
    <t>11001001000000001010000000000</t>
  </si>
  <si>
    <t>110.000?1010.00</t>
  </si>
  <si>
    <t>0a,1a</t>
  </si>
  <si>
    <t>00100110011011010010000010100</t>
  </si>
  <si>
    <t>01101110100000000000000011000</t>
  </si>
  <si>
    <t>110.000?0010.00</t>
  </si>
  <si>
    <t>02,12</t>
  </si>
  <si>
    <t>01101110100000000000000000000</t>
  </si>
  <si>
    <t>110.11100011.00</t>
  </si>
  <si>
    <t>00111110010000000010000010100</t>
  </si>
  <si>
    <t>00010110100100110000000011000</t>
  </si>
  <si>
    <t>110.11101011.00</t>
  </si>
  <si>
    <t>11001001000010101001100000101</t>
  </si>
  <si>
    <t>10011110011011010010000010100</t>
  </si>
  <si>
    <t>00100100110000000000000000000</t>
  </si>
  <si>
    <t>110.11101001.00</t>
  </si>
  <si>
    <t>00101001000000000010000000000</t>
  </si>
  <si>
    <t>10011001010000000000000000000</t>
  </si>
  <si>
    <t>00100110110000000010011000000</t>
  </si>
  <si>
    <t>110.11111001.00</t>
  </si>
  <si>
    <t>f9</t>
  </si>
  <si>
    <t>00100000100000000010000000000</t>
  </si>
  <si>
    <t>110.00???100.00</t>
  </si>
  <si>
    <t>04,0c,14,1c,24,2c,34,3c</t>
  </si>
  <si>
    <t>01101100100000000001100111101</t>
  </si>
  <si>
    <t>110.00???101.00</t>
  </si>
  <si>
    <t>05,0d,15,1d,25,2d,35,3d</t>
  </si>
  <si>
    <t>01011011010000000110000000100</t>
  </si>
  <si>
    <t>01101100100000000001100110101</t>
  </si>
  <si>
    <t>110.00??0011.00</t>
  </si>
  <si>
    <t>03,13,23,33</t>
  </si>
  <si>
    <t>01101100100000000011100111101</t>
  </si>
  <si>
    <t>110.00??1011.00</t>
  </si>
  <si>
    <t>0b,1b,2b,3b</t>
  </si>
  <si>
    <t>01101100100000000011100110101</t>
  </si>
  <si>
    <t>110.10??????.00</t>
  </si>
  <si>
    <t>80,81,82,83,84,85,86,87,88,89,8a,8b,8c,8d,8e,8f,90,91,92,93,94,95,96,97,98,99,9a,9b,9c,9d,9e,9f,a0,a1,a2,a3,a4,a5,a6,a7,a8,a9,aa,ab,ac,ad,ae,af,b0,b1,b2,b3,b4,b5,b6,b7,b8,b9,ba,bb,bc,bd,be,bf</t>
  </si>
  <si>
    <t>01100100110111100001101001111</t>
  </si>
  <si>
    <t>110.11???110.00</t>
  </si>
  <si>
    <t>c6,ce,d6,de,e6,ee,f6,fe</t>
  </si>
  <si>
    <t>00100110100000000010000000000</t>
  </si>
  <si>
    <t>11000010110111100001101001111</t>
  </si>
  <si>
    <t>110.00??1001.00</t>
  </si>
  <si>
    <t>09,19,29,39</t>
  </si>
  <si>
    <t>01011101110000000110000000000</t>
  </si>
  <si>
    <t>01101100110100100001111111111</t>
  </si>
  <si>
    <t>110.00100111.00</t>
  </si>
  <si>
    <t>01011001000000000010000000000</t>
  </si>
  <si>
    <t>00111100110000000001101011111</t>
  </si>
  <si>
    <t>110.00101111.00</t>
  </si>
  <si>
    <t>01010100100000000011111111111</t>
  </si>
  <si>
    <t>00111100110000000011100101111</t>
  </si>
  <si>
    <t>110.000??111.00</t>
  </si>
  <si>
    <t>01011101110000000000000000000</t>
  </si>
  <si>
    <t>110.11000011.00</t>
  </si>
  <si>
    <t>01011101110000000010000000000</t>
  </si>
  <si>
    <t>110.11???010.00</t>
  </si>
  <si>
    <t>c2,ca,d2,da,e2,ea,f2,fa</t>
  </si>
  <si>
    <t>110.11???010.01</t>
  </si>
  <si>
    <t>00000000000000000001000001010</t>
  </si>
  <si>
    <t>110.11???111.00</t>
  </si>
  <si>
    <t>c7,cf,d7,df,e7,ef,f7,ff</t>
  </si>
  <si>
    <t>110.11001101.00</t>
  </si>
  <si>
    <t>01011000101011010000011100000</t>
  </si>
  <si>
    <t>11011110010000000000000010100</t>
  </si>
  <si>
    <t>01001110110000000010011000000</t>
  </si>
  <si>
    <t>11000010110010100001100010101</t>
  </si>
  <si>
    <t>110.11001101.01</t>
  </si>
  <si>
    <t>110.11???100.00</t>
  </si>
  <si>
    <t>c4,cc,d4,dc,e4,ec,f4,fc</t>
  </si>
  <si>
    <t>110.11???100.01</t>
  </si>
  <si>
    <t>110.11001001.00</t>
  </si>
  <si>
    <t>00010110100000000000011111000</t>
  </si>
  <si>
    <t>110.11???000.00</t>
  </si>
  <si>
    <t>c0,c8,d0,d8,e0,e8,f0,f8</t>
  </si>
  <si>
    <t>00010100110000000001100011111</t>
  </si>
  <si>
    <t>01011000100000000000000000000</t>
  </si>
  <si>
    <t>110.11???000.01</t>
  </si>
  <si>
    <t>110.110?0101.00</t>
  </si>
  <si>
    <t>c5,d5</t>
  </si>
  <si>
    <t>110.11100101.00</t>
  </si>
  <si>
    <t>e5</t>
  </si>
  <si>
    <t>01011000101011010000000000000</t>
  </si>
  <si>
    <t>01101110010000000010000010100</t>
  </si>
  <si>
    <t>110.11110101.00</t>
  </si>
  <si>
    <t>f5</t>
  </si>
  <si>
    <t>10000010110010100001100010101</t>
  </si>
  <si>
    <t>110.110?0001.00</t>
  </si>
  <si>
    <t>c1,d1</t>
  </si>
  <si>
    <t>01111010011011010000000000000</t>
  </si>
  <si>
    <t>10011110010000000010000010100</t>
  </si>
  <si>
    <t>00010110100010110000000011000</t>
  </si>
  <si>
    <t>110.11100001.00</t>
  </si>
  <si>
    <t>e1</t>
  </si>
  <si>
    <t>110.11110001.00</t>
  </si>
  <si>
    <t>f1</t>
  </si>
  <si>
    <t>00010110100111100000000011000</t>
  </si>
  <si>
    <t>110.11110001.01</t>
  </si>
  <si>
    <t>01111100110000000000000000000</t>
  </si>
  <si>
    <t>10010010010111100001100000101</t>
  </si>
  <si>
    <t>10011001111011110000000000000</t>
  </si>
  <si>
    <t>110.11010011.00</t>
  </si>
  <si>
    <t>d3</t>
  </si>
  <si>
    <t>10000010010010100001100011101</t>
  </si>
  <si>
    <t>10011100000000000010000000000</t>
  </si>
  <si>
    <t>110.11011011.00</t>
  </si>
  <si>
    <t>db</t>
  </si>
  <si>
    <t>00111110011011010010000010110</t>
  </si>
  <si>
    <t>101.11111101.00</t>
  </si>
  <si>
    <t>fd</t>
  </si>
  <si>
    <t>101.11101101.00</t>
  </si>
  <si>
    <t>ed</t>
  </si>
  <si>
    <t>00000000000000000000111100000</t>
  </si>
  <si>
    <t>10110011100000000000000111100</t>
  </si>
  <si>
    <t>Microcode Word</t>
  </si>
  <si>
    <t>Activation Line</t>
  </si>
  <si>
    <t>Opcodes</t>
  </si>
  <si>
    <t>00?</t>
  </si>
  <si>
    <t>01</t>
  </si>
  <si>
    <t>000</t>
  </si>
  <si>
    <t>111</t>
  </si>
  <si>
    <t>001</t>
  </si>
  <si>
    <t>11</t>
  </si>
  <si>
    <t>010</t>
  </si>
  <si>
    <t>011</t>
  </si>
  <si>
    <t>100</t>
  </si>
  <si>
    <t>110</t>
  </si>
  <si>
    <t>101</t>
  </si>
  <si>
    <t>Signals</t>
  </si>
  <si>
    <t>Cont</t>
  </si>
  <si>
    <t>Line</t>
  </si>
  <si>
    <t>UNK1</t>
  </si>
  <si>
    <t>UNK2</t>
  </si>
  <si>
    <t>UNK4</t>
  </si>
  <si>
    <t>UNK5</t>
  </si>
  <si>
    <t>UNK8</t>
  </si>
  <si>
    <t>UNK9</t>
  </si>
  <si>
    <t>UNK10</t>
  </si>
  <si>
    <t>UNK11</t>
  </si>
  <si>
    <t>UNK17</t>
  </si>
  <si>
    <t>UNK20</t>
  </si>
  <si>
    <t>UNK21</t>
  </si>
  <si>
    <t>UNK22</t>
  </si>
  <si>
    <t>UNK23</t>
  </si>
  <si>
    <t>UNK24</t>
  </si>
  <si>
    <t>UNK26</t>
  </si>
  <si>
    <t>UNK27</t>
  </si>
  <si>
    <t>UNK29</t>
  </si>
  <si>
    <t>UNK30</t>
  </si>
  <si>
    <t>Dest1</t>
  </si>
  <si>
    <t>Souce1</t>
  </si>
  <si>
    <t>Source2</t>
  </si>
  <si>
    <t>Operation</t>
  </si>
  <si>
    <t>Type</t>
  </si>
  <si>
    <t>ALU</t>
  </si>
  <si>
    <t>Jump</t>
  </si>
  <si>
    <t>Control</t>
  </si>
  <si>
    <t>D2</t>
  </si>
  <si>
    <t>F</t>
  </si>
  <si>
    <t>alu rm&lt;-&gt;r</t>
  </si>
  <si>
    <t>alu A,i</t>
  </si>
  <si>
    <t>POP sr</t>
  </si>
  <si>
    <t>PUSH sr</t>
  </si>
  <si>
    <t>DAA</t>
  </si>
  <si>
    <t>DAS</t>
  </si>
  <si>
    <t>AAA</t>
  </si>
  <si>
    <t>AAA/AAS</t>
  </si>
  <si>
    <t>AAS</t>
  </si>
  <si>
    <t>INC/DEC</t>
  </si>
  <si>
    <t>PUSH rw</t>
  </si>
  <si>
    <t>POP rw</t>
  </si>
  <si>
    <t>ESC2</t>
  </si>
  <si>
    <t>alu rm,i</t>
  </si>
  <si>
    <t>TEST rm,r</t>
  </si>
  <si>
    <t>XCHG rm,r</t>
  </si>
  <si>
    <t>MOV rm&lt;-&gt;r</t>
  </si>
  <si>
    <t>MOV rm&lt;-&gt;sr</t>
  </si>
  <si>
    <t>POP rmw</t>
  </si>
  <si>
    <t>XCHG AX,rw</t>
  </si>
  <si>
    <t>90-97</t>
  </si>
  <si>
    <t>88-8b</t>
  </si>
  <si>
    <t>80-83</t>
  </si>
  <si>
    <t>70-7f</t>
  </si>
  <si>
    <t>58-5f</t>
  </si>
  <si>
    <t>50-57</t>
  </si>
  <si>
    <t>40-4f</t>
  </si>
  <si>
    <t>CBW</t>
  </si>
  <si>
    <t>CWD</t>
  </si>
  <si>
    <t>CALL cd</t>
  </si>
  <si>
    <t>WAIT</t>
  </si>
  <si>
    <t>PUSHF</t>
  </si>
  <si>
    <t>POPF</t>
  </si>
  <si>
    <t>SAHF</t>
  </si>
  <si>
    <t>LAHF</t>
  </si>
  <si>
    <t>AH</t>
  </si>
  <si>
    <t>ALUop</t>
  </si>
  <si>
    <t>MOV A,[i]</t>
  </si>
  <si>
    <t>MOV [i],A</t>
  </si>
  <si>
    <t>MOVS</t>
  </si>
  <si>
    <t>CMPS</t>
  </si>
  <si>
    <t>CMPS/SCAS</t>
  </si>
  <si>
    <t>TEST A,i</t>
  </si>
  <si>
    <t>STOS</t>
  </si>
  <si>
    <t>LODS</t>
  </si>
  <si>
    <t>SCAS</t>
  </si>
  <si>
    <t>b0-bf</t>
  </si>
  <si>
    <t>MOV r,i</t>
  </si>
  <si>
    <t>RETF iw</t>
  </si>
  <si>
    <t>RETF</t>
  </si>
  <si>
    <t>RETF [iw]</t>
  </si>
  <si>
    <t>RETN</t>
  </si>
  <si>
    <t>DS</t>
  </si>
  <si>
    <t>ES</t>
  </si>
  <si>
    <t>AAM</t>
  </si>
  <si>
    <t>AAD</t>
  </si>
  <si>
    <t>ESC</t>
  </si>
  <si>
    <t>LOOPNE/LOOPE</t>
  </si>
  <si>
    <t>LOOP</t>
  </si>
  <si>
    <t>JCXZ</t>
  </si>
  <si>
    <t>CALL</t>
  </si>
  <si>
    <t>JMP rel16</t>
  </si>
  <si>
    <t>JMP rel8</t>
  </si>
  <si>
    <t>JMP FAR</t>
  </si>
  <si>
    <t>IN al,dx</t>
  </si>
  <si>
    <t>OUT dx, al</t>
  </si>
  <si>
    <t>IN al, imm8</t>
  </si>
  <si>
    <t>OUT imm8, al</t>
  </si>
  <si>
    <t>A</t>
  </si>
  <si>
    <t>OPR</t>
  </si>
  <si>
    <t>XLAT</t>
  </si>
  <si>
    <t>OUT</t>
  </si>
  <si>
    <t>W</t>
  </si>
  <si>
    <t>E</t>
  </si>
  <si>
    <t>--</t>
  </si>
  <si>
    <t>LES r</t>
  </si>
  <si>
    <t>LDS r</t>
  </si>
  <si>
    <t>INT3</t>
  </si>
  <si>
    <t>INT</t>
  </si>
  <si>
    <t>INT0</t>
  </si>
  <si>
    <t>IRET</t>
  </si>
  <si>
    <t>ROT/SHIFT rm, cl</t>
  </si>
  <si>
    <t>ROT/SHIFT rm, 1</t>
  </si>
  <si>
    <t>JmpT</t>
  </si>
  <si>
    <t>IC</t>
  </si>
  <si>
    <t>EC</t>
  </si>
  <si>
    <t>SR</t>
  </si>
  <si>
    <t>Tmp</t>
  </si>
  <si>
    <t>R</t>
  </si>
  <si>
    <t>MOV rm, imm</t>
  </si>
  <si>
    <t>LEA r, m</t>
  </si>
  <si>
    <t>TMPA</t>
  </si>
  <si>
    <t>TMPB</t>
  </si>
  <si>
    <t>SIGMA</t>
  </si>
  <si>
    <t>Arch</t>
  </si>
  <si>
    <t>MOV r,r</t>
  </si>
  <si>
    <t>MVI, r</t>
  </si>
  <si>
    <t>LXI, r</t>
  </si>
  <si>
    <t>LDA</t>
  </si>
  <si>
    <t>STA</t>
  </si>
  <si>
    <t>LHLD</t>
  </si>
  <si>
    <t>LDAX</t>
  </si>
  <si>
    <t>STAX</t>
  </si>
  <si>
    <t>XTHL</t>
  </si>
  <si>
    <t>XCHG</t>
  </si>
  <si>
    <t>PCHL</t>
  </si>
  <si>
    <t>SPHL</t>
  </si>
  <si>
    <t>INR r</t>
  </si>
  <si>
    <t>DCR r</t>
  </si>
  <si>
    <t>INX r</t>
  </si>
  <si>
    <t>DCX r</t>
  </si>
  <si>
    <t>ALU r</t>
  </si>
  <si>
    <t>ALU imm</t>
  </si>
  <si>
    <t>DAD</t>
  </si>
  <si>
    <t>CMA</t>
  </si>
  <si>
    <t>JMP</t>
  </si>
  <si>
    <t>RST</t>
  </si>
  <si>
    <t>CALL cnd</t>
  </si>
  <si>
    <t>RET</t>
  </si>
  <si>
    <t>RET cnd</t>
  </si>
  <si>
    <t>JMP cnd</t>
  </si>
  <si>
    <t>PUSH</t>
  </si>
  <si>
    <t>PUSH H</t>
  </si>
  <si>
    <t>PUSH PSW</t>
  </si>
  <si>
    <t>POP</t>
  </si>
  <si>
    <t>POP H</t>
  </si>
  <si>
    <t>POP PSW</t>
  </si>
  <si>
    <t>IN</t>
  </si>
  <si>
    <t>NOP</t>
  </si>
  <si>
    <t>RETEM</t>
  </si>
  <si>
    <t>CALLN</t>
  </si>
  <si>
    <t>TEST rm, cl</t>
  </si>
  <si>
    <t>TEST1 rm, imm</t>
  </si>
  <si>
    <t>CLR1 rm, cl</t>
  </si>
  <si>
    <t>SET1 rm, cl</t>
  </si>
  <si>
    <t>SET1 rm, imm</t>
  </si>
  <si>
    <t>CLR rm, imm</t>
  </si>
  <si>
    <t>NOT1 rm, cl</t>
  </si>
  <si>
    <t>NOT1 rm, imm</t>
  </si>
  <si>
    <t>ALU4S</t>
  </si>
  <si>
    <t>ADD4S</t>
  </si>
  <si>
    <t>??</t>
  </si>
  <si>
    <t>SUB4S</t>
  </si>
  <si>
    <t>CMP4S</t>
  </si>
  <si>
    <t>ROL4</t>
  </si>
  <si>
    <t>ROL4/ROR4</t>
  </si>
  <si>
    <t>ROR4</t>
  </si>
  <si>
    <t>EXT</t>
  </si>
  <si>
    <t>EXT rm, imm</t>
  </si>
  <si>
    <t>SP</t>
  </si>
  <si>
    <t>REG</t>
  </si>
  <si>
    <t>Q</t>
  </si>
  <si>
    <t>Jxx rel8</t>
  </si>
  <si>
    <t>ROT A</t>
  </si>
  <si>
    <t>C</t>
  </si>
  <si>
    <t>LC</t>
  </si>
  <si>
    <t>SHLD addr</t>
  </si>
  <si>
    <t>CS</t>
  </si>
  <si>
    <t>PC</t>
  </si>
  <si>
    <t>ADJ2</t>
  </si>
  <si>
    <t>FLAGS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</si>
  <si>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</si>
  <si>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</si>
  <si>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</si>
  <si>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</si>
  <si>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</si>
  <si>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</si>
  <si>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</si>
  <si>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</si>
  <si>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</si>
  <si>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12</t>
  </si>
  <si>
    <t>13</t>
  </si>
  <si>
    <t>14</t>
  </si>
  <si>
    <t>15</t>
  </si>
  <si>
    <t>100.0011?100.10</t>
  </si>
  <si>
    <t>FE,FF</t>
  </si>
  <si>
    <t>CALL FAR</t>
  </si>
  <si>
    <t>Jcond</t>
  </si>
  <si>
    <t>TEST rm, imm</t>
  </si>
  <si>
    <t>F6,F7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</si>
</sst>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9"/>
      <color theme="1"/>
      <name val="Consolas"/>
      <family val="3"/>
    </font>
    <font>
      <sz val="10"/>
      <color theme="1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1" fillId="0" borderId="0" xfId="0" applyFont="1"/>
    <xf numFmtId="0" fontId="1" fillId="0" borderId="0" xfId="0" applyFont="1" applyAlignment="1">
      <alignment horizontal="right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right"/>
    </xf>
    <xf numFmtId="49" fontId="1" fillId="0" borderId="1" xfId="0" applyNumberFormat="1" applyFont="1" applyBorder="1"/>
    <xf numFmtId="0" fontId="0" fillId="0" borderId="1" xfId="0" applyBorder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2" borderId="0" xfId="0" applyFont="1" applyFill="1" applyAlignment="1">
      <alignment horizontal="right"/>
    </xf>
    <xf numFmtId="49" fontId="1" fillId="2" borderId="0" xfId="0" applyNumberFormat="1" applyFont="1" applyFill="1"/>
    <xf numFmtId="0" fontId="1" fillId="2" borderId="0" xfId="0" applyFont="1" applyFill="1"/>
    <xf numFmtId="0" fontId="0" fillId="2" borderId="0" xfId="0" applyFill="1"/>
    <xf numFmtId="0" fontId="1" fillId="2" borderId="0" xfId="0" applyFont="1" applyFill="1" applyAlignment="1">
      <alignment horizontal="center"/>
    </xf>
    <xf numFmtId="0" fontId="1" fillId="2" borderId="1" xfId="0" applyFont="1" applyFill="1" applyBorder="1" applyAlignment="1">
      <alignment horizontal="right"/>
    </xf>
    <xf numFmtId="49" fontId="1" fillId="2" borderId="1" xfId="0" applyNumberFormat="1" applyFont="1" applyFill="1" applyBorder="1"/>
    <xf numFmtId="0" fontId="1" fillId="2" borderId="1" xfId="0" applyFont="1" applyFill="1" applyBorder="1"/>
    <xf numFmtId="0" fontId="0" fillId="2" borderId="1" xfId="0" applyFill="1" applyBorder="1"/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2" borderId="0" xfId="0" applyFont="1" applyFill="1" applyAlignment="1">
      <alignment horizontal="left"/>
    </xf>
    <xf numFmtId="0" fontId="1" fillId="2" borderId="1" xfId="0" applyFont="1" applyFill="1" applyBorder="1" applyAlignment="1">
      <alignment horizontal="left"/>
    </xf>
    <xf numFmtId="0" fontId="1" fillId="0" borderId="1" xfId="0" applyFont="1" applyBorder="1" applyAlignment="1">
      <alignment horizontal="left"/>
    </xf>
    <xf numFmtId="0" fontId="2" fillId="0" borderId="0" xfId="0" applyFont="1"/>
    <xf numFmtId="0" fontId="2" fillId="2" borderId="0" xfId="0" applyFont="1" applyFill="1"/>
    <xf numFmtId="0" fontId="2" fillId="2" borderId="1" xfId="0" applyFont="1" applyFill="1" applyBorder="1"/>
    <xf numFmtId="0" fontId="2" fillId="0" borderId="1" xfId="0" applyFont="1" applyBorder="1"/>
  </cellXfs>
  <cellStyles count="1">
    <cellStyle name="Normal" xfId="0" builtinId="0"/>
  </cellStyles>
  <dxfs count="4">
    <dxf>
      <fill>
        <patternFill>
          <bgColor theme="9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4A9DD-85B2-47C3-B5FC-363A4C624C0A}">
  <dimension ref="A1:AD1029"/>
  <sheetViews>
    <sheetView tabSelected="1" workbookViewId="0">
      <pane ySplit="1" topLeftCell="A2" activePane="bottomLeft" state="frozen"/>
      <selection pane="bottomLeft" activeCell="X23" sqref="X23"/>
    </sheetView>
  </sheetViews>
  <sheetFormatPr defaultRowHeight="15" x14ac:dyDescent="0.25"/>
  <cols>
    <col min="1" max="1" width="4.7109375" customWidth="1"/>
    <col min="2" max="2" width="30.140625" style="1" customWidth="1"/>
    <col min="3" max="3" width="16.42578125" customWidth="1"/>
    <col min="4" max="4" width="3.7109375" customWidth="1"/>
    <col min="5" max="5" width="4.85546875" customWidth="1"/>
    <col min="9" max="9" width="8.42578125" style="22" customWidth="1"/>
    <col min="10" max="12" width="3.140625" style="5" customWidth="1"/>
    <col min="13" max="13" width="8.5703125" customWidth="1"/>
    <col min="14" max="14" width="7.140625" customWidth="1"/>
    <col min="15" max="15" width="8.28515625" customWidth="1"/>
    <col min="16" max="16" width="3.140625" style="5" customWidth="1"/>
    <col min="17" max="18" width="7.140625" customWidth="1"/>
    <col min="19" max="21" width="5.28515625" customWidth="1"/>
    <col min="23" max="23" width="6.140625" customWidth="1"/>
    <col min="24" max="24" width="15.28515625" customWidth="1"/>
  </cols>
  <sheetData>
    <row r="1" spans="1:30" x14ac:dyDescent="0.25">
      <c r="A1" t="s">
        <v>941</v>
      </c>
      <c r="B1" s="1" t="s">
        <v>925</v>
      </c>
      <c r="C1" t="s">
        <v>926</v>
      </c>
      <c r="D1" s="1" t="s">
        <v>939</v>
      </c>
      <c r="E1" t="s">
        <v>940</v>
      </c>
      <c r="F1" t="s">
        <v>961</v>
      </c>
      <c r="G1" t="s">
        <v>960</v>
      </c>
      <c r="H1" t="s">
        <v>962</v>
      </c>
      <c r="I1" s="22" t="s">
        <v>968</v>
      </c>
      <c r="J1" s="5" t="s">
        <v>969</v>
      </c>
      <c r="K1" s="5" t="s">
        <v>1042</v>
      </c>
      <c r="L1" s="5" t="s">
        <v>1043</v>
      </c>
      <c r="M1" t="s">
        <v>964</v>
      </c>
      <c r="N1" t="s">
        <v>1006</v>
      </c>
      <c r="O1" s="5" t="s">
        <v>1057</v>
      </c>
      <c r="P1" s="5" t="s">
        <v>1058</v>
      </c>
      <c r="Q1" s="5" t="s">
        <v>1147</v>
      </c>
      <c r="R1" s="5" t="s">
        <v>1053</v>
      </c>
      <c r="S1" s="5" t="s">
        <v>1054</v>
      </c>
      <c r="T1" s="5" t="s">
        <v>1055</v>
      </c>
      <c r="U1" s="5" t="s">
        <v>1056</v>
      </c>
      <c r="W1" s="22" t="s">
        <v>1064</v>
      </c>
      <c r="X1" t="s">
        <v>963</v>
      </c>
      <c r="AD1" t="s">
        <v>927</v>
      </c>
    </row>
    <row r="2" spans="1:30" x14ac:dyDescent="0.25">
      <c r="A2" s="4" t="str">
        <f>DEC2HEX(ROW(A1)-ROW($A$1),3)</f>
        <v>000</v>
      </c>
      <c r="B2" s="2" t="s">
        <v>0</v>
      </c>
      <c r="C2" s="2" t="s">
        <v>1</v>
      </c>
      <c r="D2" s="2" t="s">
        <v>928</v>
      </c>
      <c r="E2" s="2" t="s">
        <v>462</v>
      </c>
      <c r="F2" s="27" t="str" cm="1">
        <f t="array" ref="F2">INDEX(Sources!A:A, 1 + BIN2DEC(LEFT($B2,5)))</f>
        <v>OPR</v>
      </c>
      <c r="G2" s="27" t="str" cm="1">
        <f t="array" ref="G2">INDEX(Dest1!A:A,1+BIN2DEC(MID($B2,6,5)))</f>
        <v>TMPA</v>
      </c>
      <c r="H2" s="27" t="str" cm="1">
        <f t="array" ref="H2">INDEX(Source2!A:A,1+BIN2DEC(MID($B2,11,4)))</f>
        <v>8</v>
      </c>
      <c r="I2" s="23" t="str" cm="1">
        <f t="array" ref="I2">INDEX('D2'!A:A,1+BIN2DEC(MID($B2,16,2)))</f>
        <v>TMPB</v>
      </c>
      <c r="J2" s="6">
        <f>BIN2DEC(MID($B2,17,1))</f>
        <v>0</v>
      </c>
      <c r="K2" s="6">
        <f>BIN2DEC(MID($B2,18,1))</f>
        <v>0</v>
      </c>
      <c r="L2" s="6">
        <f>BIN2DEC(MID($B2,19,1))</f>
        <v>0</v>
      </c>
      <c r="M2" s="3" t="str" cm="1">
        <f t="array" ref="M2">INDEX(Types!A:A,1+BIN2DEC(MID($B2,20,2)))</f>
        <v>ALU</v>
      </c>
      <c r="N2" s="3" cm="1">
        <f t="array" ref="N2">IF(M2="ALU",INDEX(ALUOps!A:A,1+BIN2DEC(MID($B2,22,5))),"")</f>
        <v>9</v>
      </c>
      <c r="O2" s="3" cm="1">
        <f t="array" ref="O2">IF(M2="ALU",INDEX(TMP!A:A,1+BIN2DEC(MID($B2,27,2))),"")</f>
        <v>3</v>
      </c>
      <c r="P2" s="6">
        <f>IF(M2="ALU",BIN2DEC(MID($B2,29,1)),"")</f>
        <v>1</v>
      </c>
      <c r="Q2" t="str">
        <f>IF(M2="Jump",BIN2DEC(MID($B2,22,4)),"")</f>
        <v/>
      </c>
      <c r="R2" t="str">
        <f t="shared" ref="R2:R65" si="0">IF(M2="Jump",15-BIN2DEC(MID($B2,26,4)),"")</f>
        <v/>
      </c>
      <c r="S2" t="str" cm="1">
        <f t="array" ref="S2">IF(M2="Control",INDEX(IC!A:A,1+BIN2DEC(MID($B2,21,4))),"")</f>
        <v/>
      </c>
      <c r="T2" t="str" cm="1">
        <f t="array" ref="T2">IF(M2="Control",INDEX(EC!A:A,1+BIN2DEC(MID($B2,25,3))),"")</f>
        <v/>
      </c>
      <c r="U2" t="str" cm="1">
        <f t="array" ref="U2">IF(M2="Control",INDEX(SR!A:A,1+BIN2DEC(MID($B2,28,2))),"")</f>
        <v/>
      </c>
      <c r="X2" t="s">
        <v>970</v>
      </c>
      <c r="AD2" s="1" t="s">
        <v>2</v>
      </c>
    </row>
    <row r="3" spans="1:30" x14ac:dyDescent="0.25">
      <c r="A3" s="4" t="str">
        <f t="shared" ref="A3:A66" si="1">DEC2HEX(ROW(A2)-ROW($A$1),3)</f>
        <v>001</v>
      </c>
      <c r="B3" s="2" t="s">
        <v>3</v>
      </c>
      <c r="C3" s="3"/>
      <c r="D3" s="3"/>
      <c r="E3" s="3"/>
      <c r="F3" s="27" t="str" cm="1">
        <f t="array" ref="F3">INDEX(Sources!A:A, 1 + BIN2DEC(LEFT($B3,5)))</f>
        <v>SIGMA</v>
      </c>
      <c r="G3" s="27" t="str" cm="1">
        <f t="array" ref="G3">INDEX(Dest1!A:A,1+BIN2DEC(MID($B3,6,5)))</f>
        <v>OPR</v>
      </c>
      <c r="H3" s="27" t="str" cm="1">
        <f t="array" ref="H3">INDEX(Source2!A:A,1+BIN2DEC(MID($B3,11,4)))</f>
        <v>--</v>
      </c>
      <c r="I3" s="23" cm="1">
        <f t="array" ref="I3">INDEX('D2'!A:A,1+BIN2DEC(MID($B3,16,2)))</f>
        <v>0</v>
      </c>
      <c r="J3" s="6">
        <f>BIN2DEC(MID($B3,17,1))</f>
        <v>0</v>
      </c>
      <c r="K3" s="6">
        <f t="shared" ref="K3:K66" si="2">BIN2DEC(MID($B3,18,1))</f>
        <v>1</v>
      </c>
      <c r="L3" s="6">
        <f t="shared" ref="L3:L66" si="3">BIN2DEC(MID($B3,19,1))</f>
        <v>1</v>
      </c>
      <c r="M3" s="3" t="str" cm="1">
        <f t="array" ref="M3">INDEX(Types!A:A,1+BIN2DEC(MID($B3,20,2)))</f>
        <v>Control</v>
      </c>
      <c r="N3" s="3" t="str" cm="1">
        <f t="array" ref="N3">IF(M3="ALU",INDEX(ALUOps!A:A,1+BIN2DEC(MID($B3,22,5))),"")</f>
        <v/>
      </c>
      <c r="O3" s="3" t="str" cm="1">
        <f t="array" ref="O3">IF(M3="ALU",INDEX(TMP!A:A,1+BIN2DEC(MID($B3,27,2))),"")</f>
        <v/>
      </c>
      <c r="P3" s="6" t="str">
        <f t="shared" ref="P3:P66" si="4">IF(M3="ALU",BIN2DEC(MID($B3,29,1)),"")</f>
        <v/>
      </c>
      <c r="Q3" t="str">
        <f t="shared" ref="Q3:Q66" si="5">IF(M3="Jump",BIN2DEC(MID($B3,22,4)),"")</f>
        <v/>
      </c>
      <c r="R3" t="str">
        <f t="shared" si="0"/>
        <v/>
      </c>
      <c r="S3" cm="1">
        <f t="array" ref="S3">IF(M3="Control",INDEX(IC!A:A,1+BIN2DEC(MID($B3,21,4))),"")</f>
        <v>0</v>
      </c>
      <c r="T3" cm="1">
        <f t="array" ref="T3">IF(M3="Control",INDEX(EC!A:A,1+BIN2DEC(MID($B3,25,3))),"")</f>
        <v>1</v>
      </c>
      <c r="U3" cm="1">
        <f t="array" ref="U3">IF(M3="Control",INDEX(SR!A:A,1+BIN2DEC(MID($B3,28,2))),"")</f>
        <v>0</v>
      </c>
    </row>
    <row r="4" spans="1:30" s="15" customFormat="1" x14ac:dyDescent="0.25">
      <c r="A4" s="12" t="str">
        <f t="shared" si="1"/>
        <v>002</v>
      </c>
      <c r="B4" s="13" t="s">
        <v>4</v>
      </c>
      <c r="C4" s="14"/>
      <c r="D4" s="14"/>
      <c r="E4" s="14"/>
      <c r="F4" s="28"/>
      <c r="G4" s="28" t="str" cm="1">
        <f t="array" ref="G4">INDEX(Dest1!A:A,1+BIN2DEC(MID($B4,6,5)))</f>
        <v>--</v>
      </c>
      <c r="H4" s="28" t="str" cm="1">
        <f t="array" ref="H4">INDEX(Source2!A:A,1+BIN2DEC(MID($B4,11,4)))</f>
        <v>--</v>
      </c>
      <c r="I4" s="24"/>
      <c r="J4" s="16"/>
      <c r="K4" s="16"/>
      <c r="L4" s="16"/>
      <c r="M4" s="14"/>
      <c r="N4" s="14" t="str" cm="1">
        <f t="array" ref="N4">IF(M4="ALU",INDEX(ALUOps!A:A,1+BIN2DEC(MID($B4,22,5))),"")</f>
        <v/>
      </c>
      <c r="O4" s="14" t="str" cm="1">
        <f t="array" ref="O4">IF(M4="ALU",INDEX(TMP!A:A,1+BIN2DEC(MID($B4,27,2))),"")</f>
        <v/>
      </c>
      <c r="P4" s="16" t="str">
        <f t="shared" si="4"/>
        <v/>
      </c>
      <c r="Q4" s="15" t="str">
        <f t="shared" si="5"/>
        <v/>
      </c>
      <c r="R4" s="15" t="str">
        <f t="shared" si="0"/>
        <v/>
      </c>
      <c r="S4" s="15" t="str" cm="1">
        <f t="array" ref="S4">IF(M4="Control",INDEX(IC!A:A,1+BIN2DEC(MID($B4,21,4))),"")</f>
        <v/>
      </c>
      <c r="T4" s="15" t="str" cm="1">
        <f t="array" ref="T4">IF(M4="Control",INDEX(EC!A:A,1+BIN2DEC(MID($B4,25,3))),"")</f>
        <v/>
      </c>
      <c r="U4" s="15" t="str" cm="1">
        <f t="array" ref="U4">IF(M4="Control",INDEX(SR!A:A,1+BIN2DEC(MID($B4,28,2))),"")</f>
        <v/>
      </c>
    </row>
    <row r="5" spans="1:30" s="20" customFormat="1" ht="15.75" thickBot="1" x14ac:dyDescent="0.3">
      <c r="A5" s="17" t="str">
        <f t="shared" si="1"/>
        <v>003</v>
      </c>
      <c r="B5" s="18" t="s">
        <v>4</v>
      </c>
      <c r="C5" s="19"/>
      <c r="D5" s="19"/>
      <c r="E5" s="19"/>
      <c r="F5" s="29"/>
      <c r="G5" s="29" t="str" cm="1">
        <f t="array" ref="G5">INDEX(Dest1!A:A,1+BIN2DEC(MID($B5,6,5)))</f>
        <v>--</v>
      </c>
      <c r="H5" s="29" t="str" cm="1">
        <f t="array" ref="H5">INDEX(Source2!A:A,1+BIN2DEC(MID($B5,11,4)))</f>
        <v>--</v>
      </c>
      <c r="I5" s="25"/>
      <c r="J5" s="21"/>
      <c r="K5" s="21"/>
      <c r="L5" s="21"/>
      <c r="M5" s="19"/>
      <c r="N5" s="19" t="str" cm="1">
        <f t="array" ref="N5">IF(M5="ALU",INDEX(ALUOps!A:A,1+BIN2DEC(MID($B5,22,5))),"")</f>
        <v/>
      </c>
      <c r="O5" s="19" t="str" cm="1">
        <f t="array" ref="O5">IF(M5="ALU",INDEX(TMP!A:A,1+BIN2DEC(MID($B5,27,2))),"")</f>
        <v/>
      </c>
      <c r="P5" s="21" t="str">
        <f t="shared" si="4"/>
        <v/>
      </c>
      <c r="Q5" s="20" t="str">
        <f t="shared" si="5"/>
        <v/>
      </c>
      <c r="R5" s="20" t="str">
        <f t="shared" si="0"/>
        <v/>
      </c>
      <c r="S5" s="20" t="str" cm="1">
        <f t="array" ref="S5">IF(M5="Control",INDEX(IC!A:A,1+BIN2DEC(MID($B5,21,4))),"")</f>
        <v/>
      </c>
      <c r="T5" s="20" t="str" cm="1">
        <f t="array" ref="T5">IF(M5="Control",INDEX(EC!A:A,1+BIN2DEC(MID($B5,25,3))),"")</f>
        <v/>
      </c>
      <c r="U5" s="20" t="str" cm="1">
        <f t="array" ref="U5">IF(M5="Control",INDEX(SR!A:A,1+BIN2DEC(MID($B5,28,2))),"")</f>
        <v/>
      </c>
    </row>
    <row r="6" spans="1:30" x14ac:dyDescent="0.25">
      <c r="A6" s="4" t="str">
        <f t="shared" si="1"/>
        <v>004</v>
      </c>
      <c r="B6" s="2" t="s">
        <v>5</v>
      </c>
      <c r="C6" s="2" t="s">
        <v>6</v>
      </c>
      <c r="D6" s="2" t="s">
        <v>928</v>
      </c>
      <c r="E6" s="2" t="s">
        <v>462</v>
      </c>
      <c r="F6" s="27" t="str" cm="1">
        <f t="array" ref="F6">INDEX(Sources!A:A, 1 + BIN2DEC(LEFT($B6,5)))</f>
        <v>OPR</v>
      </c>
      <c r="G6" s="27" t="str" cm="1">
        <f t="array" ref="G6">INDEX(Dest1!A:A,1+BIN2DEC(MID($B6,6,5)))</f>
        <v>TMPA</v>
      </c>
      <c r="H6" s="27" t="str" cm="1">
        <f t="array" ref="H6">INDEX(Source2!A:A,1+BIN2DEC(MID($B6,11,4)))</f>
        <v>Q</v>
      </c>
      <c r="I6" s="23" t="str" cm="1">
        <f t="array" ref="I6">INDEX('D2'!A:A,1+BIN2DEC(MID($B6,16,2)))</f>
        <v>TMPB</v>
      </c>
      <c r="J6" s="6">
        <f t="shared" ref="J6:J66" si="6">BIN2DEC(MID($B6,17,1))</f>
        <v>0</v>
      </c>
      <c r="K6" s="6">
        <f t="shared" si="2"/>
        <v>0</v>
      </c>
      <c r="L6" s="6">
        <f t="shared" si="3"/>
        <v>0</v>
      </c>
      <c r="M6" s="3" t="str" cm="1">
        <f t="array" ref="M6">INDEX(Types!A:A,1+BIN2DEC(MID($B6,20,2)))</f>
        <v>Jump</v>
      </c>
      <c r="N6" s="3" t="str" cm="1">
        <f t="array" ref="N6">IF(M6="ALU",INDEX(ALUOps!A:A,1+BIN2DEC(MID($B6,22,5))),"")</f>
        <v/>
      </c>
      <c r="O6" s="3" t="str" cm="1">
        <f t="array" ref="O6">IF(M6="ALU",INDEX(TMP!A:A,1+BIN2DEC(MID($B6,27,2))),"")</f>
        <v/>
      </c>
      <c r="P6" s="6" t="str">
        <f t="shared" si="4"/>
        <v/>
      </c>
      <c r="Q6">
        <f t="shared" si="5"/>
        <v>8</v>
      </c>
      <c r="R6">
        <f>IF(M6="Jump",15-BIN2DEC(MID($B6,26,4)),"")</f>
        <v>2</v>
      </c>
      <c r="S6" t="str" cm="1">
        <f t="array" ref="S6">IF(M6="Control",INDEX(IC!A:A,1+BIN2DEC(MID($B6,21,4))),"")</f>
        <v/>
      </c>
      <c r="T6" t="str" cm="1">
        <f t="array" ref="T6">IF(M6="Control",INDEX(EC!A:A,1+BIN2DEC(MID($B6,25,3))),"")</f>
        <v/>
      </c>
      <c r="U6" t="str" cm="1">
        <f t="array" ref="U6">IF(M6="Control",INDEX(SR!A:A,1+BIN2DEC(MID($B6,28,2))),"")</f>
        <v/>
      </c>
      <c r="X6" t="s">
        <v>971</v>
      </c>
      <c r="AD6" s="1" t="s">
        <v>7</v>
      </c>
    </row>
    <row r="7" spans="1:30" x14ac:dyDescent="0.25">
      <c r="A7" s="4" t="str">
        <f t="shared" si="1"/>
        <v>005</v>
      </c>
      <c r="B7" s="2" t="s">
        <v>8</v>
      </c>
      <c r="C7" s="3"/>
      <c r="D7" s="3"/>
      <c r="E7" s="3"/>
      <c r="F7" s="27" t="str" cm="1">
        <f t="array" ref="F7">INDEX(Sources!A:A, 1 + BIN2DEC(LEFT($B7,5)))</f>
        <v>Q</v>
      </c>
      <c r="G7" s="27" t="str" cm="1">
        <f t="array" ref="G7">INDEX(Dest1!A:A,1+BIN2DEC(MID($B7,6,5)))</f>
        <v>UNK9</v>
      </c>
      <c r="H7" s="27" t="str" cm="1">
        <f t="array" ref="H7">INDEX(Source2!A:A,1+BIN2DEC(MID($B7,11,4)))</f>
        <v>--</v>
      </c>
      <c r="I7" s="23" cm="1">
        <f t="array" ref="I7">INDEX('D2'!A:A,1+BIN2DEC(MID($B7,16,2)))</f>
        <v>0</v>
      </c>
      <c r="J7" s="6">
        <f t="shared" si="6"/>
        <v>0</v>
      </c>
      <c r="K7" s="6">
        <f t="shared" si="2"/>
        <v>0</v>
      </c>
      <c r="L7" s="6">
        <f t="shared" si="3"/>
        <v>0</v>
      </c>
      <c r="M7" s="3" t="str" cm="1">
        <f t="array" ref="M7">INDEX(Types!A:A,1+BIN2DEC(MID($B7,20,2)))</f>
        <v>Control</v>
      </c>
      <c r="N7" s="3" t="str" cm="1">
        <f t="array" ref="N7">IF(M7="ALU",INDEX(ALUOps!A:A,1+BIN2DEC(MID($B7,22,5))),"")</f>
        <v/>
      </c>
      <c r="O7" s="3" t="str" cm="1">
        <f t="array" ref="O7">IF(M7="ALU",INDEX(TMP!A:A,1+BIN2DEC(MID($B7,27,2))),"")</f>
        <v/>
      </c>
      <c r="P7" s="6" t="str">
        <f t="shared" si="4"/>
        <v/>
      </c>
      <c r="Q7" t="str">
        <f t="shared" si="5"/>
        <v/>
      </c>
      <c r="R7" t="str">
        <f t="shared" ref="R7:R70" si="7">IF(M7="Jump",15-BIN2DEC(MID($B7,26,4)),"")</f>
        <v/>
      </c>
      <c r="S7" cm="1">
        <f t="array" ref="S7">IF(M7="Control",INDEX(IC!A:A,1+BIN2DEC(MID($B7,21,4))),"")</f>
        <v>0</v>
      </c>
      <c r="T7" cm="1">
        <f t="array" ref="T7">IF(M7="Control",INDEX(EC!A:A,1+BIN2DEC(MID($B7,25,3))),"")</f>
        <v>0</v>
      </c>
      <c r="U7" cm="1">
        <f t="array" ref="U7">IF(M7="Control",INDEX(SR!A:A,1+BIN2DEC(MID($B7,28,2))),"")</f>
        <v>0</v>
      </c>
    </row>
    <row r="8" spans="1:30" x14ac:dyDescent="0.25">
      <c r="A8" s="4" t="str">
        <f t="shared" si="1"/>
        <v>006</v>
      </c>
      <c r="B8" s="2" t="s">
        <v>9</v>
      </c>
      <c r="C8" s="3"/>
      <c r="D8" s="3"/>
      <c r="E8" s="3"/>
      <c r="F8" s="27" t="str" cm="1">
        <f t="array" ref="F8">INDEX(Sources!A:A, 1 + BIN2DEC(LEFT($B8,5)))</f>
        <v>--</v>
      </c>
      <c r="G8" s="27" t="str" cm="1">
        <f t="array" ref="G8">INDEX(Dest1!A:A,1+BIN2DEC(MID($B8,6,5)))</f>
        <v>--</v>
      </c>
      <c r="H8" s="27" t="str" cm="1">
        <f t="array" ref="H8">INDEX(Source2!A:A,1+BIN2DEC(MID($B8,11,4)))</f>
        <v>--</v>
      </c>
      <c r="I8" s="23" cm="1">
        <f t="array" ref="I8">INDEX('D2'!A:A,1+BIN2DEC(MID($B8,16,2)))</f>
        <v>0</v>
      </c>
      <c r="J8" s="6">
        <f t="shared" si="6"/>
        <v>0</v>
      </c>
      <c r="K8" s="6">
        <f t="shared" si="2"/>
        <v>0</v>
      </c>
      <c r="L8" s="6">
        <f t="shared" si="3"/>
        <v>1</v>
      </c>
      <c r="M8" s="3" t="str" cm="1">
        <f t="array" ref="M8">INDEX(Types!A:A,1+BIN2DEC(MID($B8,20,2)))</f>
        <v>ALU</v>
      </c>
      <c r="N8" s="3" cm="1">
        <f t="array" ref="N8">IF(M8="ALU",INDEX(ALUOps!A:A,1+BIN2DEC(MID($B8,22,5))),"")</f>
        <v>9</v>
      </c>
      <c r="O8" s="3" cm="1">
        <f t="array" ref="O8">IF(M8="ALU",INDEX(TMP!A:A,1+BIN2DEC(MID($B8,27,2))),"")</f>
        <v>3</v>
      </c>
      <c r="P8" s="6">
        <f t="shared" si="4"/>
        <v>1</v>
      </c>
      <c r="Q8" t="str">
        <f t="shared" si="5"/>
        <v/>
      </c>
      <c r="R8" t="str">
        <f t="shared" si="7"/>
        <v/>
      </c>
      <c r="S8" t="str" cm="1">
        <f t="array" ref="S8">IF(M8="Control",INDEX(IC!A:A,1+BIN2DEC(MID($B8,21,4))),"")</f>
        <v/>
      </c>
      <c r="T8" t="str" cm="1">
        <f t="array" ref="T8">IF(M8="Control",INDEX(EC!A:A,1+BIN2DEC(MID($B8,25,3))),"")</f>
        <v/>
      </c>
      <c r="U8" t="str" cm="1">
        <f t="array" ref="U8">IF(M8="Control",INDEX(SR!A:A,1+BIN2DEC(MID($B8,28,2))),"")</f>
        <v/>
      </c>
    </row>
    <row r="9" spans="1:30" s="9" customFormat="1" ht="15.75" thickBot="1" x14ac:dyDescent="0.3">
      <c r="A9" s="7" t="str">
        <f t="shared" si="1"/>
        <v>007</v>
      </c>
      <c r="B9" s="8" t="s">
        <v>10</v>
      </c>
      <c r="C9" s="10"/>
      <c r="D9" s="10"/>
      <c r="E9" s="10"/>
      <c r="F9" s="30" t="str" cm="1">
        <f t="array" ref="F9">INDEX(Sources!A:A, 1 + BIN2DEC(LEFT($B9,5)))</f>
        <v>SIGMA</v>
      </c>
      <c r="G9" s="30" t="str" cm="1">
        <f t="array" ref="G9">INDEX(Dest1!A:A,1+BIN2DEC(MID($B9,6,5)))</f>
        <v>OPR</v>
      </c>
      <c r="H9" s="30" t="str" cm="1">
        <f t="array" ref="H9">INDEX(Source2!A:A,1+BIN2DEC(MID($B9,11,4)))</f>
        <v>--</v>
      </c>
      <c r="I9" s="26" cm="1">
        <f t="array" ref="I9">INDEX('D2'!A:A,1+BIN2DEC(MID($B9,16,2)))</f>
        <v>0</v>
      </c>
      <c r="J9" s="11">
        <f t="shared" si="6"/>
        <v>0</v>
      </c>
      <c r="K9" s="11">
        <f t="shared" si="2"/>
        <v>1</v>
      </c>
      <c r="L9" s="11">
        <f t="shared" si="3"/>
        <v>0</v>
      </c>
      <c r="M9" s="10" t="str" cm="1">
        <f t="array" ref="M9">INDEX(Types!A:A,1+BIN2DEC(MID($B9,20,2)))</f>
        <v>Control</v>
      </c>
      <c r="N9" s="10" t="str" cm="1">
        <f t="array" ref="N9">IF(M9="ALU",INDEX(ALUOps!A:A,1+BIN2DEC(MID($B9,22,5))),"")</f>
        <v/>
      </c>
      <c r="O9" s="10" t="str" cm="1">
        <f t="array" ref="O9">IF(M9="ALU",INDEX(TMP!A:A,1+BIN2DEC(MID($B9,27,2))),"")</f>
        <v/>
      </c>
      <c r="P9" s="11" t="str">
        <f t="shared" si="4"/>
        <v/>
      </c>
      <c r="Q9" s="9" t="str">
        <f t="shared" si="5"/>
        <v/>
      </c>
      <c r="R9" s="9" t="str">
        <f t="shared" si="7"/>
        <v/>
      </c>
      <c r="S9" s="9" cm="1">
        <f t="array" ref="S9">IF(M9="Control",INDEX(IC!A:A,1+BIN2DEC(MID($B9,21,4))),"")</f>
        <v>0</v>
      </c>
      <c r="T9" s="9" cm="1">
        <f t="array" ref="T9">IF(M9="Control",INDEX(EC!A:A,1+BIN2DEC(MID($B9,25,3))),"")</f>
        <v>0</v>
      </c>
      <c r="U9" s="9" cm="1">
        <f t="array" ref="U9">IF(M9="Control",INDEX(SR!A:A,1+BIN2DEC(MID($B9,28,2))),"")</f>
        <v>0</v>
      </c>
    </row>
    <row r="10" spans="1:30" x14ac:dyDescent="0.25">
      <c r="A10" s="4" t="str">
        <f t="shared" si="1"/>
        <v>008</v>
      </c>
      <c r="B10" s="2" t="s">
        <v>11</v>
      </c>
      <c r="C10" s="2" t="s">
        <v>12</v>
      </c>
      <c r="D10" s="2" t="s">
        <v>928</v>
      </c>
      <c r="E10" s="2" t="s">
        <v>462</v>
      </c>
      <c r="F10" s="27" t="str" cm="1">
        <f t="array" ref="F10">INDEX(Sources!A:A, 1 + BIN2DEC(LEFT($B10,5)))</f>
        <v>SP</v>
      </c>
      <c r="G10" s="27" t="str" cm="1">
        <f t="array" ref="G10">INDEX(Dest1!A:A,1+BIN2DEC(MID($B10,6,5)))</f>
        <v>UNK26</v>
      </c>
      <c r="H10" s="27" t="str" cm="1">
        <f t="array" ref="H10">INDEX(Source2!A:A,1+BIN2DEC(MID($B10,11,4)))</f>
        <v>--</v>
      </c>
      <c r="I10" s="23" cm="1">
        <f t="array" ref="I10">INDEX('D2'!A:A,1+BIN2DEC(MID($B10,16,2)))</f>
        <v>0</v>
      </c>
      <c r="J10" s="6">
        <f t="shared" si="6"/>
        <v>0</v>
      </c>
      <c r="K10" s="6">
        <f t="shared" si="2"/>
        <v>0</v>
      </c>
      <c r="L10" s="6">
        <f t="shared" si="3"/>
        <v>0</v>
      </c>
      <c r="M10" s="3" t="str" cm="1">
        <f t="array" ref="M10">INDEX(Types!A:A,1+BIN2DEC(MID($B10,20,2)))</f>
        <v>Control</v>
      </c>
      <c r="N10" s="3" t="str" cm="1">
        <f t="array" ref="N10">IF(M10="ALU",INDEX(ALUOps!A:A,1+BIN2DEC(MID($B10,22,5))),"")</f>
        <v/>
      </c>
      <c r="O10" s="3" t="str" cm="1">
        <f t="array" ref="O10">IF(M10="ALU",INDEX(TMP!A:A,1+BIN2DEC(MID($B10,27,2))),"")</f>
        <v/>
      </c>
      <c r="P10" s="6" t="str">
        <f t="shared" si="4"/>
        <v/>
      </c>
      <c r="Q10" t="str">
        <f t="shared" si="5"/>
        <v/>
      </c>
      <c r="R10" t="str">
        <f t="shared" si="7"/>
        <v/>
      </c>
      <c r="S10" cm="1">
        <f t="array" ref="S10">IF(M10="Control",INDEX(IC!A:A,1+BIN2DEC(MID($B10,21,4))),"")</f>
        <v>0</v>
      </c>
      <c r="T10" cm="1">
        <f t="array" ref="T10">IF(M10="Control",INDEX(EC!A:A,1+BIN2DEC(MID($B10,25,3))),"")</f>
        <v>6</v>
      </c>
      <c r="U10" cm="1">
        <f t="array" ref="U10">IF(M10="Control",INDEX(SR!A:A,1+BIN2DEC(MID($B10,28,2))),"")</f>
        <v>1</v>
      </c>
      <c r="X10" t="s">
        <v>972</v>
      </c>
      <c r="AC10" s="1" t="s">
        <v>13</v>
      </c>
      <c r="AD10" s="1" t="s">
        <v>13</v>
      </c>
    </row>
    <row r="11" spans="1:30" x14ac:dyDescent="0.25">
      <c r="A11" s="4" t="str">
        <f t="shared" si="1"/>
        <v>009</v>
      </c>
      <c r="B11" s="2" t="s">
        <v>14</v>
      </c>
      <c r="C11" s="3"/>
      <c r="D11" s="3"/>
      <c r="E11" s="3"/>
      <c r="F11" s="27" t="str" cm="1">
        <f t="array" ref="F11">INDEX(Sources!A:A, 1 + BIN2DEC(LEFT($B11,5)))</f>
        <v>SP</v>
      </c>
      <c r="G11" s="27" t="str" cm="1">
        <f t="array" ref="G11">INDEX(Dest1!A:A,1+BIN2DEC(MID($B11,6,5)))</f>
        <v>TMPA</v>
      </c>
      <c r="H11" s="27" t="str" cm="1">
        <f t="array" ref="H11">INDEX(Source2!A:A,1+BIN2DEC(MID($B11,11,4)))</f>
        <v>--</v>
      </c>
      <c r="I11" s="23" cm="1">
        <f t="array" ref="I11">INDEX('D2'!A:A,1+BIN2DEC(MID($B11,16,2)))</f>
        <v>0</v>
      </c>
      <c r="J11" s="6">
        <f t="shared" si="6"/>
        <v>0</v>
      </c>
      <c r="K11" s="6">
        <f t="shared" si="2"/>
        <v>0</v>
      </c>
      <c r="L11" s="6">
        <f t="shared" si="3"/>
        <v>0</v>
      </c>
      <c r="M11" s="3" t="str" cm="1">
        <f t="array" ref="M11">INDEX(Types!A:A,1+BIN2DEC(MID($B11,20,2)))</f>
        <v>ALU</v>
      </c>
      <c r="N11" s="3" cm="1">
        <f t="array" ref="N11">IF(M11="ALU",INDEX(ALUOps!A:A,1+BIN2DEC(MID($B11,22,5))),"")</f>
        <v>3</v>
      </c>
      <c r="O11" s="3" cm="1">
        <f t="array" ref="O11">IF(M11="ALU",INDEX(TMP!A:A,1+BIN2DEC(MID($B11,27,2))),"")</f>
        <v>2</v>
      </c>
      <c r="P11" s="6">
        <f t="shared" si="4"/>
        <v>1</v>
      </c>
      <c r="Q11" t="str">
        <f t="shared" si="5"/>
        <v/>
      </c>
      <c r="R11" t="str">
        <f t="shared" si="7"/>
        <v/>
      </c>
      <c r="S11" t="str" cm="1">
        <f t="array" ref="S11">IF(M11="Control",INDEX(IC!A:A,1+BIN2DEC(MID($B11,21,4))),"")</f>
        <v/>
      </c>
      <c r="T11" t="str" cm="1">
        <f t="array" ref="T11">IF(M11="Control",INDEX(EC!A:A,1+BIN2DEC(MID($B11,25,3))),"")</f>
        <v/>
      </c>
      <c r="U11" t="str" cm="1">
        <f t="array" ref="U11">IF(M11="Control",INDEX(SR!A:A,1+BIN2DEC(MID($B11,28,2))),"")</f>
        <v/>
      </c>
    </row>
    <row r="12" spans="1:30" x14ac:dyDescent="0.25">
      <c r="A12" s="4" t="str">
        <f t="shared" si="1"/>
        <v>00A</v>
      </c>
      <c r="B12" s="2" t="s">
        <v>15</v>
      </c>
      <c r="C12" s="3"/>
      <c r="D12" s="3"/>
      <c r="E12" s="3"/>
      <c r="F12" s="27" t="str" cm="1">
        <f t="array" ref="F12">INDEX(Sources!A:A, 1 + BIN2DEC(LEFT($B12,5)))</f>
        <v>SIGMA</v>
      </c>
      <c r="G12" s="27" t="str" cm="1">
        <f t="array" ref="G12">INDEX(Dest1!A:A,1+BIN2DEC(MID($B12,6,5)))</f>
        <v>SP</v>
      </c>
      <c r="H12" s="27" t="str" cm="1">
        <f t="array" ref="H12">INDEX(Source2!A:A,1+BIN2DEC(MID($B12,11,4)))</f>
        <v>--</v>
      </c>
      <c r="I12" s="23" cm="1">
        <f t="array" ref="I12">INDEX('D2'!A:A,1+BIN2DEC(MID($B12,16,2)))</f>
        <v>0</v>
      </c>
      <c r="J12" s="6">
        <f t="shared" si="6"/>
        <v>0</v>
      </c>
      <c r="K12" s="6">
        <f t="shared" si="2"/>
        <v>0</v>
      </c>
      <c r="L12" s="6">
        <f t="shared" si="3"/>
        <v>0</v>
      </c>
      <c r="M12" s="3" t="str" cm="1">
        <f t="array" ref="M12">INDEX(Types!A:A,1+BIN2DEC(MID($B12,20,2)))</f>
        <v>Control</v>
      </c>
      <c r="N12" s="3" t="str" cm="1">
        <f t="array" ref="N12">IF(M12="ALU",INDEX(ALUOps!A:A,1+BIN2DEC(MID($B12,22,5))),"")</f>
        <v/>
      </c>
      <c r="O12" s="3" t="str" cm="1">
        <f t="array" ref="O12">IF(M12="ALU",INDEX(TMP!A:A,1+BIN2DEC(MID($B12,27,2))),"")</f>
        <v/>
      </c>
      <c r="P12" s="6" t="str">
        <f t="shared" si="4"/>
        <v/>
      </c>
      <c r="Q12" t="str">
        <f t="shared" si="5"/>
        <v/>
      </c>
      <c r="R12" t="str">
        <f t="shared" si="7"/>
        <v/>
      </c>
      <c r="S12" cm="1">
        <f t="array" ref="S12">IF(M12="Control",INDEX(IC!A:A,1+BIN2DEC(MID($B12,21,4))),"")</f>
        <v>0</v>
      </c>
      <c r="T12" cm="1">
        <f t="array" ref="T12">IF(M12="Control",INDEX(EC!A:A,1+BIN2DEC(MID($B12,25,3))),"")</f>
        <v>0</v>
      </c>
      <c r="U12" cm="1">
        <f t="array" ref="U12">IF(M12="Control",INDEX(SR!A:A,1+BIN2DEC(MID($B12,28,2))),"")</f>
        <v>0</v>
      </c>
    </row>
    <row r="13" spans="1:30" s="9" customFormat="1" ht="15.75" thickBot="1" x14ac:dyDescent="0.3">
      <c r="A13" s="7" t="str">
        <f t="shared" si="1"/>
        <v>00B</v>
      </c>
      <c r="B13" s="8" t="s">
        <v>16</v>
      </c>
      <c r="C13" s="10"/>
      <c r="D13" s="10"/>
      <c r="E13" s="10"/>
      <c r="F13" s="30" t="str" cm="1">
        <f t="array" ref="F13">INDEX(Sources!A:A, 1 + BIN2DEC(LEFT($B13,5)))</f>
        <v>OUT</v>
      </c>
      <c r="G13" s="30" t="str" cm="1">
        <f t="array" ref="G13">INDEX(Dest1!A:A,1+BIN2DEC(MID($B13,6,5)))</f>
        <v>REG</v>
      </c>
      <c r="H13" s="30" t="str" cm="1">
        <f t="array" ref="H13">INDEX(Source2!A:A,1+BIN2DEC(MID($B13,11,4)))</f>
        <v>--</v>
      </c>
      <c r="I13" s="26" cm="1">
        <f t="array" ref="I13">INDEX('D2'!A:A,1+BIN2DEC(MID($B13,16,2)))</f>
        <v>1</v>
      </c>
      <c r="J13" s="11">
        <f t="shared" si="6"/>
        <v>1</v>
      </c>
      <c r="K13" s="11">
        <f t="shared" si="2"/>
        <v>0</v>
      </c>
      <c r="L13" s="11">
        <f t="shared" si="3"/>
        <v>1</v>
      </c>
      <c r="M13" s="10" t="str" cm="1">
        <f t="array" ref="M13">INDEX(Types!A:A,1+BIN2DEC(MID($B13,20,2)))</f>
        <v>Control</v>
      </c>
      <c r="N13" s="10" t="str" cm="1">
        <f t="array" ref="N13">IF(M13="ALU",INDEX(ALUOps!A:A,1+BIN2DEC(MID($B13,22,5))),"")</f>
        <v/>
      </c>
      <c r="O13" s="10" t="str" cm="1">
        <f t="array" ref="O13">IF(M13="ALU",INDEX(TMP!A:A,1+BIN2DEC(MID($B13,27,2))),"")</f>
        <v/>
      </c>
      <c r="P13" s="11" t="str">
        <f t="shared" si="4"/>
        <v/>
      </c>
      <c r="Q13" s="9" t="str">
        <f t="shared" si="5"/>
        <v/>
      </c>
      <c r="R13" s="9" t="str">
        <f t="shared" si="7"/>
        <v/>
      </c>
      <c r="S13" s="9" cm="1">
        <f t="array" ref="S13">IF(M13="Control",INDEX(IC!A:A,1+BIN2DEC(MID($B13,21,4))),"")</f>
        <v>0</v>
      </c>
      <c r="T13" s="9" cm="1">
        <f t="array" ref="T13">IF(M13="Control",INDEX(EC!A:A,1+BIN2DEC(MID($B13,25,3))),"")</f>
        <v>0</v>
      </c>
      <c r="U13" s="9" cm="1">
        <f t="array" ref="U13">IF(M13="Control",INDEX(SR!A:A,1+BIN2DEC(MID($B13,28,2))),"")</f>
        <v>0</v>
      </c>
    </row>
    <row r="14" spans="1:30" x14ac:dyDescent="0.25">
      <c r="A14" s="4" t="str">
        <f t="shared" si="1"/>
        <v>00C</v>
      </c>
      <c r="B14" s="2" t="s">
        <v>17</v>
      </c>
      <c r="C14" s="2" t="s">
        <v>18</v>
      </c>
      <c r="D14" s="2" t="s">
        <v>928</v>
      </c>
      <c r="E14" s="2" t="s">
        <v>462</v>
      </c>
      <c r="F14" s="27" t="str" cm="1">
        <f t="array" ref="F14">INDEX(Sources!A:A, 1 + BIN2DEC(LEFT($B14,5)))</f>
        <v>SP</v>
      </c>
      <c r="G14" s="27" t="str" cm="1">
        <f t="array" ref="G14">INDEX(Dest1!A:A,1+BIN2DEC(MID($B14,6,5)))</f>
        <v>TMPA</v>
      </c>
      <c r="H14" s="27" t="str" cm="1">
        <f t="array" ref="H14">INDEX(Source2!A:A,1+BIN2DEC(MID($B14,11,4)))</f>
        <v>--</v>
      </c>
      <c r="I14" s="23" cm="1">
        <f t="array" ref="I14">INDEX('D2'!A:A,1+BIN2DEC(MID($B14,16,2)))</f>
        <v>0</v>
      </c>
      <c r="J14" s="6">
        <f t="shared" si="6"/>
        <v>0</v>
      </c>
      <c r="K14" s="6">
        <f t="shared" si="2"/>
        <v>0</v>
      </c>
      <c r="L14" s="6">
        <f t="shared" si="3"/>
        <v>0</v>
      </c>
      <c r="M14" s="3" t="str" cm="1">
        <f t="array" ref="M14">INDEX(Types!A:A,1+BIN2DEC(MID($B14,20,2)))</f>
        <v>ALU</v>
      </c>
      <c r="N14" s="3" cm="1">
        <f t="array" ref="N14">IF(M14="ALU",INDEX(ALUOps!A:A,1+BIN2DEC(MID($B14,22,5))),"")</f>
        <v>2</v>
      </c>
      <c r="O14" s="3" cm="1">
        <f t="array" ref="O14">IF(M14="ALU",INDEX(TMP!A:A,1+BIN2DEC(MID($B14,27,2))),"")</f>
        <v>2</v>
      </c>
      <c r="P14" s="6">
        <f t="shared" si="4"/>
        <v>1</v>
      </c>
      <c r="Q14" t="str">
        <f t="shared" si="5"/>
        <v/>
      </c>
      <c r="R14" t="str">
        <f t="shared" si="7"/>
        <v/>
      </c>
      <c r="S14" t="str" cm="1">
        <f t="array" ref="S14">IF(M14="Control",INDEX(IC!A:A,1+BIN2DEC(MID($B14,21,4))),"")</f>
        <v/>
      </c>
      <c r="T14" t="str" cm="1">
        <f t="array" ref="T14">IF(M14="Control",INDEX(EC!A:A,1+BIN2DEC(MID($B14,25,3))),"")</f>
        <v/>
      </c>
      <c r="U14" t="str" cm="1">
        <f t="array" ref="U14">IF(M14="Control",INDEX(SR!A:A,1+BIN2DEC(MID($B14,28,2))),"")</f>
        <v/>
      </c>
      <c r="X14" t="s">
        <v>973</v>
      </c>
      <c r="AC14" s="1" t="s">
        <v>19</v>
      </c>
      <c r="AD14" s="1" t="s">
        <v>19</v>
      </c>
    </row>
    <row r="15" spans="1:30" x14ac:dyDescent="0.25">
      <c r="A15" s="4" t="str">
        <f t="shared" si="1"/>
        <v>00D</v>
      </c>
      <c r="B15" s="2" t="s">
        <v>20</v>
      </c>
      <c r="C15" s="3"/>
      <c r="D15" s="3"/>
      <c r="E15" s="3"/>
      <c r="F15" s="27" t="str" cm="1">
        <f t="array" ref="F15">INDEX(Sources!A:A, 1 + BIN2DEC(LEFT($B15,5)))</f>
        <v>REG</v>
      </c>
      <c r="G15" s="27" t="str" cm="1">
        <f t="array" ref="G15">INDEX(Dest1!A:A,1+BIN2DEC(MID($B15,6,5)))</f>
        <v>OUT</v>
      </c>
      <c r="H15" s="27" t="str" cm="1">
        <f t="array" ref="H15">INDEX(Source2!A:A,1+BIN2DEC(MID($B15,11,4)))</f>
        <v>11</v>
      </c>
      <c r="I15" s="23" t="str" cm="1">
        <f t="array" ref="I15">INDEX('D2'!A:A,1+BIN2DEC(MID($B15,16,2)))</f>
        <v>TMPB</v>
      </c>
      <c r="J15" s="6">
        <f t="shared" si="6"/>
        <v>0</v>
      </c>
      <c r="K15" s="6">
        <f t="shared" si="2"/>
        <v>0</v>
      </c>
      <c r="L15" s="6">
        <f t="shared" si="3"/>
        <v>0</v>
      </c>
      <c r="M15" s="3" t="str" cm="1">
        <f t="array" ref="M15">INDEX(Types!A:A,1+BIN2DEC(MID($B15,20,2)))</f>
        <v>Control</v>
      </c>
      <c r="N15" s="3" t="str" cm="1">
        <f t="array" ref="N15">IF(M15="ALU",INDEX(ALUOps!A:A,1+BIN2DEC(MID($B15,22,5))),"")</f>
        <v/>
      </c>
      <c r="O15" s="3" t="str" cm="1">
        <f t="array" ref="O15">IF(M15="ALU",INDEX(TMP!A:A,1+BIN2DEC(MID($B15,27,2))),"")</f>
        <v/>
      </c>
      <c r="P15" s="6" t="str">
        <f t="shared" si="4"/>
        <v/>
      </c>
      <c r="Q15" t="str">
        <f t="shared" si="5"/>
        <v/>
      </c>
      <c r="R15" t="str">
        <f t="shared" si="7"/>
        <v/>
      </c>
      <c r="S15" cm="1">
        <f t="array" ref="S15">IF(M15="Control",INDEX(IC!A:A,1+BIN2DEC(MID($B15,21,4))),"")</f>
        <v>0</v>
      </c>
      <c r="T15" cm="1">
        <f t="array" ref="T15">IF(M15="Control",INDEX(EC!A:A,1+BIN2DEC(MID($B15,25,3))),"")</f>
        <v>5</v>
      </c>
      <c r="U15" cm="1">
        <f t="array" ref="U15">IF(M15="Control",INDEX(SR!A:A,1+BIN2DEC(MID($B15,28,2))),"")</f>
        <v>1</v>
      </c>
    </row>
    <row r="16" spans="1:30" x14ac:dyDescent="0.25">
      <c r="A16" s="4" t="str">
        <f t="shared" si="1"/>
        <v>00E</v>
      </c>
      <c r="B16" s="2" t="s">
        <v>21</v>
      </c>
      <c r="C16" s="3"/>
      <c r="D16" s="3"/>
      <c r="E16" s="3"/>
      <c r="F16" s="27" t="str" cm="1">
        <f t="array" ref="F16">INDEX(Sources!A:A, 1 + BIN2DEC(LEFT($B16,5)))</f>
        <v>SIGMA</v>
      </c>
      <c r="G16" s="27" t="str" cm="1">
        <f t="array" ref="G16">INDEX(Dest1!A:A,1+BIN2DEC(MID($B16,6,5)))</f>
        <v>SP</v>
      </c>
      <c r="H16" s="27" t="str" cm="1">
        <f t="array" ref="H16">INDEX(Source2!A:A,1+BIN2DEC(MID($B16,11,4)))</f>
        <v>--</v>
      </c>
      <c r="I16" s="23" cm="1">
        <f t="array" ref="I16">INDEX('D2'!A:A,1+BIN2DEC(MID($B16,16,2)))</f>
        <v>0</v>
      </c>
      <c r="J16" s="6">
        <f t="shared" si="6"/>
        <v>0</v>
      </c>
      <c r="K16" s="6">
        <f t="shared" si="2"/>
        <v>0</v>
      </c>
      <c r="L16" s="6">
        <f t="shared" si="3"/>
        <v>1</v>
      </c>
      <c r="M16" s="3" t="str" cm="1">
        <f t="array" ref="M16">INDEX(Types!A:A,1+BIN2DEC(MID($B16,20,2)))</f>
        <v>Control</v>
      </c>
      <c r="N16" s="3" t="str" cm="1">
        <f t="array" ref="N16">IF(M16="ALU",INDEX(ALUOps!A:A,1+BIN2DEC(MID($B16,22,5))),"")</f>
        <v/>
      </c>
      <c r="O16" s="3" t="str" cm="1">
        <f t="array" ref="O16">IF(M16="ALU",INDEX(TMP!A:A,1+BIN2DEC(MID($B16,27,2))),"")</f>
        <v/>
      </c>
      <c r="P16" s="6" t="str">
        <f t="shared" si="4"/>
        <v/>
      </c>
      <c r="Q16" t="str">
        <f t="shared" si="5"/>
        <v/>
      </c>
      <c r="R16" t="str">
        <f t="shared" si="7"/>
        <v/>
      </c>
      <c r="S16" cm="1">
        <f t="array" ref="S16">IF(M16="Control",INDEX(IC!A:A,1+BIN2DEC(MID($B16,21,4))),"")</f>
        <v>0</v>
      </c>
      <c r="T16" cm="1">
        <f t="array" ref="T16">IF(M16="Control",INDEX(EC!A:A,1+BIN2DEC(MID($B16,25,3))),"")</f>
        <v>0</v>
      </c>
      <c r="U16" cm="1">
        <f t="array" ref="U16">IF(M16="Control",INDEX(SR!A:A,1+BIN2DEC(MID($B16,28,2))),"")</f>
        <v>0</v>
      </c>
    </row>
    <row r="17" spans="1:30" s="20" customFormat="1" ht="15.75" thickBot="1" x14ac:dyDescent="0.3">
      <c r="A17" s="17" t="str">
        <f t="shared" si="1"/>
        <v>00F</v>
      </c>
      <c r="B17" s="18" t="s">
        <v>4</v>
      </c>
      <c r="C17" s="19"/>
      <c r="D17" s="19"/>
      <c r="E17" s="19"/>
      <c r="F17" s="29"/>
      <c r="G17" s="29" t="str" cm="1">
        <f t="array" ref="G17">INDEX(Dest1!A:A,1+BIN2DEC(MID($B17,6,5)))</f>
        <v>--</v>
      </c>
      <c r="H17" s="29" t="str" cm="1">
        <f t="array" ref="H17">INDEX(Source2!A:A,1+BIN2DEC(MID($B17,11,4)))</f>
        <v>--</v>
      </c>
      <c r="I17" s="25"/>
      <c r="J17" s="21"/>
      <c r="K17" s="21"/>
      <c r="L17" s="21"/>
      <c r="M17" s="19"/>
      <c r="N17" s="19" t="str" cm="1">
        <f t="array" ref="N17">IF(M17="ALU",INDEX(ALUOps!A:A,1+BIN2DEC(MID($B17,22,5))),"")</f>
        <v/>
      </c>
      <c r="O17" s="19" t="str" cm="1">
        <f t="array" ref="O17">IF(M17="ALU",INDEX(TMP!A:A,1+BIN2DEC(MID($B17,27,2))),"")</f>
        <v/>
      </c>
      <c r="P17" s="21" t="str">
        <f t="shared" si="4"/>
        <v/>
      </c>
      <c r="Q17" s="20" t="str">
        <f t="shared" si="5"/>
        <v/>
      </c>
      <c r="R17" s="20" t="str">
        <f t="shared" si="7"/>
        <v/>
      </c>
      <c r="S17" s="20" t="str" cm="1">
        <f t="array" ref="S17">IF(M17="Control",INDEX(IC!A:A,1+BIN2DEC(MID($B17,21,4))),"")</f>
        <v/>
      </c>
      <c r="T17" s="20" t="str" cm="1">
        <f t="array" ref="T17">IF(M17="Control",INDEX(EC!A:A,1+BIN2DEC(MID($B17,25,3))),"")</f>
        <v/>
      </c>
      <c r="U17" s="20" t="str" cm="1">
        <f t="array" ref="U17">IF(M17="Control",INDEX(SR!A:A,1+BIN2DEC(MID($B17,28,2))),"")</f>
        <v/>
      </c>
    </row>
    <row r="18" spans="1:30" x14ac:dyDescent="0.25">
      <c r="A18" s="4" t="str">
        <f t="shared" si="1"/>
        <v>010</v>
      </c>
      <c r="B18" s="2" t="s">
        <v>22</v>
      </c>
      <c r="C18" s="2" t="s">
        <v>23</v>
      </c>
      <c r="D18" s="2" t="s">
        <v>928</v>
      </c>
      <c r="E18" s="2" t="s">
        <v>462</v>
      </c>
      <c r="F18" s="27" t="str" cm="1">
        <f t="array" ref="F18">INDEX(Sources!A:A, 1 + BIN2DEC(LEFT($B18,5)))</f>
        <v>A</v>
      </c>
      <c r="G18" s="27" t="str" cm="1">
        <f t="array" ref="G18">INDEX(Dest1!A:A,1+BIN2DEC(MID($B18,6,5)))</f>
        <v>UNK10</v>
      </c>
      <c r="H18" s="27" t="str" cm="1">
        <f t="array" ref="H18">INDEX(Source2!A:A,1+BIN2DEC(MID($B18,11,4)))</f>
        <v>--</v>
      </c>
      <c r="I18" s="23" cm="1">
        <f t="array" ref="I18">INDEX('D2'!A:A,1+BIN2DEC(MID($B18,16,2)))</f>
        <v>0</v>
      </c>
      <c r="J18" s="6">
        <f t="shared" si="6"/>
        <v>0</v>
      </c>
      <c r="K18" s="6">
        <f t="shared" si="2"/>
        <v>0</v>
      </c>
      <c r="L18" s="6">
        <f t="shared" si="3"/>
        <v>0</v>
      </c>
      <c r="M18" s="3" t="str" cm="1">
        <f t="array" ref="M18">INDEX(Types!A:A,1+BIN2DEC(MID($B18,20,2)))</f>
        <v>ALU</v>
      </c>
      <c r="N18" s="3" cm="1">
        <f t="array" ref="N18">IF(M18="ALU",INDEX(ALUOps!A:A,1+BIN2DEC(MID($B18,22,5))),"")</f>
        <v>11</v>
      </c>
      <c r="O18" s="3" cm="1">
        <f t="array" ref="O18">IF(M18="ALU",INDEX(TMP!A:A,1+BIN2DEC(MID($B18,27,2))),"")</f>
        <v>2</v>
      </c>
      <c r="P18" s="6">
        <f t="shared" si="4"/>
        <v>1</v>
      </c>
      <c r="Q18" t="str">
        <f t="shared" si="5"/>
        <v/>
      </c>
      <c r="R18" t="str">
        <f t="shared" si="7"/>
        <v/>
      </c>
      <c r="S18" t="str" cm="1">
        <f t="array" ref="S18">IF(M18="Control",INDEX(IC!A:A,1+BIN2DEC(MID($B18,21,4))),"")</f>
        <v/>
      </c>
      <c r="T18" t="str" cm="1">
        <f t="array" ref="T18">IF(M18="Control",INDEX(EC!A:A,1+BIN2DEC(MID($B18,25,3))),"")</f>
        <v/>
      </c>
      <c r="U18" t="str" cm="1">
        <f t="array" ref="U18">IF(M18="Control",INDEX(SR!A:A,1+BIN2DEC(MID($B18,28,2))),"")</f>
        <v/>
      </c>
      <c r="X18" t="s">
        <v>974</v>
      </c>
      <c r="AC18" s="1" t="s">
        <v>24</v>
      </c>
      <c r="AD18" s="1" t="s">
        <v>24</v>
      </c>
    </row>
    <row r="19" spans="1:30" x14ac:dyDescent="0.25">
      <c r="A19" s="4" t="str">
        <f t="shared" si="1"/>
        <v>011</v>
      </c>
      <c r="B19" s="2" t="s">
        <v>25</v>
      </c>
      <c r="C19" s="3"/>
      <c r="D19" s="3"/>
      <c r="E19" s="3"/>
      <c r="F19" s="27" t="str" cm="1">
        <f t="array" ref="F19">INDEX(Sources!A:A, 1 + BIN2DEC(LEFT($B19,5)))</f>
        <v>UNK10</v>
      </c>
      <c r="G19" s="27" t="str" cm="1">
        <f t="array" ref="G19">INDEX(Dest1!A:A,1+BIN2DEC(MID($B19,6,5)))</f>
        <v>TMPB</v>
      </c>
      <c r="H19" s="27" t="str" cm="1">
        <f t="array" ref="H19">INDEX(Source2!A:A,1+BIN2DEC(MID($B19,11,4)))</f>
        <v>--</v>
      </c>
      <c r="I19" s="23" cm="1">
        <f t="array" ref="I19">INDEX('D2'!A:A,1+BIN2DEC(MID($B19,16,2)))</f>
        <v>0</v>
      </c>
      <c r="J19" s="6">
        <f t="shared" si="6"/>
        <v>0</v>
      </c>
      <c r="K19" s="6">
        <f t="shared" si="2"/>
        <v>0</v>
      </c>
      <c r="L19" s="6">
        <f t="shared" si="3"/>
        <v>1</v>
      </c>
      <c r="M19" s="3" t="str" cm="1">
        <f t="array" ref="M19">INDEX(Types!A:A,1+BIN2DEC(MID($B19,20,2)))</f>
        <v>ALU</v>
      </c>
      <c r="N19" s="3" cm="1">
        <f t="array" ref="N19">IF(M19="ALU",INDEX(ALUOps!A:A,1+BIN2DEC(MID($B19,22,5))),"")</f>
        <v>31</v>
      </c>
      <c r="O19" s="3" cm="1">
        <f t="array" ref="O19">IF(M19="ALU",INDEX(TMP!A:A,1+BIN2DEC(MID($B19,27,2))),"")</f>
        <v>3</v>
      </c>
      <c r="P19" s="6">
        <f t="shared" si="4"/>
        <v>1</v>
      </c>
      <c r="Q19" t="str">
        <f t="shared" si="5"/>
        <v/>
      </c>
      <c r="R19" t="str">
        <f t="shared" si="7"/>
        <v/>
      </c>
      <c r="S19" t="str" cm="1">
        <f t="array" ref="S19">IF(M19="Control",INDEX(IC!A:A,1+BIN2DEC(MID($B19,21,4))),"")</f>
        <v/>
      </c>
      <c r="T19" t="str" cm="1">
        <f t="array" ref="T19">IF(M19="Control",INDEX(EC!A:A,1+BIN2DEC(MID($B19,25,3))),"")</f>
        <v/>
      </c>
      <c r="U19" t="str" cm="1">
        <f t="array" ref="U19">IF(M19="Control",INDEX(SR!A:A,1+BIN2DEC(MID($B19,28,2))),"")</f>
        <v/>
      </c>
    </row>
    <row r="20" spans="1:30" x14ac:dyDescent="0.25">
      <c r="A20" s="4" t="str">
        <f t="shared" si="1"/>
        <v>012</v>
      </c>
      <c r="B20" s="2" t="s">
        <v>26</v>
      </c>
      <c r="C20" s="3"/>
      <c r="D20" s="3"/>
      <c r="E20" s="3"/>
      <c r="F20" s="27" t="str" cm="1">
        <f t="array" ref="F20">INDEX(Sources!A:A, 1 + BIN2DEC(LEFT($B20,5)))</f>
        <v>SIGMA</v>
      </c>
      <c r="G20" s="27" t="str" cm="1">
        <f t="array" ref="G20">INDEX(Dest1!A:A,1+BIN2DEC(MID($B20,6,5)))</f>
        <v>UNK23</v>
      </c>
      <c r="H20" s="27" t="str" cm="1">
        <f t="array" ref="H20">INDEX(Source2!A:A,1+BIN2DEC(MID($B20,11,4)))</f>
        <v>11</v>
      </c>
      <c r="I20" s="23" cm="1">
        <f t="array" ref="I20">INDEX('D2'!A:A,1+BIN2DEC(MID($B20,16,2)))</f>
        <v>0</v>
      </c>
      <c r="J20" s="6">
        <f t="shared" si="6"/>
        <v>0</v>
      </c>
      <c r="K20" s="6">
        <f t="shared" si="2"/>
        <v>1</v>
      </c>
      <c r="L20" s="6">
        <f t="shared" si="3"/>
        <v>0</v>
      </c>
      <c r="M20" s="3" t="str" cm="1">
        <f t="array" ref="M20">INDEX(Types!A:A,1+BIN2DEC(MID($B20,20,2)))</f>
        <v>Control</v>
      </c>
      <c r="N20" s="3" t="str" cm="1">
        <f t="array" ref="N20">IF(M20="ALU",INDEX(ALUOps!A:A,1+BIN2DEC(MID($B20,22,5))),"")</f>
        <v/>
      </c>
      <c r="O20" s="3" t="str" cm="1">
        <f t="array" ref="O20">IF(M20="ALU",INDEX(TMP!A:A,1+BIN2DEC(MID($B20,27,2))),"")</f>
        <v/>
      </c>
      <c r="P20" s="6" t="str">
        <f t="shared" si="4"/>
        <v/>
      </c>
      <c r="Q20" t="str">
        <f t="shared" si="5"/>
        <v/>
      </c>
      <c r="R20" t="str">
        <f t="shared" si="7"/>
        <v/>
      </c>
      <c r="S20" cm="1">
        <f t="array" ref="S20">IF(M20="Control",INDEX(IC!A:A,1+BIN2DEC(MID($B20,21,4))),"")</f>
        <v>0</v>
      </c>
      <c r="T20" cm="1">
        <f t="array" ref="T20">IF(M20="Control",INDEX(EC!A:A,1+BIN2DEC(MID($B20,25,3))),"")</f>
        <v>0</v>
      </c>
      <c r="U20" cm="1">
        <f t="array" ref="U20">IF(M20="Control",INDEX(SR!A:A,1+BIN2DEC(MID($B20,28,2))),"")</f>
        <v>0</v>
      </c>
    </row>
    <row r="21" spans="1:30" s="20" customFormat="1" ht="15.75" thickBot="1" x14ac:dyDescent="0.3">
      <c r="A21" s="17" t="str">
        <f t="shared" si="1"/>
        <v>013</v>
      </c>
      <c r="B21" s="18" t="s">
        <v>4</v>
      </c>
      <c r="C21" s="19"/>
      <c r="D21" s="19"/>
      <c r="E21" s="19"/>
      <c r="F21" s="29"/>
      <c r="G21" s="29" t="str" cm="1">
        <f t="array" ref="G21">INDEX(Dest1!A:A,1+BIN2DEC(MID($B21,6,5)))</f>
        <v>--</v>
      </c>
      <c r="H21" s="29" t="str" cm="1">
        <f t="array" ref="H21">INDEX(Source2!A:A,1+BIN2DEC(MID($B21,11,4)))</f>
        <v>--</v>
      </c>
      <c r="I21" s="25"/>
      <c r="J21" s="21"/>
      <c r="K21" s="21"/>
      <c r="L21" s="21"/>
      <c r="M21" s="19"/>
      <c r="N21" s="19" t="str" cm="1">
        <f t="array" ref="N21">IF(M21="ALU",INDEX(ALUOps!A:A,1+BIN2DEC(MID($B21,22,5))),"")</f>
        <v/>
      </c>
      <c r="O21" s="19" t="str" cm="1">
        <f t="array" ref="O21">IF(M21="ALU",INDEX(TMP!A:A,1+BIN2DEC(MID($B21,27,2))),"")</f>
        <v/>
      </c>
      <c r="P21" s="21" t="str">
        <f t="shared" si="4"/>
        <v/>
      </c>
      <c r="Q21" s="20" t="str">
        <f t="shared" si="5"/>
        <v/>
      </c>
      <c r="R21" s="20" t="str">
        <f t="shared" si="7"/>
        <v/>
      </c>
      <c r="S21" s="20" t="str" cm="1">
        <f t="array" ref="S21">IF(M21="Control",INDEX(IC!A:A,1+BIN2DEC(MID($B21,21,4))),"")</f>
        <v/>
      </c>
      <c r="T21" s="20" t="str" cm="1">
        <f t="array" ref="T21">IF(M21="Control",INDEX(EC!A:A,1+BIN2DEC(MID($B21,25,3))),"")</f>
        <v/>
      </c>
      <c r="U21" s="20" t="str" cm="1">
        <f t="array" ref="U21">IF(M21="Control",INDEX(SR!A:A,1+BIN2DEC(MID($B21,28,2))),"")</f>
        <v/>
      </c>
    </row>
    <row r="22" spans="1:30" x14ac:dyDescent="0.25">
      <c r="A22" s="4" t="str">
        <f t="shared" si="1"/>
        <v>014</v>
      </c>
      <c r="B22" s="2" t="s">
        <v>22</v>
      </c>
      <c r="C22" s="2" t="s">
        <v>27</v>
      </c>
      <c r="D22" s="2" t="s">
        <v>928</v>
      </c>
      <c r="E22" s="2" t="s">
        <v>462</v>
      </c>
      <c r="F22" s="27" t="str" cm="1">
        <f t="array" ref="F22">INDEX(Sources!A:A, 1 + BIN2DEC(LEFT($B22,5)))</f>
        <v>A</v>
      </c>
      <c r="G22" s="27" t="str" cm="1">
        <f t="array" ref="G22">INDEX(Dest1!A:A,1+BIN2DEC(MID($B22,6,5)))</f>
        <v>UNK10</v>
      </c>
      <c r="H22" s="27" t="str" cm="1">
        <f t="array" ref="H22">INDEX(Source2!A:A,1+BIN2DEC(MID($B22,11,4)))</f>
        <v>--</v>
      </c>
      <c r="I22" s="23" cm="1">
        <f t="array" ref="I22">INDEX('D2'!A:A,1+BIN2DEC(MID($B22,16,2)))</f>
        <v>0</v>
      </c>
      <c r="J22" s="6">
        <f t="shared" si="6"/>
        <v>0</v>
      </c>
      <c r="K22" s="6">
        <f t="shared" si="2"/>
        <v>0</v>
      </c>
      <c r="L22" s="6">
        <f t="shared" si="3"/>
        <v>0</v>
      </c>
      <c r="M22" s="3" t="str" cm="1">
        <f t="array" ref="M22">INDEX(Types!A:A,1+BIN2DEC(MID($B22,20,2)))</f>
        <v>ALU</v>
      </c>
      <c r="N22" s="3" cm="1">
        <f t="array" ref="N22">IF(M22="ALU",INDEX(ALUOps!A:A,1+BIN2DEC(MID($B22,22,5))),"")</f>
        <v>11</v>
      </c>
      <c r="O22" s="3" cm="1">
        <f t="array" ref="O22">IF(M22="ALU",INDEX(TMP!A:A,1+BIN2DEC(MID($B22,27,2))),"")</f>
        <v>2</v>
      </c>
      <c r="P22" s="6">
        <f t="shared" si="4"/>
        <v>1</v>
      </c>
      <c r="Q22" t="str">
        <f t="shared" si="5"/>
        <v/>
      </c>
      <c r="R22" t="str">
        <f t="shared" si="7"/>
        <v/>
      </c>
      <c r="S22" t="str" cm="1">
        <f t="array" ref="S22">IF(M22="Control",INDEX(IC!A:A,1+BIN2DEC(MID($B22,21,4))),"")</f>
        <v/>
      </c>
      <c r="T22" t="str" cm="1">
        <f t="array" ref="T22">IF(M22="Control",INDEX(EC!A:A,1+BIN2DEC(MID($B22,25,3))),"")</f>
        <v/>
      </c>
      <c r="U22" t="str" cm="1">
        <f t="array" ref="U22">IF(M22="Control",INDEX(SR!A:A,1+BIN2DEC(MID($B22,28,2))),"")</f>
        <v/>
      </c>
      <c r="X22" t="s">
        <v>975</v>
      </c>
      <c r="AC22" s="1" t="s">
        <v>28</v>
      </c>
      <c r="AD22" s="1" t="s">
        <v>28</v>
      </c>
    </row>
    <row r="23" spans="1:30" x14ac:dyDescent="0.25">
      <c r="A23" s="4" t="str">
        <f t="shared" si="1"/>
        <v>015</v>
      </c>
      <c r="B23" s="2" t="s">
        <v>29</v>
      </c>
      <c r="C23" s="3"/>
      <c r="D23" s="3"/>
      <c r="E23" s="3"/>
      <c r="F23" s="27" t="str" cm="1">
        <f t="array" ref="F23">INDEX(Sources!A:A, 1 + BIN2DEC(LEFT($B23,5)))</f>
        <v>UNK10</v>
      </c>
      <c r="G23" s="27" t="str" cm="1">
        <f t="array" ref="G23">INDEX(Dest1!A:A,1+BIN2DEC(MID($B23,6,5)))</f>
        <v>TMPB</v>
      </c>
      <c r="H23" s="27" t="str" cm="1">
        <f t="array" ref="H23">INDEX(Source2!A:A,1+BIN2DEC(MID($B23,11,4)))</f>
        <v>--</v>
      </c>
      <c r="I23" s="23" cm="1">
        <f t="array" ref="I23">INDEX('D2'!A:A,1+BIN2DEC(MID($B23,16,2)))</f>
        <v>0</v>
      </c>
      <c r="J23" s="6">
        <f t="shared" si="6"/>
        <v>0</v>
      </c>
      <c r="K23" s="6">
        <f t="shared" si="2"/>
        <v>0</v>
      </c>
      <c r="L23" s="6">
        <f t="shared" si="3"/>
        <v>1</v>
      </c>
      <c r="M23" s="3" t="str" cm="1">
        <f t="array" ref="M23">INDEX(Types!A:A,1+BIN2DEC(MID($B23,20,2)))</f>
        <v>ALU</v>
      </c>
      <c r="N23" s="3" cm="1">
        <f t="array" ref="N23">IF(M23="ALU",INDEX(ALUOps!A:A,1+BIN2DEC(MID($B23,22,5))),"")</f>
        <v>26</v>
      </c>
      <c r="O23" s="3" cm="1">
        <f t="array" ref="O23">IF(M23="ALU",INDEX(TMP!A:A,1+BIN2DEC(MID($B23,27,2))),"")</f>
        <v>3</v>
      </c>
      <c r="P23" s="6">
        <f t="shared" si="4"/>
        <v>1</v>
      </c>
      <c r="Q23" t="str">
        <f t="shared" si="5"/>
        <v/>
      </c>
      <c r="R23" t="str">
        <f t="shared" si="7"/>
        <v/>
      </c>
      <c r="S23" t="str" cm="1">
        <f t="array" ref="S23">IF(M23="Control",INDEX(IC!A:A,1+BIN2DEC(MID($B23,21,4))),"")</f>
        <v/>
      </c>
      <c r="T23" t="str" cm="1">
        <f t="array" ref="T23">IF(M23="Control",INDEX(EC!A:A,1+BIN2DEC(MID($B23,25,3))),"")</f>
        <v/>
      </c>
      <c r="U23" t="str" cm="1">
        <f t="array" ref="U23">IF(M23="Control",INDEX(SR!A:A,1+BIN2DEC(MID($B23,28,2))),"")</f>
        <v/>
      </c>
    </row>
    <row r="24" spans="1:30" ht="15.75" customHeight="1" x14ac:dyDescent="0.25">
      <c r="A24" s="4" t="str">
        <f t="shared" si="1"/>
        <v>016</v>
      </c>
      <c r="B24" s="2" t="s">
        <v>26</v>
      </c>
      <c r="C24" s="3"/>
      <c r="D24" s="3"/>
      <c r="E24" s="3"/>
      <c r="F24" s="27" t="str" cm="1">
        <f t="array" ref="F24">INDEX(Sources!A:A, 1 + BIN2DEC(LEFT($B24,5)))</f>
        <v>SIGMA</v>
      </c>
      <c r="G24" s="27" t="str" cm="1">
        <f t="array" ref="G24">INDEX(Dest1!A:A,1+BIN2DEC(MID($B24,6,5)))</f>
        <v>UNK23</v>
      </c>
      <c r="H24" s="27" t="str" cm="1">
        <f t="array" ref="H24">INDEX(Source2!A:A,1+BIN2DEC(MID($B24,11,4)))</f>
        <v>11</v>
      </c>
      <c r="I24" s="23" cm="1">
        <f t="array" ref="I24">INDEX('D2'!A:A,1+BIN2DEC(MID($B24,16,2)))</f>
        <v>0</v>
      </c>
      <c r="J24" s="6">
        <f t="shared" si="6"/>
        <v>0</v>
      </c>
      <c r="K24" s="6">
        <f t="shared" si="2"/>
        <v>1</v>
      </c>
      <c r="L24" s="6">
        <f t="shared" si="3"/>
        <v>0</v>
      </c>
      <c r="M24" s="3" t="str" cm="1">
        <f t="array" ref="M24">INDEX(Types!A:A,1+BIN2DEC(MID($B24,20,2)))</f>
        <v>Control</v>
      </c>
      <c r="N24" s="3" t="str" cm="1">
        <f t="array" ref="N24">IF(M24="ALU",INDEX(ALUOps!A:A,1+BIN2DEC(MID($B24,22,5))),"")</f>
        <v/>
      </c>
      <c r="O24" s="3" t="str" cm="1">
        <f t="array" ref="O24">IF(M24="ALU",INDEX(TMP!A:A,1+BIN2DEC(MID($B24,27,2))),"")</f>
        <v/>
      </c>
      <c r="P24" s="6" t="str">
        <f t="shared" si="4"/>
        <v/>
      </c>
      <c r="Q24" t="str">
        <f t="shared" si="5"/>
        <v/>
      </c>
      <c r="R24" t="str">
        <f t="shared" si="7"/>
        <v/>
      </c>
      <c r="S24" cm="1">
        <f t="array" ref="S24">IF(M24="Control",INDEX(IC!A:A,1+BIN2DEC(MID($B24,21,4))),"")</f>
        <v>0</v>
      </c>
      <c r="T24" cm="1">
        <f t="array" ref="T24">IF(M24="Control",INDEX(EC!A:A,1+BIN2DEC(MID($B24,25,3))),"")</f>
        <v>0</v>
      </c>
      <c r="U24" cm="1">
        <f t="array" ref="U24">IF(M24="Control",INDEX(SR!A:A,1+BIN2DEC(MID($B24,28,2))),"")</f>
        <v>0</v>
      </c>
    </row>
    <row r="25" spans="1:30" s="20" customFormat="1" ht="15.75" thickBot="1" x14ac:dyDescent="0.3">
      <c r="A25" s="17" t="str">
        <f t="shared" si="1"/>
        <v>017</v>
      </c>
      <c r="B25" s="18" t="s">
        <v>4</v>
      </c>
      <c r="C25" s="19"/>
      <c r="D25" s="19"/>
      <c r="E25" s="19"/>
      <c r="F25" s="29"/>
      <c r="G25" s="29" t="str" cm="1">
        <f t="array" ref="G25">INDEX(Dest1!A:A,1+BIN2DEC(MID($B25,6,5)))</f>
        <v>--</v>
      </c>
      <c r="H25" s="29" t="str" cm="1">
        <f t="array" ref="H25">INDEX(Source2!A:A,1+BIN2DEC(MID($B25,11,4)))</f>
        <v>--</v>
      </c>
      <c r="I25" s="25"/>
      <c r="J25" s="21"/>
      <c r="K25" s="21"/>
      <c r="L25" s="21"/>
      <c r="M25" s="19"/>
      <c r="N25" s="19" t="str" cm="1">
        <f t="array" ref="N25">IF(M25="ALU",INDEX(ALUOps!A:A,1+BIN2DEC(MID($B25,22,5))),"")</f>
        <v/>
      </c>
      <c r="O25" s="19" t="str" cm="1">
        <f t="array" ref="O25">IF(M25="ALU",INDEX(TMP!A:A,1+BIN2DEC(MID($B25,27,2))),"")</f>
        <v/>
      </c>
      <c r="P25" s="21" t="str">
        <f t="shared" si="4"/>
        <v/>
      </c>
      <c r="Q25" s="20" t="str">
        <f t="shared" si="5"/>
        <v/>
      </c>
      <c r="R25" s="20" t="str">
        <f t="shared" si="7"/>
        <v/>
      </c>
      <c r="S25" s="20" t="str" cm="1">
        <f t="array" ref="S25">IF(M25="Control",INDEX(IC!A:A,1+BIN2DEC(MID($B25,21,4))),"")</f>
        <v/>
      </c>
      <c r="T25" s="20" t="str" cm="1">
        <f t="array" ref="T25">IF(M25="Control",INDEX(EC!A:A,1+BIN2DEC(MID($B25,25,3))),"")</f>
        <v/>
      </c>
      <c r="U25" s="20" t="str" cm="1">
        <f t="array" ref="U25">IF(M25="Control",INDEX(SR!A:A,1+BIN2DEC(MID($B25,28,2))),"")</f>
        <v/>
      </c>
    </row>
    <row r="26" spans="1:30" x14ac:dyDescent="0.25">
      <c r="A26" s="4" t="str">
        <f t="shared" si="1"/>
        <v>018</v>
      </c>
      <c r="B26" s="2" t="s">
        <v>30</v>
      </c>
      <c r="C26" s="2" t="s">
        <v>31</v>
      </c>
      <c r="D26" s="2" t="s">
        <v>928</v>
      </c>
      <c r="E26" s="2" t="s">
        <v>462</v>
      </c>
      <c r="F26" s="27" t="str" cm="1">
        <f t="array" ref="F26">INDEX(Sources!A:A, 1 + BIN2DEC(LEFT($B26,5)))</f>
        <v>A</v>
      </c>
      <c r="G26" s="27" t="str" cm="1">
        <f t="array" ref="G26">INDEX(Dest1!A:A,1+BIN2DEC(MID($B26,6,5)))</f>
        <v>UNK10</v>
      </c>
      <c r="H26" s="27" t="str" cm="1">
        <f t="array" ref="H26">INDEX(Source2!A:A,1+BIN2DEC(MID($B26,11,4)))</f>
        <v>--</v>
      </c>
      <c r="I26" s="23" cm="1">
        <f t="array" ref="I26">INDEX('D2'!A:A,1+BIN2DEC(MID($B26,16,2)))</f>
        <v>0</v>
      </c>
      <c r="J26" s="6">
        <f t="shared" si="6"/>
        <v>0</v>
      </c>
      <c r="K26" s="6">
        <f t="shared" si="2"/>
        <v>0</v>
      </c>
      <c r="L26" s="6">
        <f t="shared" si="3"/>
        <v>0</v>
      </c>
      <c r="M26" s="3" t="str" cm="1">
        <f t="array" ref="M26">INDEX(Types!A:A,1+BIN2DEC(MID($B26,20,2)))</f>
        <v>ALU</v>
      </c>
      <c r="N26" s="3" cm="1">
        <f t="array" ref="N26">IF(M26="ALU",INDEX(ALUOps!A:A,1+BIN2DEC(MID($B26,22,5))),"")</f>
        <v>10</v>
      </c>
      <c r="O26" s="3" cm="1">
        <f t="array" ref="O26">IF(M26="ALU",INDEX(TMP!A:A,1+BIN2DEC(MID($B26,27,2))),"")</f>
        <v>2</v>
      </c>
      <c r="P26" s="6">
        <f t="shared" si="4"/>
        <v>1</v>
      </c>
      <c r="Q26" t="str">
        <f t="shared" si="5"/>
        <v/>
      </c>
      <c r="R26" t="str">
        <f t="shared" si="7"/>
        <v/>
      </c>
      <c r="S26" t="str" cm="1">
        <f t="array" ref="S26">IF(M26="Control",INDEX(IC!A:A,1+BIN2DEC(MID($B26,21,4))),"")</f>
        <v/>
      </c>
      <c r="T26" t="str" cm="1">
        <f t="array" ref="T26">IF(M26="Control",INDEX(EC!A:A,1+BIN2DEC(MID($B26,25,3))),"")</f>
        <v/>
      </c>
      <c r="U26" t="str" cm="1">
        <f t="array" ref="U26">IF(M26="Control",INDEX(SR!A:A,1+BIN2DEC(MID($B26,28,2))),"")</f>
        <v/>
      </c>
      <c r="X26" t="s">
        <v>976</v>
      </c>
      <c r="AC26" s="1" t="s">
        <v>32</v>
      </c>
      <c r="AD26" s="1" t="s">
        <v>32</v>
      </c>
    </row>
    <row r="27" spans="1:30" x14ac:dyDescent="0.25">
      <c r="A27" s="4" t="str">
        <f t="shared" si="1"/>
        <v>019</v>
      </c>
      <c r="B27" s="2" t="s">
        <v>33</v>
      </c>
      <c r="C27" s="3"/>
      <c r="D27" s="3"/>
      <c r="E27" s="3"/>
      <c r="F27" s="27" t="str" cm="1">
        <f t="array" ref="F27">INDEX(Sources!A:A, 1 + BIN2DEC(LEFT($B27,5)))</f>
        <v>UNK10</v>
      </c>
      <c r="G27" s="27" t="str" cm="1">
        <f t="array" ref="G27">INDEX(Dest1!A:A,1+BIN2DEC(MID($B27,6,5)))</f>
        <v>TMPB</v>
      </c>
      <c r="H27" s="27" t="str" cm="1">
        <f t="array" ref="H27">INDEX(Source2!A:A,1+BIN2DEC(MID($B27,11,4)))</f>
        <v>--</v>
      </c>
      <c r="I27" s="23" cm="1">
        <f t="array" ref="I27">INDEX('D2'!A:A,1+BIN2DEC(MID($B27,16,2)))</f>
        <v>0</v>
      </c>
      <c r="J27" s="6">
        <f t="shared" si="6"/>
        <v>0</v>
      </c>
      <c r="K27" s="6">
        <f t="shared" si="2"/>
        <v>0</v>
      </c>
      <c r="L27" s="6">
        <f t="shared" si="3"/>
        <v>0</v>
      </c>
      <c r="M27" s="3" t="str" cm="1">
        <f t="array" ref="M27">INDEX(Types!A:A,1+BIN2DEC(MID($B27,20,2)))</f>
        <v>ALU</v>
      </c>
      <c r="N27" s="3" cm="1">
        <f t="array" ref="N27">IF(M27="ALU",INDEX(ALUOps!A:A,1+BIN2DEC(MID($B27,22,5))),"")</f>
        <v>31</v>
      </c>
      <c r="O27" s="3" cm="1">
        <f t="array" ref="O27">IF(M27="ALU",INDEX(TMP!A:A,1+BIN2DEC(MID($B27,27,2))),"")</f>
        <v>3</v>
      </c>
      <c r="P27" s="6">
        <f t="shared" si="4"/>
        <v>1</v>
      </c>
      <c r="Q27" t="str">
        <f t="shared" si="5"/>
        <v/>
      </c>
      <c r="R27" t="str">
        <f t="shared" si="7"/>
        <v/>
      </c>
      <c r="S27" t="str" cm="1">
        <f t="array" ref="S27">IF(M27="Control",INDEX(IC!A:A,1+BIN2DEC(MID($B27,21,4))),"")</f>
        <v/>
      </c>
      <c r="T27" t="str" cm="1">
        <f t="array" ref="T27">IF(M27="Control",INDEX(EC!A:A,1+BIN2DEC(MID($B27,25,3))),"")</f>
        <v/>
      </c>
      <c r="U27" t="str" cm="1">
        <f t="array" ref="U27">IF(M27="Control",INDEX(SR!A:A,1+BIN2DEC(MID($B27,28,2))),"")</f>
        <v/>
      </c>
    </row>
    <row r="28" spans="1:30" x14ac:dyDescent="0.25">
      <c r="A28" s="4" t="str">
        <f t="shared" si="1"/>
        <v>01A</v>
      </c>
      <c r="B28" s="2" t="s">
        <v>34</v>
      </c>
      <c r="C28" s="3"/>
      <c r="D28" s="3"/>
      <c r="E28" s="3"/>
      <c r="F28" s="27" t="str" cm="1">
        <f t="array" ref="F28">INDEX(Sources!A:A, 1 + BIN2DEC(LEFT($B28,5)))</f>
        <v>SIGMA</v>
      </c>
      <c r="G28" s="27" t="str" cm="1">
        <f t="array" ref="G28">INDEX(Dest1!A:A,1+BIN2DEC(MID($B28,6,5)))</f>
        <v>UNK23</v>
      </c>
      <c r="H28" s="27" t="str" cm="1">
        <f t="array" ref="H28">INDEX(Source2!A:A,1+BIN2DEC(MID($B28,11,4)))</f>
        <v>11</v>
      </c>
      <c r="I28" s="23" cm="1">
        <f t="array" ref="I28">INDEX('D2'!A:A,1+BIN2DEC(MID($B28,16,2)))</f>
        <v>0</v>
      </c>
      <c r="J28" s="6">
        <f t="shared" si="6"/>
        <v>0</v>
      </c>
      <c r="K28" s="6">
        <f t="shared" si="2"/>
        <v>1</v>
      </c>
      <c r="L28" s="6">
        <f t="shared" si="3"/>
        <v>0</v>
      </c>
      <c r="M28" s="3" t="str" cm="1">
        <f t="array" ref="M28">INDEX(Types!A:A,1+BIN2DEC(MID($B28,20,2)))</f>
        <v>ALU</v>
      </c>
      <c r="N28" s="3" cm="1">
        <f t="array" ref="N28">IF(M28="ALU",INDEX(ALUOps!A:A,1+BIN2DEC(MID($B28,22,5))),"")</f>
        <v>7</v>
      </c>
      <c r="O28" s="3" cm="1">
        <f t="array" ref="O28">IF(M28="ALU",INDEX(TMP!A:A,1+BIN2DEC(MID($B28,27,2))),"")</f>
        <v>2</v>
      </c>
      <c r="P28" s="6">
        <f t="shared" si="4"/>
        <v>1</v>
      </c>
      <c r="Q28" t="str">
        <f t="shared" si="5"/>
        <v/>
      </c>
      <c r="R28" t="str">
        <f t="shared" si="7"/>
        <v/>
      </c>
      <c r="S28" t="str" cm="1">
        <f t="array" ref="S28">IF(M28="Control",INDEX(IC!A:A,1+BIN2DEC(MID($B28,21,4))),"")</f>
        <v/>
      </c>
      <c r="T28" t="str" cm="1">
        <f t="array" ref="T28">IF(M28="Control",INDEX(EC!A:A,1+BIN2DEC(MID($B28,25,3))),"")</f>
        <v/>
      </c>
      <c r="U28" t="str" cm="1">
        <f t="array" ref="U28">IF(M28="Control",INDEX(SR!A:A,1+BIN2DEC(MID($B28,28,2))),"")</f>
        <v/>
      </c>
    </row>
    <row r="29" spans="1:30" x14ac:dyDescent="0.25">
      <c r="A29" s="4" t="str">
        <f t="shared" si="1"/>
        <v>01B</v>
      </c>
      <c r="B29" s="2" t="s">
        <v>35</v>
      </c>
      <c r="C29" s="3"/>
      <c r="D29" s="3"/>
      <c r="E29" s="3"/>
      <c r="F29" s="27" t="str" cm="1">
        <f t="array" ref="F29">INDEX(Sources!A:A, 1 + BIN2DEC(LEFT($B29,5)))</f>
        <v>AH</v>
      </c>
      <c r="G29" s="27" t="str" cm="1">
        <f t="array" ref="G29">INDEX(Dest1!A:A,1+BIN2DEC(MID($B29,6,5)))</f>
        <v>TMPA</v>
      </c>
      <c r="H29" s="27" t="str" cm="1">
        <f t="array" ref="H29">INDEX(Source2!A:A,1+BIN2DEC(MID($B29,11,4)))</f>
        <v>--</v>
      </c>
      <c r="I29" s="23" cm="1">
        <f t="array" ref="I29">INDEX('D2'!A:A,1+BIN2DEC(MID($B29,16,2)))</f>
        <v>0</v>
      </c>
      <c r="J29" s="6">
        <f t="shared" si="6"/>
        <v>0</v>
      </c>
      <c r="K29" s="6">
        <f t="shared" si="2"/>
        <v>0</v>
      </c>
      <c r="L29" s="6">
        <f t="shared" si="3"/>
        <v>0</v>
      </c>
      <c r="M29" s="3" t="str" cm="1">
        <f t="array" ref="M29">INDEX(Types!A:A,1+BIN2DEC(MID($B29,20,2)))</f>
        <v>Jump</v>
      </c>
      <c r="N29" s="3" t="str" cm="1">
        <f t="array" ref="N29">IF(M29="ALU",INDEX(ALUOps!A:A,1+BIN2DEC(MID($B29,22,5))),"")</f>
        <v/>
      </c>
      <c r="O29" s="3" t="str" cm="1">
        <f t="array" ref="O29">IF(M29="ALU",INDEX(TMP!A:A,1+BIN2DEC(MID($B29,27,2))),"")</f>
        <v/>
      </c>
      <c r="P29" s="6" t="str">
        <f t="shared" si="4"/>
        <v/>
      </c>
      <c r="Q29">
        <f t="shared" si="5"/>
        <v>14</v>
      </c>
      <c r="R29">
        <f t="shared" si="7"/>
        <v>5</v>
      </c>
      <c r="S29" t="str" cm="1">
        <f t="array" ref="S29">IF(M29="Control",INDEX(IC!A:A,1+BIN2DEC(MID($B29,21,4))),"")</f>
        <v/>
      </c>
      <c r="T29" t="str" cm="1">
        <f t="array" ref="T29">IF(M29="Control",INDEX(EC!A:A,1+BIN2DEC(MID($B29,25,3))),"")</f>
        <v/>
      </c>
      <c r="U29" t="str" cm="1">
        <f t="array" ref="U29">IF(M29="Control",INDEX(SR!A:A,1+BIN2DEC(MID($B29,28,2))),"")</f>
        <v/>
      </c>
    </row>
    <row r="30" spans="1:30" x14ac:dyDescent="0.25">
      <c r="A30" s="4" t="str">
        <f t="shared" si="1"/>
        <v>01C</v>
      </c>
      <c r="B30" s="2" t="s">
        <v>36</v>
      </c>
      <c r="C30" s="2" t="s">
        <v>37</v>
      </c>
      <c r="D30" s="2" t="s">
        <v>928</v>
      </c>
      <c r="E30" s="2" t="s">
        <v>929</v>
      </c>
      <c r="F30" s="27" t="str" cm="1">
        <f t="array" ref="F30">INDEX(Sources!A:A, 1 + BIN2DEC(LEFT($B30,5)))</f>
        <v>SIGMA</v>
      </c>
      <c r="G30" s="27" t="str" cm="1">
        <f t="array" ref="G30">INDEX(Dest1!A:A,1+BIN2DEC(MID($B30,6,5)))</f>
        <v>AH</v>
      </c>
      <c r="H30" s="27" t="str" cm="1">
        <f t="array" ref="H30">INDEX(Source2!A:A,1+BIN2DEC(MID($B30,11,4)))</f>
        <v>--</v>
      </c>
      <c r="I30" s="23" cm="1">
        <f t="array" ref="I30">INDEX('D2'!A:A,1+BIN2DEC(MID($B30,16,2)))</f>
        <v>0</v>
      </c>
      <c r="J30" s="6">
        <f t="shared" si="6"/>
        <v>0</v>
      </c>
      <c r="K30" s="6">
        <f t="shared" si="2"/>
        <v>0</v>
      </c>
      <c r="L30" s="6">
        <f t="shared" si="3"/>
        <v>0</v>
      </c>
      <c r="M30" s="3" t="str" cm="1">
        <f t="array" ref="M30">INDEX(Types!A:A,1+BIN2DEC(MID($B30,20,2)))</f>
        <v>Control</v>
      </c>
      <c r="N30" s="3" t="str" cm="1">
        <f t="array" ref="N30">IF(M30="ALU",INDEX(ALUOps!A:A,1+BIN2DEC(MID($B30,22,5))),"")</f>
        <v/>
      </c>
      <c r="O30" s="3" t="str" cm="1">
        <f t="array" ref="O30">IF(M30="ALU",INDEX(TMP!A:A,1+BIN2DEC(MID($B30,27,2))),"")</f>
        <v/>
      </c>
      <c r="P30" s="6" t="str">
        <f t="shared" si="4"/>
        <v/>
      </c>
      <c r="Q30" t="str">
        <f t="shared" si="5"/>
        <v/>
      </c>
      <c r="R30" t="str">
        <f t="shared" si="7"/>
        <v/>
      </c>
      <c r="S30" cm="1">
        <f t="array" ref="S30">IF(M30="Control",INDEX(IC!A:A,1+BIN2DEC(MID($B30,21,4))),"")</f>
        <v>0</v>
      </c>
      <c r="T30" cm="1">
        <f t="array" ref="T30">IF(M30="Control",INDEX(EC!A:A,1+BIN2DEC(MID($B30,25,3))),"")</f>
        <v>0</v>
      </c>
      <c r="U30" cm="1">
        <f t="array" ref="U30">IF(M30="Control",INDEX(SR!A:A,1+BIN2DEC(MID($B30,28,2))),"")</f>
        <v>0</v>
      </c>
      <c r="X30" t="s">
        <v>977</v>
      </c>
      <c r="AC30" s="1" t="s">
        <v>38</v>
      </c>
      <c r="AD30" s="1" t="s">
        <v>38</v>
      </c>
    </row>
    <row r="31" spans="1:30" x14ac:dyDescent="0.25">
      <c r="A31" s="4" t="str">
        <f t="shared" si="1"/>
        <v>01D</v>
      </c>
      <c r="B31" s="2" t="s">
        <v>39</v>
      </c>
      <c r="C31" s="3"/>
      <c r="D31" s="3"/>
      <c r="E31" s="3"/>
      <c r="F31" s="27" t="str" cm="1">
        <f t="array" ref="F31">INDEX(Sources!A:A, 1 + BIN2DEC(LEFT($B31,5)))</f>
        <v>--</v>
      </c>
      <c r="G31" s="27" t="str" cm="1">
        <f t="array" ref="G31">INDEX(Dest1!A:A,1+BIN2DEC(MID($B31,6,5)))</f>
        <v>--</v>
      </c>
      <c r="H31" s="27" t="str" cm="1">
        <f t="array" ref="H31">INDEX(Source2!A:A,1+BIN2DEC(MID($B31,11,4)))</f>
        <v>--</v>
      </c>
      <c r="I31" s="23" cm="1">
        <f t="array" ref="I31">INDEX('D2'!A:A,1+BIN2DEC(MID($B31,16,2)))</f>
        <v>0</v>
      </c>
      <c r="J31" s="6">
        <f t="shared" si="6"/>
        <v>0</v>
      </c>
      <c r="K31" s="6">
        <f t="shared" si="2"/>
        <v>0</v>
      </c>
      <c r="L31" s="6">
        <f t="shared" si="3"/>
        <v>1</v>
      </c>
      <c r="M31" s="3" t="str" cm="1">
        <f t="array" ref="M31">INDEX(Types!A:A,1+BIN2DEC(MID($B31,20,2)))</f>
        <v>Control</v>
      </c>
      <c r="N31" s="3" t="str" cm="1">
        <f t="array" ref="N31">IF(M31="ALU",INDEX(ALUOps!A:A,1+BIN2DEC(MID($B31,22,5))),"")</f>
        <v/>
      </c>
      <c r="O31" s="3" t="str" cm="1">
        <f t="array" ref="O31">IF(M31="ALU",INDEX(TMP!A:A,1+BIN2DEC(MID($B31,27,2))),"")</f>
        <v/>
      </c>
      <c r="P31" s="6" t="str">
        <f t="shared" si="4"/>
        <v/>
      </c>
      <c r="Q31" t="str">
        <f t="shared" si="5"/>
        <v/>
      </c>
      <c r="R31" t="str">
        <f t="shared" si="7"/>
        <v/>
      </c>
      <c r="S31" cm="1">
        <f t="array" ref="S31">IF(M31="Control",INDEX(IC!A:A,1+BIN2DEC(MID($B31,21,4))),"")</f>
        <v>0</v>
      </c>
      <c r="T31" cm="1">
        <f t="array" ref="T31">IF(M31="Control",INDEX(EC!A:A,1+BIN2DEC(MID($B31,25,3))),"")</f>
        <v>0</v>
      </c>
      <c r="U31" cm="1">
        <f t="array" ref="U31">IF(M31="Control",INDEX(SR!A:A,1+BIN2DEC(MID($B31,28,2))),"")</f>
        <v>0</v>
      </c>
    </row>
    <row r="32" spans="1:30" s="15" customFormat="1" x14ac:dyDescent="0.25">
      <c r="A32" s="12" t="str">
        <f t="shared" si="1"/>
        <v>01E</v>
      </c>
      <c r="B32" s="13" t="s">
        <v>4</v>
      </c>
      <c r="C32" s="14"/>
      <c r="D32" s="14"/>
      <c r="E32" s="14"/>
      <c r="F32" s="28"/>
      <c r="G32" s="28" t="str" cm="1">
        <f t="array" ref="G32">INDEX(Dest1!A:A,1+BIN2DEC(MID($B32,6,5)))</f>
        <v>--</v>
      </c>
      <c r="H32" s="28" t="str" cm="1">
        <f t="array" ref="H32">INDEX(Source2!A:A,1+BIN2DEC(MID($B32,11,4)))</f>
        <v>--</v>
      </c>
      <c r="I32" s="24"/>
      <c r="J32" s="16"/>
      <c r="K32" s="16"/>
      <c r="L32" s="16"/>
      <c r="M32" s="14"/>
      <c r="N32" s="14" t="str" cm="1">
        <f t="array" ref="N32">IF(M32="ALU",INDEX(ALUOps!A:A,1+BIN2DEC(MID($B32,22,5))),"")</f>
        <v/>
      </c>
      <c r="O32" s="14" t="str" cm="1">
        <f t="array" ref="O32">IF(M32="ALU",INDEX(TMP!A:A,1+BIN2DEC(MID($B32,27,2))),"")</f>
        <v/>
      </c>
      <c r="P32" s="16" t="str">
        <f t="shared" si="4"/>
        <v/>
      </c>
      <c r="Q32" s="15" t="str">
        <f t="shared" si="5"/>
        <v/>
      </c>
      <c r="R32" s="15" t="str">
        <f t="shared" si="7"/>
        <v/>
      </c>
      <c r="S32" s="15" t="str" cm="1">
        <f t="array" ref="S32">IF(M32="Control",INDEX(IC!A:A,1+BIN2DEC(MID($B32,21,4))),"")</f>
        <v/>
      </c>
      <c r="T32" s="15" t="str" cm="1">
        <f t="array" ref="T32">IF(M32="Control",INDEX(EC!A:A,1+BIN2DEC(MID($B32,25,3))),"")</f>
        <v/>
      </c>
      <c r="U32" s="15" t="str" cm="1">
        <f t="array" ref="U32">IF(M32="Control",INDEX(SR!A:A,1+BIN2DEC(MID($B32,28,2))),"")</f>
        <v/>
      </c>
    </row>
    <row r="33" spans="1:30" s="20" customFormat="1" ht="15.75" thickBot="1" x14ac:dyDescent="0.3">
      <c r="A33" s="17" t="str">
        <f t="shared" si="1"/>
        <v>01F</v>
      </c>
      <c r="B33" s="18" t="s">
        <v>4</v>
      </c>
      <c r="C33" s="19"/>
      <c r="D33" s="19"/>
      <c r="E33" s="19"/>
      <c r="F33" s="29"/>
      <c r="G33" s="29" t="str" cm="1">
        <f t="array" ref="G33">INDEX(Dest1!A:A,1+BIN2DEC(MID($B33,6,5)))</f>
        <v>--</v>
      </c>
      <c r="H33" s="29" t="str" cm="1">
        <f t="array" ref="H33">INDEX(Source2!A:A,1+BIN2DEC(MID($B33,11,4)))</f>
        <v>--</v>
      </c>
      <c r="I33" s="25"/>
      <c r="J33" s="21"/>
      <c r="K33" s="21"/>
      <c r="L33" s="21"/>
      <c r="M33" s="19"/>
      <c r="N33" s="19" t="str" cm="1">
        <f t="array" ref="N33">IF(M33="ALU",INDEX(ALUOps!A:A,1+BIN2DEC(MID($B33,22,5))),"")</f>
        <v/>
      </c>
      <c r="O33" s="19" t="str" cm="1">
        <f t="array" ref="O33">IF(M33="ALU",INDEX(TMP!A:A,1+BIN2DEC(MID($B33,27,2))),"")</f>
        <v/>
      </c>
      <c r="P33" s="21" t="str">
        <f t="shared" si="4"/>
        <v/>
      </c>
      <c r="Q33" s="20" t="str">
        <f t="shared" si="5"/>
        <v/>
      </c>
      <c r="R33" s="20" t="str">
        <f t="shared" si="7"/>
        <v/>
      </c>
      <c r="S33" s="20" t="str" cm="1">
        <f t="array" ref="S33">IF(M33="Control",INDEX(IC!A:A,1+BIN2DEC(MID($B33,21,4))),"")</f>
        <v/>
      </c>
      <c r="T33" s="20" t="str" cm="1">
        <f t="array" ref="T33">IF(M33="Control",INDEX(EC!A:A,1+BIN2DEC(MID($B33,25,3))),"")</f>
        <v/>
      </c>
      <c r="U33" s="20" t="str" cm="1">
        <f t="array" ref="U33">IF(M33="Control",INDEX(SR!A:A,1+BIN2DEC(MID($B33,28,2))),"")</f>
        <v/>
      </c>
    </row>
    <row r="34" spans="1:30" x14ac:dyDescent="0.25">
      <c r="A34" s="4" t="str">
        <f t="shared" si="1"/>
        <v>020</v>
      </c>
      <c r="B34" s="2" t="s">
        <v>30</v>
      </c>
      <c r="C34" s="2" t="s">
        <v>40</v>
      </c>
      <c r="D34" s="2" t="s">
        <v>928</v>
      </c>
      <c r="E34" s="2" t="s">
        <v>462</v>
      </c>
      <c r="F34" s="27" t="str" cm="1">
        <f t="array" ref="F34">INDEX(Sources!A:A, 1 + BIN2DEC(LEFT($B34,5)))</f>
        <v>A</v>
      </c>
      <c r="G34" s="27" t="str" cm="1">
        <f t="array" ref="G34">INDEX(Dest1!A:A,1+BIN2DEC(MID($B34,6,5)))</f>
        <v>UNK10</v>
      </c>
      <c r="H34" s="27" t="str" cm="1">
        <f t="array" ref="H34">INDEX(Source2!A:A,1+BIN2DEC(MID($B34,11,4)))</f>
        <v>--</v>
      </c>
      <c r="I34" s="23" cm="1">
        <f t="array" ref="I34">INDEX('D2'!A:A,1+BIN2DEC(MID($B34,16,2)))</f>
        <v>0</v>
      </c>
      <c r="J34" s="6">
        <f t="shared" si="6"/>
        <v>0</v>
      </c>
      <c r="K34" s="6">
        <f t="shared" si="2"/>
        <v>0</v>
      </c>
      <c r="L34" s="6">
        <f t="shared" si="3"/>
        <v>0</v>
      </c>
      <c r="M34" s="3" t="str" cm="1">
        <f t="array" ref="M34">INDEX(Types!A:A,1+BIN2DEC(MID($B34,20,2)))</f>
        <v>ALU</v>
      </c>
      <c r="N34" s="3" cm="1">
        <f t="array" ref="N34">IF(M34="ALU",INDEX(ALUOps!A:A,1+BIN2DEC(MID($B34,22,5))),"")</f>
        <v>10</v>
      </c>
      <c r="O34" s="3" cm="1">
        <f t="array" ref="O34">IF(M34="ALU",INDEX(TMP!A:A,1+BIN2DEC(MID($B34,27,2))),"")</f>
        <v>2</v>
      </c>
      <c r="P34" s="6">
        <f t="shared" si="4"/>
        <v>1</v>
      </c>
      <c r="Q34" t="str">
        <f t="shared" si="5"/>
        <v/>
      </c>
      <c r="R34" t="str">
        <f t="shared" si="7"/>
        <v/>
      </c>
      <c r="S34" t="str" cm="1">
        <f t="array" ref="S34">IF(M34="Control",INDEX(IC!A:A,1+BIN2DEC(MID($B34,21,4))),"")</f>
        <v/>
      </c>
      <c r="T34" t="str" cm="1">
        <f t="array" ref="T34">IF(M34="Control",INDEX(EC!A:A,1+BIN2DEC(MID($B34,25,3))),"")</f>
        <v/>
      </c>
      <c r="U34" t="str" cm="1">
        <f t="array" ref="U34">IF(M34="Control",INDEX(SR!A:A,1+BIN2DEC(MID($B34,28,2))),"")</f>
        <v/>
      </c>
      <c r="X34" t="s">
        <v>978</v>
      </c>
      <c r="AC34" s="1" t="s">
        <v>41</v>
      </c>
      <c r="AD34" s="1" t="s">
        <v>41</v>
      </c>
    </row>
    <row r="35" spans="1:30" x14ac:dyDescent="0.25">
      <c r="A35" s="4" t="str">
        <f t="shared" si="1"/>
        <v>021</v>
      </c>
      <c r="B35" s="2" t="s">
        <v>42</v>
      </c>
      <c r="C35" s="3"/>
      <c r="D35" s="3"/>
      <c r="E35" s="3"/>
      <c r="F35" s="27" t="str" cm="1">
        <f t="array" ref="F35">INDEX(Sources!A:A, 1 + BIN2DEC(LEFT($B35,5)))</f>
        <v>UNK10</v>
      </c>
      <c r="G35" s="27" t="str" cm="1">
        <f t="array" ref="G35">INDEX(Dest1!A:A,1+BIN2DEC(MID($B35,6,5)))</f>
        <v>TMPB</v>
      </c>
      <c r="H35" s="27" t="str" cm="1">
        <f t="array" ref="H35">INDEX(Source2!A:A,1+BIN2DEC(MID($B35,11,4)))</f>
        <v>--</v>
      </c>
      <c r="I35" s="23" cm="1">
        <f t="array" ref="I35">INDEX('D2'!A:A,1+BIN2DEC(MID($B35,16,2)))</f>
        <v>0</v>
      </c>
      <c r="J35" s="6">
        <f t="shared" si="6"/>
        <v>0</v>
      </c>
      <c r="K35" s="6">
        <f t="shared" si="2"/>
        <v>0</v>
      </c>
      <c r="L35" s="6">
        <f t="shared" si="3"/>
        <v>0</v>
      </c>
      <c r="M35" s="3" t="str" cm="1">
        <f t="array" ref="M35">INDEX(Types!A:A,1+BIN2DEC(MID($B35,20,2)))</f>
        <v>ALU</v>
      </c>
      <c r="N35" s="3" cm="1">
        <f t="array" ref="N35">IF(M35="ALU",INDEX(ALUOps!A:A,1+BIN2DEC(MID($B35,22,5))),"")</f>
        <v>26</v>
      </c>
      <c r="O35" s="3" cm="1">
        <f t="array" ref="O35">IF(M35="ALU",INDEX(TMP!A:A,1+BIN2DEC(MID($B35,27,2))),"")</f>
        <v>3</v>
      </c>
      <c r="P35" s="6">
        <f t="shared" si="4"/>
        <v>1</v>
      </c>
      <c r="Q35" t="str">
        <f t="shared" si="5"/>
        <v/>
      </c>
      <c r="R35" t="str">
        <f t="shared" si="7"/>
        <v/>
      </c>
      <c r="S35" t="str" cm="1">
        <f t="array" ref="S35">IF(M35="Control",INDEX(IC!A:A,1+BIN2DEC(MID($B35,21,4))),"")</f>
        <v/>
      </c>
      <c r="T35" t="str" cm="1">
        <f t="array" ref="T35">IF(M35="Control",INDEX(EC!A:A,1+BIN2DEC(MID($B35,25,3))),"")</f>
        <v/>
      </c>
      <c r="U35" t="str" cm="1">
        <f t="array" ref="U35">IF(M35="Control",INDEX(SR!A:A,1+BIN2DEC(MID($B35,28,2))),"")</f>
        <v/>
      </c>
    </row>
    <row r="36" spans="1:30" x14ac:dyDescent="0.25">
      <c r="A36" s="4" t="str">
        <f t="shared" si="1"/>
        <v>022</v>
      </c>
      <c r="B36" s="2" t="s">
        <v>43</v>
      </c>
      <c r="C36" s="3"/>
      <c r="D36" s="3"/>
      <c r="E36" s="3"/>
      <c r="F36" s="27" t="str" cm="1">
        <f t="array" ref="F36">INDEX(Sources!A:A, 1 + BIN2DEC(LEFT($B36,5)))</f>
        <v>SIGMA</v>
      </c>
      <c r="G36" s="27" t="str" cm="1">
        <f t="array" ref="G36">INDEX(Dest1!A:A,1+BIN2DEC(MID($B36,6,5)))</f>
        <v>UNK23</v>
      </c>
      <c r="H36" s="27" t="str" cm="1">
        <f t="array" ref="H36">INDEX(Source2!A:A,1+BIN2DEC(MID($B36,11,4)))</f>
        <v>11</v>
      </c>
      <c r="I36" s="23" cm="1">
        <f t="array" ref="I36">INDEX('D2'!A:A,1+BIN2DEC(MID($B36,16,2)))</f>
        <v>0</v>
      </c>
      <c r="J36" s="6">
        <f t="shared" si="6"/>
        <v>0</v>
      </c>
      <c r="K36" s="6">
        <f t="shared" si="2"/>
        <v>1</v>
      </c>
      <c r="L36" s="6">
        <f t="shared" si="3"/>
        <v>0</v>
      </c>
      <c r="M36" s="3" t="str" cm="1">
        <f t="array" ref="M36">INDEX(Types!A:A,1+BIN2DEC(MID($B36,20,2)))</f>
        <v>ALU</v>
      </c>
      <c r="N36" s="3" cm="1">
        <f t="array" ref="N36">IF(M36="ALU",INDEX(ALUOps!A:A,1+BIN2DEC(MID($B36,22,5))),"")</f>
        <v>6</v>
      </c>
      <c r="O36" s="3" cm="1">
        <f t="array" ref="O36">IF(M36="ALU",INDEX(TMP!A:A,1+BIN2DEC(MID($B36,27,2))),"")</f>
        <v>2</v>
      </c>
      <c r="P36" s="6">
        <f t="shared" si="4"/>
        <v>1</v>
      </c>
      <c r="Q36" t="str">
        <f t="shared" si="5"/>
        <v/>
      </c>
      <c r="R36" t="str">
        <f t="shared" si="7"/>
        <v/>
      </c>
      <c r="S36" t="str" cm="1">
        <f t="array" ref="S36">IF(M36="Control",INDEX(IC!A:A,1+BIN2DEC(MID($B36,21,4))),"")</f>
        <v/>
      </c>
      <c r="T36" t="str" cm="1">
        <f t="array" ref="T36">IF(M36="Control",INDEX(EC!A:A,1+BIN2DEC(MID($B36,25,3))),"")</f>
        <v/>
      </c>
      <c r="U36" t="str" cm="1">
        <f t="array" ref="U36">IF(M36="Control",INDEX(SR!A:A,1+BIN2DEC(MID($B36,28,2))),"")</f>
        <v/>
      </c>
    </row>
    <row r="37" spans="1:30" s="9" customFormat="1" ht="15.75" thickBot="1" x14ac:dyDescent="0.3">
      <c r="A37" s="7" t="str">
        <f t="shared" si="1"/>
        <v>023</v>
      </c>
      <c r="B37" s="8" t="s">
        <v>35</v>
      </c>
      <c r="C37" s="10"/>
      <c r="D37" s="10"/>
      <c r="E37" s="10"/>
      <c r="F37" s="30" t="str" cm="1">
        <f t="array" ref="F37">INDEX(Sources!A:A, 1 + BIN2DEC(LEFT($B37,5)))</f>
        <v>AH</v>
      </c>
      <c r="G37" s="30" t="str" cm="1">
        <f t="array" ref="G37">INDEX(Dest1!A:A,1+BIN2DEC(MID($B37,6,5)))</f>
        <v>TMPA</v>
      </c>
      <c r="H37" s="30" t="str" cm="1">
        <f t="array" ref="H37">INDEX(Source2!A:A,1+BIN2DEC(MID($B37,11,4)))</f>
        <v>--</v>
      </c>
      <c r="I37" s="26" cm="1">
        <f t="array" ref="I37">INDEX('D2'!A:A,1+BIN2DEC(MID($B37,16,2)))</f>
        <v>0</v>
      </c>
      <c r="J37" s="11">
        <f t="shared" si="6"/>
        <v>0</v>
      </c>
      <c r="K37" s="11">
        <f t="shared" si="2"/>
        <v>0</v>
      </c>
      <c r="L37" s="11">
        <f t="shared" si="3"/>
        <v>0</v>
      </c>
      <c r="M37" s="10" t="str" cm="1">
        <f t="array" ref="M37">INDEX(Types!A:A,1+BIN2DEC(MID($B37,20,2)))</f>
        <v>Jump</v>
      </c>
      <c r="N37" s="10" t="str" cm="1">
        <f t="array" ref="N37">IF(M37="ALU",INDEX(ALUOps!A:A,1+BIN2DEC(MID($B37,22,5))),"")</f>
        <v/>
      </c>
      <c r="O37" s="10" t="str" cm="1">
        <f t="array" ref="O37">IF(M37="ALU",INDEX(TMP!A:A,1+BIN2DEC(MID($B37,27,2))),"")</f>
        <v/>
      </c>
      <c r="P37" s="11" t="str">
        <f t="shared" si="4"/>
        <v/>
      </c>
      <c r="Q37" s="9">
        <f t="shared" si="5"/>
        <v>14</v>
      </c>
      <c r="R37" s="9">
        <f t="shared" si="7"/>
        <v>5</v>
      </c>
      <c r="S37" s="9" t="str" cm="1">
        <f t="array" ref="S37">IF(M37="Control",INDEX(IC!A:A,1+BIN2DEC(MID($B37,21,4))),"")</f>
        <v/>
      </c>
      <c r="T37" s="9" t="str" cm="1">
        <f t="array" ref="T37">IF(M37="Control",INDEX(EC!A:A,1+BIN2DEC(MID($B37,25,3))),"")</f>
        <v/>
      </c>
      <c r="U37" s="9" t="str" cm="1">
        <f t="array" ref="U37">IF(M37="Control",INDEX(SR!A:A,1+BIN2DEC(MID($B37,28,2))),"")</f>
        <v/>
      </c>
    </row>
    <row r="38" spans="1:30" x14ac:dyDescent="0.25">
      <c r="A38" s="4" t="str">
        <f t="shared" si="1"/>
        <v>024</v>
      </c>
      <c r="B38" s="2" t="s">
        <v>44</v>
      </c>
      <c r="C38" s="2" t="s">
        <v>45</v>
      </c>
      <c r="D38" s="2" t="s">
        <v>928</v>
      </c>
      <c r="E38" s="2" t="s">
        <v>462</v>
      </c>
      <c r="F38" s="27" t="str" cm="1">
        <f t="array" ref="F38">INDEX(Sources!A:A, 1 + BIN2DEC(LEFT($B38,5)))</f>
        <v>OPR</v>
      </c>
      <c r="G38" s="27" t="str" cm="1">
        <f t="array" ref="G38">INDEX(Dest1!A:A,1+BIN2DEC(MID($B38,6,5)))</f>
        <v>TMPA</v>
      </c>
      <c r="H38" s="27" t="str" cm="1">
        <f t="array" ref="H38">INDEX(Source2!A:A,1+BIN2DEC(MID($B38,11,4)))</f>
        <v>--</v>
      </c>
      <c r="I38" s="23" cm="1">
        <f t="array" ref="I38">INDEX('D2'!A:A,1+BIN2DEC(MID($B38,16,2)))</f>
        <v>0</v>
      </c>
      <c r="J38" s="6">
        <f t="shared" si="6"/>
        <v>0</v>
      </c>
      <c r="K38" s="6">
        <f t="shared" si="2"/>
        <v>0</v>
      </c>
      <c r="L38" s="6">
        <f t="shared" si="3"/>
        <v>1</v>
      </c>
      <c r="M38" s="3" t="str" cm="1">
        <f t="array" ref="M38">INDEX(Types!A:A,1+BIN2DEC(MID($B38,20,2)))</f>
        <v>ALU</v>
      </c>
      <c r="N38" s="3" cm="1">
        <f t="array" ref="N38">IF(M38="ALU",INDEX(ALUOps!A:A,1+BIN2DEC(MID($B38,22,5))),"")</f>
        <v>9</v>
      </c>
      <c r="O38" s="3" cm="1">
        <f t="array" ref="O38">IF(M38="ALU",INDEX(TMP!A:A,1+BIN2DEC(MID($B38,27,2))),"")</f>
        <v>2</v>
      </c>
      <c r="P38" s="6">
        <f t="shared" si="4"/>
        <v>1</v>
      </c>
      <c r="Q38" t="str">
        <f t="shared" si="5"/>
        <v/>
      </c>
      <c r="R38" t="str">
        <f t="shared" si="7"/>
        <v/>
      </c>
      <c r="S38" t="str" cm="1">
        <f t="array" ref="S38">IF(M38="Control",INDEX(IC!A:A,1+BIN2DEC(MID($B38,21,4))),"")</f>
        <v/>
      </c>
      <c r="T38" t="str" cm="1">
        <f t="array" ref="T38">IF(M38="Control",INDEX(EC!A:A,1+BIN2DEC(MID($B38,25,3))),"")</f>
        <v/>
      </c>
      <c r="U38" t="str" cm="1">
        <f t="array" ref="U38">IF(M38="Control",INDEX(SR!A:A,1+BIN2DEC(MID($B38,28,2))),"")</f>
        <v/>
      </c>
      <c r="X38" t="s">
        <v>979</v>
      </c>
      <c r="AC38" t="s">
        <v>996</v>
      </c>
      <c r="AD38" s="1" t="s">
        <v>46</v>
      </c>
    </row>
    <row r="39" spans="1:30" x14ac:dyDescent="0.25">
      <c r="A39" s="4" t="str">
        <f t="shared" si="1"/>
        <v>025</v>
      </c>
      <c r="B39" s="2" t="s">
        <v>10</v>
      </c>
      <c r="C39" s="3"/>
      <c r="D39" s="3"/>
      <c r="E39" s="3"/>
      <c r="F39" s="27" t="str" cm="1">
        <f t="array" ref="F39">INDEX(Sources!A:A, 1 + BIN2DEC(LEFT($B39,5)))</f>
        <v>SIGMA</v>
      </c>
      <c r="G39" s="27" t="str" cm="1">
        <f t="array" ref="G39">INDEX(Dest1!A:A,1+BIN2DEC(MID($B39,6,5)))</f>
        <v>OPR</v>
      </c>
      <c r="H39" s="27" t="str" cm="1">
        <f t="array" ref="H39">INDEX(Source2!A:A,1+BIN2DEC(MID($B39,11,4)))</f>
        <v>--</v>
      </c>
      <c r="I39" s="23" cm="1">
        <f t="array" ref="I39">INDEX('D2'!A:A,1+BIN2DEC(MID($B39,16,2)))</f>
        <v>0</v>
      </c>
      <c r="J39" s="6">
        <f t="shared" si="6"/>
        <v>0</v>
      </c>
      <c r="K39" s="6">
        <f t="shared" si="2"/>
        <v>1</v>
      </c>
      <c r="L39" s="6">
        <f t="shared" si="3"/>
        <v>0</v>
      </c>
      <c r="M39" s="3" t="str" cm="1">
        <f t="array" ref="M39">INDEX(Types!A:A,1+BIN2DEC(MID($B39,20,2)))</f>
        <v>Control</v>
      </c>
      <c r="N39" s="3" t="str" cm="1">
        <f t="array" ref="N39">IF(M39="ALU",INDEX(ALUOps!A:A,1+BIN2DEC(MID($B39,22,5))),"")</f>
        <v/>
      </c>
      <c r="O39" s="3" t="str" cm="1">
        <f t="array" ref="O39">IF(M39="ALU",INDEX(TMP!A:A,1+BIN2DEC(MID($B39,27,2))),"")</f>
        <v/>
      </c>
      <c r="P39" s="6" t="str">
        <f t="shared" si="4"/>
        <v/>
      </c>
      <c r="Q39" t="str">
        <f t="shared" si="5"/>
        <v/>
      </c>
      <c r="R39" t="str">
        <f t="shared" si="7"/>
        <v/>
      </c>
      <c r="S39" cm="1">
        <f t="array" ref="S39">IF(M39="Control",INDEX(IC!A:A,1+BIN2DEC(MID($B39,21,4))),"")</f>
        <v>0</v>
      </c>
      <c r="T39" cm="1">
        <f t="array" ref="T39">IF(M39="Control",INDEX(EC!A:A,1+BIN2DEC(MID($B39,25,3))),"")</f>
        <v>0</v>
      </c>
      <c r="U39" cm="1">
        <f t="array" ref="U39">IF(M39="Control",INDEX(SR!A:A,1+BIN2DEC(MID($B39,28,2))),"")</f>
        <v>0</v>
      </c>
    </row>
    <row r="40" spans="1:30" s="15" customFormat="1" x14ac:dyDescent="0.25">
      <c r="A40" s="12" t="str">
        <f t="shared" si="1"/>
        <v>026</v>
      </c>
      <c r="B40" s="13" t="s">
        <v>4</v>
      </c>
      <c r="C40" s="14"/>
      <c r="D40" s="14"/>
      <c r="E40" s="14"/>
      <c r="F40" s="28"/>
      <c r="G40" s="28" t="str" cm="1">
        <f t="array" ref="G40">INDEX(Dest1!A:A,1+BIN2DEC(MID($B40,6,5)))</f>
        <v>--</v>
      </c>
      <c r="H40" s="28" t="str" cm="1">
        <f t="array" ref="H40">INDEX(Source2!A:A,1+BIN2DEC(MID($B40,11,4)))</f>
        <v>--</v>
      </c>
      <c r="I40" s="24"/>
      <c r="J40" s="16"/>
      <c r="K40" s="16"/>
      <c r="L40" s="16"/>
      <c r="M40" s="14"/>
      <c r="N40" s="14" t="str" cm="1">
        <f t="array" ref="N40">IF(M40="ALU",INDEX(ALUOps!A:A,1+BIN2DEC(MID($B40,22,5))),"")</f>
        <v/>
      </c>
      <c r="O40" s="14" t="str" cm="1">
        <f t="array" ref="O40">IF(M40="ALU",INDEX(TMP!A:A,1+BIN2DEC(MID($B40,27,2))),"")</f>
        <v/>
      </c>
      <c r="P40" s="16" t="str">
        <f t="shared" si="4"/>
        <v/>
      </c>
      <c r="Q40" s="15" t="str">
        <f t="shared" si="5"/>
        <v/>
      </c>
      <c r="R40" s="15" t="str">
        <f t="shared" si="7"/>
        <v/>
      </c>
      <c r="S40" s="15" t="str" cm="1">
        <f t="array" ref="S40">IF(M40="Control",INDEX(IC!A:A,1+BIN2DEC(MID($B40,21,4))),"")</f>
        <v/>
      </c>
      <c r="T40" s="15" t="str" cm="1">
        <f t="array" ref="T40">IF(M40="Control",INDEX(EC!A:A,1+BIN2DEC(MID($B40,25,3))),"")</f>
        <v/>
      </c>
      <c r="U40" s="15" t="str" cm="1">
        <f t="array" ref="U40">IF(M40="Control",INDEX(SR!A:A,1+BIN2DEC(MID($B40,28,2))),"")</f>
        <v/>
      </c>
    </row>
    <row r="41" spans="1:30" s="20" customFormat="1" ht="15.75" thickBot="1" x14ac:dyDescent="0.3">
      <c r="A41" s="17" t="str">
        <f t="shared" si="1"/>
        <v>027</v>
      </c>
      <c r="B41" s="18" t="s">
        <v>4</v>
      </c>
      <c r="C41" s="19"/>
      <c r="D41" s="19"/>
      <c r="E41" s="19"/>
      <c r="F41" s="29"/>
      <c r="G41" s="29" t="str" cm="1">
        <f t="array" ref="G41">INDEX(Dest1!A:A,1+BIN2DEC(MID($B41,6,5)))</f>
        <v>--</v>
      </c>
      <c r="H41" s="29" t="str" cm="1">
        <f t="array" ref="H41">INDEX(Source2!A:A,1+BIN2DEC(MID($B41,11,4)))</f>
        <v>--</v>
      </c>
      <c r="I41" s="25"/>
      <c r="J41" s="21"/>
      <c r="K41" s="21"/>
      <c r="L41" s="21"/>
      <c r="M41" s="19"/>
      <c r="N41" s="19" t="str" cm="1">
        <f t="array" ref="N41">IF(M41="ALU",INDEX(ALUOps!A:A,1+BIN2DEC(MID($B41,22,5))),"")</f>
        <v/>
      </c>
      <c r="O41" s="19" t="str" cm="1">
        <f t="array" ref="O41">IF(M41="ALU",INDEX(TMP!A:A,1+BIN2DEC(MID($B41,27,2))),"")</f>
        <v/>
      </c>
      <c r="P41" s="21" t="str">
        <f t="shared" si="4"/>
        <v/>
      </c>
      <c r="Q41" s="20" t="str">
        <f t="shared" si="5"/>
        <v/>
      </c>
      <c r="R41" s="20" t="str">
        <f t="shared" si="7"/>
        <v/>
      </c>
      <c r="S41" s="20" t="str" cm="1">
        <f t="array" ref="S41">IF(M41="Control",INDEX(IC!A:A,1+BIN2DEC(MID($B41,21,4))),"")</f>
        <v/>
      </c>
      <c r="T41" s="20" t="str" cm="1">
        <f t="array" ref="T41">IF(M41="Control",INDEX(EC!A:A,1+BIN2DEC(MID($B41,25,3))),"")</f>
        <v/>
      </c>
      <c r="U41" s="20" t="str" cm="1">
        <f t="array" ref="U41">IF(M41="Control",INDEX(SR!A:A,1+BIN2DEC(MID($B41,28,2))),"")</f>
        <v/>
      </c>
    </row>
    <row r="42" spans="1:30" x14ac:dyDescent="0.25">
      <c r="A42" s="4" t="str">
        <f t="shared" si="1"/>
        <v>028</v>
      </c>
      <c r="B42" s="2" t="s">
        <v>17</v>
      </c>
      <c r="C42" s="2" t="s">
        <v>47</v>
      </c>
      <c r="D42" s="2" t="s">
        <v>928</v>
      </c>
      <c r="E42" s="2" t="s">
        <v>462</v>
      </c>
      <c r="F42" s="27" t="str" cm="1">
        <f t="array" ref="F42">INDEX(Sources!A:A, 1 + BIN2DEC(LEFT($B42,5)))</f>
        <v>SP</v>
      </c>
      <c r="G42" s="27" t="str" cm="1">
        <f t="array" ref="G42">INDEX(Dest1!A:A,1+BIN2DEC(MID($B42,6,5)))</f>
        <v>TMPA</v>
      </c>
      <c r="H42" s="27" t="str" cm="1">
        <f t="array" ref="H42">INDEX(Source2!A:A,1+BIN2DEC(MID($B42,11,4)))</f>
        <v>--</v>
      </c>
      <c r="I42" s="23" cm="1">
        <f t="array" ref="I42">INDEX('D2'!A:A,1+BIN2DEC(MID($B42,16,2)))</f>
        <v>0</v>
      </c>
      <c r="J42" s="6">
        <f t="shared" si="6"/>
        <v>0</v>
      </c>
      <c r="K42" s="6">
        <f t="shared" si="2"/>
        <v>0</v>
      </c>
      <c r="L42" s="6">
        <f t="shared" si="3"/>
        <v>0</v>
      </c>
      <c r="M42" s="3" t="str" cm="1">
        <f t="array" ref="M42">INDEX(Types!A:A,1+BIN2DEC(MID($B42,20,2)))</f>
        <v>ALU</v>
      </c>
      <c r="N42" s="3" cm="1">
        <f t="array" ref="N42">IF(M42="ALU",INDEX(ALUOps!A:A,1+BIN2DEC(MID($B42,22,5))),"")</f>
        <v>2</v>
      </c>
      <c r="O42" s="3" cm="1">
        <f t="array" ref="O42">IF(M42="ALU",INDEX(TMP!A:A,1+BIN2DEC(MID($B42,27,2))),"")</f>
        <v>2</v>
      </c>
      <c r="P42" s="6">
        <f t="shared" si="4"/>
        <v>1</v>
      </c>
      <c r="Q42" t="str">
        <f t="shared" si="5"/>
        <v/>
      </c>
      <c r="R42" t="str">
        <f t="shared" si="7"/>
        <v/>
      </c>
      <c r="S42" t="str" cm="1">
        <f t="array" ref="S42">IF(M42="Control",INDEX(IC!A:A,1+BIN2DEC(MID($B42,21,4))),"")</f>
        <v/>
      </c>
      <c r="T42" t="str" cm="1">
        <f t="array" ref="T42">IF(M42="Control",INDEX(EC!A:A,1+BIN2DEC(MID($B42,25,3))),"")</f>
        <v/>
      </c>
      <c r="U42" t="str" cm="1">
        <f t="array" ref="U42">IF(M42="Control",INDEX(SR!A:A,1+BIN2DEC(MID($B42,28,2))),"")</f>
        <v/>
      </c>
      <c r="X42" t="s">
        <v>980</v>
      </c>
      <c r="AC42" t="s">
        <v>995</v>
      </c>
      <c r="AD42" s="1" t="s">
        <v>48</v>
      </c>
    </row>
    <row r="43" spans="1:30" x14ac:dyDescent="0.25">
      <c r="A43" s="4" t="str">
        <f t="shared" si="1"/>
        <v>029</v>
      </c>
      <c r="B43" s="2" t="s">
        <v>49</v>
      </c>
      <c r="C43" s="3"/>
      <c r="D43" s="3"/>
      <c r="E43" s="3"/>
      <c r="F43" s="27" t="str" cm="1">
        <f t="array" ref="F43">INDEX(Sources!A:A, 1 + BIN2DEC(LEFT($B43,5)))</f>
        <v>SIGMA</v>
      </c>
      <c r="G43" s="27" t="str" cm="1">
        <f t="array" ref="G43">INDEX(Dest1!A:A,1+BIN2DEC(MID($B43,6,5)))</f>
        <v>SP</v>
      </c>
      <c r="H43" s="27" t="str" cm="1">
        <f t="array" ref="H43">INDEX(Source2!A:A,1+BIN2DEC(MID($B43,11,4)))</f>
        <v>11</v>
      </c>
      <c r="I43" s="23" t="str" cm="1">
        <f t="array" ref="I43">INDEX('D2'!A:A,1+BIN2DEC(MID($B43,16,2)))</f>
        <v>TMPB</v>
      </c>
      <c r="J43" s="6">
        <f t="shared" si="6"/>
        <v>0</v>
      </c>
      <c r="K43" s="6">
        <f t="shared" si="2"/>
        <v>0</v>
      </c>
      <c r="L43" s="6">
        <f t="shared" si="3"/>
        <v>1</v>
      </c>
      <c r="M43" s="3" t="str" cm="1">
        <f t="array" ref="M43">INDEX(Types!A:A,1+BIN2DEC(MID($B43,20,2)))</f>
        <v>Control</v>
      </c>
      <c r="N43" s="3" t="str" cm="1">
        <f t="array" ref="N43">IF(M43="ALU",INDEX(ALUOps!A:A,1+BIN2DEC(MID($B43,22,5))),"")</f>
        <v/>
      </c>
      <c r="O43" s="3" t="str" cm="1">
        <f t="array" ref="O43">IF(M43="ALU",INDEX(TMP!A:A,1+BIN2DEC(MID($B43,27,2))),"")</f>
        <v/>
      </c>
      <c r="P43" s="6" t="str">
        <f t="shared" si="4"/>
        <v/>
      </c>
      <c r="Q43" t="str">
        <f t="shared" si="5"/>
        <v/>
      </c>
      <c r="R43" t="str">
        <f t="shared" si="7"/>
        <v/>
      </c>
      <c r="S43" cm="1">
        <f t="array" ref="S43">IF(M43="Control",INDEX(IC!A:A,1+BIN2DEC(MID($B43,21,4))),"")</f>
        <v>0</v>
      </c>
      <c r="T43" cm="1">
        <f t="array" ref="T43">IF(M43="Control",INDEX(EC!A:A,1+BIN2DEC(MID($B43,25,3))),"")</f>
        <v>5</v>
      </c>
      <c r="U43" cm="1">
        <f t="array" ref="U43">IF(M43="Control",INDEX(SR!A:A,1+BIN2DEC(MID($B43,28,2))),"")</f>
        <v>1</v>
      </c>
    </row>
    <row r="44" spans="1:30" x14ac:dyDescent="0.25">
      <c r="A44" s="4" t="str">
        <f t="shared" si="1"/>
        <v>02A</v>
      </c>
      <c r="B44" s="2" t="s">
        <v>50</v>
      </c>
      <c r="C44" s="3"/>
      <c r="D44" s="3"/>
      <c r="E44" s="3"/>
      <c r="F44" s="27" t="str" cm="1">
        <f t="array" ref="F44">INDEX(Sources!A:A, 1 + BIN2DEC(LEFT($B44,5)))</f>
        <v>OPR</v>
      </c>
      <c r="G44" s="27" t="str" cm="1">
        <f t="array" ref="G44">INDEX(Dest1!A:A,1+BIN2DEC(MID($B44,6,5)))</f>
        <v>OUT</v>
      </c>
      <c r="H44" s="27" t="str" cm="1">
        <f t="array" ref="H44">INDEX(Source2!A:A,1+BIN2DEC(MID($B44,11,4)))</f>
        <v>--</v>
      </c>
      <c r="I44" s="23" cm="1">
        <f t="array" ref="I44">INDEX('D2'!A:A,1+BIN2DEC(MID($B44,16,2)))</f>
        <v>0</v>
      </c>
      <c r="J44" s="6">
        <f t="shared" si="6"/>
        <v>0</v>
      </c>
      <c r="K44" s="6">
        <f t="shared" si="2"/>
        <v>0</v>
      </c>
      <c r="L44" s="6">
        <f t="shared" si="3"/>
        <v>0</v>
      </c>
      <c r="M44" s="3" t="str" cm="1">
        <f t="array" ref="M44">INDEX(Types!A:A,1+BIN2DEC(MID($B44,20,2)))</f>
        <v>Control</v>
      </c>
      <c r="N44" s="3" t="str" cm="1">
        <f t="array" ref="N44">IF(M44="ALU",INDEX(ALUOps!A:A,1+BIN2DEC(MID($B44,22,5))),"")</f>
        <v/>
      </c>
      <c r="O44" s="3" t="str" cm="1">
        <f t="array" ref="O44">IF(M44="ALU",INDEX(TMP!A:A,1+BIN2DEC(MID($B44,27,2))),"")</f>
        <v/>
      </c>
      <c r="P44" s="6" t="str">
        <f t="shared" si="4"/>
        <v/>
      </c>
      <c r="Q44" t="str">
        <f t="shared" si="5"/>
        <v/>
      </c>
      <c r="R44" t="str">
        <f t="shared" si="7"/>
        <v/>
      </c>
      <c r="S44" cm="1">
        <f t="array" ref="S44">IF(M44="Control",INDEX(IC!A:A,1+BIN2DEC(MID($B44,21,4))),"")</f>
        <v>0</v>
      </c>
      <c r="T44" cm="1">
        <f t="array" ref="T44">IF(M44="Control",INDEX(EC!A:A,1+BIN2DEC(MID($B44,25,3))),"")</f>
        <v>0</v>
      </c>
      <c r="U44" cm="1">
        <f t="array" ref="U44">IF(M44="Control",INDEX(SR!A:A,1+BIN2DEC(MID($B44,28,2))),"")</f>
        <v>0</v>
      </c>
    </row>
    <row r="45" spans="1:30" s="20" customFormat="1" ht="15.75" thickBot="1" x14ac:dyDescent="0.3">
      <c r="A45" s="17" t="str">
        <f t="shared" si="1"/>
        <v>02B</v>
      </c>
      <c r="B45" s="18" t="s">
        <v>4</v>
      </c>
      <c r="C45" s="19"/>
      <c r="D45" s="19"/>
      <c r="E45" s="19"/>
      <c r="F45" s="29"/>
      <c r="G45" s="29" t="str" cm="1">
        <f t="array" ref="G45">INDEX(Dest1!A:A,1+BIN2DEC(MID($B45,6,5)))</f>
        <v>--</v>
      </c>
      <c r="H45" s="29" t="str" cm="1">
        <f t="array" ref="H45">INDEX(Source2!A:A,1+BIN2DEC(MID($B45,11,4)))</f>
        <v>--</v>
      </c>
      <c r="I45" s="25"/>
      <c r="J45" s="21"/>
      <c r="K45" s="21"/>
      <c r="L45" s="21"/>
      <c r="M45" s="19"/>
      <c r="N45" s="19" t="str" cm="1">
        <f t="array" ref="N45">IF(M45="ALU",INDEX(ALUOps!A:A,1+BIN2DEC(MID($B45,22,5))),"")</f>
        <v/>
      </c>
      <c r="O45" s="19" t="str" cm="1">
        <f t="array" ref="O45">IF(M45="ALU",INDEX(TMP!A:A,1+BIN2DEC(MID($B45,27,2))),"")</f>
        <v/>
      </c>
      <c r="P45" s="21" t="str">
        <f t="shared" si="4"/>
        <v/>
      </c>
      <c r="Q45" s="20" t="str">
        <f t="shared" si="5"/>
        <v/>
      </c>
      <c r="R45" s="20" t="str">
        <f t="shared" si="7"/>
        <v/>
      </c>
      <c r="S45" s="20" t="str" cm="1">
        <f t="array" ref="S45">IF(M45="Control",INDEX(IC!A:A,1+BIN2DEC(MID($B45,21,4))),"")</f>
        <v/>
      </c>
      <c r="T45" s="20" t="str" cm="1">
        <f t="array" ref="T45">IF(M45="Control",INDEX(EC!A:A,1+BIN2DEC(MID($B45,25,3))),"")</f>
        <v/>
      </c>
      <c r="U45" s="20" t="str" cm="1">
        <f t="array" ref="U45">IF(M45="Control",INDEX(SR!A:A,1+BIN2DEC(MID($B45,28,2))),"")</f>
        <v/>
      </c>
    </row>
    <row r="46" spans="1:30" x14ac:dyDescent="0.25">
      <c r="A46" s="4" t="str">
        <f t="shared" si="1"/>
        <v>02C</v>
      </c>
      <c r="B46" s="2" t="s">
        <v>11</v>
      </c>
      <c r="C46" s="2" t="s">
        <v>51</v>
      </c>
      <c r="D46" s="2" t="s">
        <v>928</v>
      </c>
      <c r="E46" s="2" t="s">
        <v>462</v>
      </c>
      <c r="F46" s="27" t="str" cm="1">
        <f t="array" ref="F46">INDEX(Sources!A:A, 1 + BIN2DEC(LEFT($B46,5)))</f>
        <v>SP</v>
      </c>
      <c r="G46" s="27" t="str" cm="1">
        <f t="array" ref="G46">INDEX(Dest1!A:A,1+BIN2DEC(MID($B46,6,5)))</f>
        <v>UNK26</v>
      </c>
      <c r="H46" s="27" t="str" cm="1">
        <f t="array" ref="H46">INDEX(Source2!A:A,1+BIN2DEC(MID($B46,11,4)))</f>
        <v>--</v>
      </c>
      <c r="I46" s="23" cm="1">
        <f t="array" ref="I46">INDEX('D2'!A:A,1+BIN2DEC(MID($B46,16,2)))</f>
        <v>0</v>
      </c>
      <c r="J46" s="6">
        <f t="shared" si="6"/>
        <v>0</v>
      </c>
      <c r="K46" s="6">
        <f t="shared" si="2"/>
        <v>0</v>
      </c>
      <c r="L46" s="6">
        <f t="shared" si="3"/>
        <v>0</v>
      </c>
      <c r="M46" s="3" t="str" cm="1">
        <f t="array" ref="M46">INDEX(Types!A:A,1+BIN2DEC(MID($B46,20,2)))</f>
        <v>Control</v>
      </c>
      <c r="N46" s="3" t="str" cm="1">
        <f t="array" ref="N46">IF(M46="ALU",INDEX(ALUOps!A:A,1+BIN2DEC(MID($B46,22,5))),"")</f>
        <v/>
      </c>
      <c r="O46" s="3" t="str" cm="1">
        <f t="array" ref="O46">IF(M46="ALU",INDEX(TMP!A:A,1+BIN2DEC(MID($B46,27,2))),"")</f>
        <v/>
      </c>
      <c r="P46" s="6" t="str">
        <f t="shared" si="4"/>
        <v/>
      </c>
      <c r="Q46" t="str">
        <f t="shared" si="5"/>
        <v/>
      </c>
      <c r="R46" t="str">
        <f t="shared" si="7"/>
        <v/>
      </c>
      <c r="S46" cm="1">
        <f t="array" ref="S46">IF(M46="Control",INDEX(IC!A:A,1+BIN2DEC(MID($B46,21,4))),"")</f>
        <v>0</v>
      </c>
      <c r="T46" cm="1">
        <f t="array" ref="T46">IF(M46="Control",INDEX(EC!A:A,1+BIN2DEC(MID($B46,25,3))),"")</f>
        <v>6</v>
      </c>
      <c r="U46" cm="1">
        <f t="array" ref="U46">IF(M46="Control",INDEX(SR!A:A,1+BIN2DEC(MID($B46,28,2))),"")</f>
        <v>1</v>
      </c>
      <c r="X46" t="s">
        <v>981</v>
      </c>
      <c r="AC46" t="s">
        <v>994</v>
      </c>
      <c r="AD46" s="1" t="s">
        <v>52</v>
      </c>
    </row>
    <row r="47" spans="1:30" x14ac:dyDescent="0.25">
      <c r="A47" s="4" t="str">
        <f t="shared" si="1"/>
        <v>02D</v>
      </c>
      <c r="B47" s="2" t="s">
        <v>14</v>
      </c>
      <c r="C47" s="3"/>
      <c r="D47" s="3"/>
      <c r="E47" s="3"/>
      <c r="F47" s="27" t="str" cm="1">
        <f t="array" ref="F47">INDEX(Sources!A:A, 1 + BIN2DEC(LEFT($B47,5)))</f>
        <v>SP</v>
      </c>
      <c r="G47" s="27" t="str" cm="1">
        <f t="array" ref="G47">INDEX(Dest1!A:A,1+BIN2DEC(MID($B47,6,5)))</f>
        <v>TMPA</v>
      </c>
      <c r="H47" s="27" t="str" cm="1">
        <f t="array" ref="H47">INDEX(Source2!A:A,1+BIN2DEC(MID($B47,11,4)))</f>
        <v>--</v>
      </c>
      <c r="I47" s="23" cm="1">
        <f t="array" ref="I47">INDEX('D2'!A:A,1+BIN2DEC(MID($B47,16,2)))</f>
        <v>0</v>
      </c>
      <c r="J47" s="6">
        <f t="shared" si="6"/>
        <v>0</v>
      </c>
      <c r="K47" s="6">
        <f t="shared" si="2"/>
        <v>0</v>
      </c>
      <c r="L47" s="6">
        <f t="shared" si="3"/>
        <v>0</v>
      </c>
      <c r="M47" s="3" t="str" cm="1">
        <f t="array" ref="M47">INDEX(Types!A:A,1+BIN2DEC(MID($B47,20,2)))</f>
        <v>ALU</v>
      </c>
      <c r="N47" s="3" cm="1">
        <f t="array" ref="N47">IF(M47="ALU",INDEX(ALUOps!A:A,1+BIN2DEC(MID($B47,22,5))),"")</f>
        <v>3</v>
      </c>
      <c r="O47" s="3" cm="1">
        <f t="array" ref="O47">IF(M47="ALU",INDEX(TMP!A:A,1+BIN2DEC(MID($B47,27,2))),"")</f>
        <v>2</v>
      </c>
      <c r="P47" s="6">
        <f t="shared" si="4"/>
        <v>1</v>
      </c>
      <c r="Q47" t="str">
        <f t="shared" si="5"/>
        <v/>
      </c>
      <c r="R47" t="str">
        <f t="shared" si="7"/>
        <v/>
      </c>
      <c r="S47" t="str" cm="1">
        <f t="array" ref="S47">IF(M47="Control",INDEX(IC!A:A,1+BIN2DEC(MID($B47,21,4))),"")</f>
        <v/>
      </c>
      <c r="T47" t="str" cm="1">
        <f t="array" ref="T47">IF(M47="Control",INDEX(EC!A:A,1+BIN2DEC(MID($B47,25,3))),"")</f>
        <v/>
      </c>
      <c r="U47" t="str" cm="1">
        <f t="array" ref="U47">IF(M47="Control",INDEX(SR!A:A,1+BIN2DEC(MID($B47,28,2))),"")</f>
        <v/>
      </c>
    </row>
    <row r="48" spans="1:30" x14ac:dyDescent="0.25">
      <c r="A48" s="4" t="str">
        <f t="shared" si="1"/>
        <v>02E</v>
      </c>
      <c r="B48" s="2" t="s">
        <v>15</v>
      </c>
      <c r="C48" s="3"/>
      <c r="D48" s="3"/>
      <c r="E48" s="3"/>
      <c r="F48" s="27" t="str" cm="1">
        <f t="array" ref="F48">INDEX(Sources!A:A, 1 + BIN2DEC(LEFT($B48,5)))</f>
        <v>SIGMA</v>
      </c>
      <c r="G48" s="27" t="str" cm="1">
        <f t="array" ref="G48">INDEX(Dest1!A:A,1+BIN2DEC(MID($B48,6,5)))</f>
        <v>SP</v>
      </c>
      <c r="H48" s="27" t="str" cm="1">
        <f t="array" ref="H48">INDEX(Source2!A:A,1+BIN2DEC(MID($B48,11,4)))</f>
        <v>--</v>
      </c>
      <c r="I48" s="23" cm="1">
        <f t="array" ref="I48">INDEX('D2'!A:A,1+BIN2DEC(MID($B48,16,2)))</f>
        <v>0</v>
      </c>
      <c r="J48" s="6">
        <f t="shared" si="6"/>
        <v>0</v>
      </c>
      <c r="K48" s="6">
        <f t="shared" si="2"/>
        <v>0</v>
      </c>
      <c r="L48" s="6">
        <f t="shared" si="3"/>
        <v>0</v>
      </c>
      <c r="M48" s="3" t="str" cm="1">
        <f t="array" ref="M48">INDEX(Types!A:A,1+BIN2DEC(MID($B48,20,2)))</f>
        <v>Control</v>
      </c>
      <c r="N48" s="3" t="str" cm="1">
        <f t="array" ref="N48">IF(M48="ALU",INDEX(ALUOps!A:A,1+BIN2DEC(MID($B48,22,5))),"")</f>
        <v/>
      </c>
      <c r="O48" s="3" t="str" cm="1">
        <f t="array" ref="O48">IF(M48="ALU",INDEX(TMP!A:A,1+BIN2DEC(MID($B48,27,2))),"")</f>
        <v/>
      </c>
      <c r="P48" s="6" t="str">
        <f t="shared" si="4"/>
        <v/>
      </c>
      <c r="Q48" t="str">
        <f t="shared" si="5"/>
        <v/>
      </c>
      <c r="R48" t="str">
        <f t="shared" si="7"/>
        <v/>
      </c>
      <c r="S48" cm="1">
        <f t="array" ref="S48">IF(M48="Control",INDEX(IC!A:A,1+BIN2DEC(MID($B48,21,4))),"")</f>
        <v>0</v>
      </c>
      <c r="T48" cm="1">
        <f t="array" ref="T48">IF(M48="Control",INDEX(EC!A:A,1+BIN2DEC(MID($B48,25,3))),"")</f>
        <v>0</v>
      </c>
      <c r="U48" cm="1">
        <f t="array" ref="U48">IF(M48="Control",INDEX(SR!A:A,1+BIN2DEC(MID($B48,28,2))),"")</f>
        <v>0</v>
      </c>
    </row>
    <row r="49" spans="1:30" s="9" customFormat="1" ht="15.75" thickBot="1" x14ac:dyDescent="0.3">
      <c r="A49" s="7" t="str">
        <f t="shared" si="1"/>
        <v>02F</v>
      </c>
      <c r="B49" s="8" t="s">
        <v>53</v>
      </c>
      <c r="C49" s="10"/>
      <c r="D49" s="10"/>
      <c r="E49" s="10"/>
      <c r="F49" s="30" t="str" cm="1">
        <f t="array" ref="F49">INDEX(Sources!A:A, 1 + BIN2DEC(LEFT($B49,5)))</f>
        <v>OUT</v>
      </c>
      <c r="G49" s="30" t="str" cm="1">
        <f t="array" ref="G49">INDEX(Dest1!A:A,1+BIN2DEC(MID($B49,6,5)))</f>
        <v>OPR</v>
      </c>
      <c r="H49" s="30" t="str" cm="1">
        <f t="array" ref="H49">INDEX(Source2!A:A,1+BIN2DEC(MID($B49,11,4)))</f>
        <v>--</v>
      </c>
      <c r="I49" s="26" cm="1">
        <f t="array" ref="I49">INDEX('D2'!A:A,1+BIN2DEC(MID($B49,16,2)))</f>
        <v>1</v>
      </c>
      <c r="J49" s="11">
        <f t="shared" si="6"/>
        <v>1</v>
      </c>
      <c r="K49" s="11">
        <f t="shared" si="2"/>
        <v>0</v>
      </c>
      <c r="L49" s="11">
        <f t="shared" si="3"/>
        <v>1</v>
      </c>
      <c r="M49" s="10" t="str" cm="1">
        <f t="array" ref="M49">INDEX(Types!A:A,1+BIN2DEC(MID($B49,20,2)))</f>
        <v>Control</v>
      </c>
      <c r="N49" s="10" t="str" cm="1">
        <f t="array" ref="N49">IF(M49="ALU",INDEX(ALUOps!A:A,1+BIN2DEC(MID($B49,22,5))),"")</f>
        <v/>
      </c>
      <c r="O49" s="10" t="str" cm="1">
        <f t="array" ref="O49">IF(M49="ALU",INDEX(TMP!A:A,1+BIN2DEC(MID($B49,27,2))),"")</f>
        <v/>
      </c>
      <c r="P49" s="11" t="str">
        <f t="shared" si="4"/>
        <v/>
      </c>
      <c r="Q49" s="9" t="str">
        <f t="shared" si="5"/>
        <v/>
      </c>
      <c r="R49" s="9" t="str">
        <f t="shared" si="7"/>
        <v/>
      </c>
      <c r="S49" s="9" cm="1">
        <f t="array" ref="S49">IF(M49="Control",INDEX(IC!A:A,1+BIN2DEC(MID($B49,21,4))),"")</f>
        <v>0</v>
      </c>
      <c r="T49" s="9" cm="1">
        <f t="array" ref="T49">IF(M49="Control",INDEX(EC!A:A,1+BIN2DEC(MID($B49,25,3))),"")</f>
        <v>0</v>
      </c>
      <c r="U49" s="9" cm="1">
        <f t="array" ref="U49">IF(M49="Control",INDEX(SR!A:A,1+BIN2DEC(MID($B49,28,2))),"")</f>
        <v>0</v>
      </c>
    </row>
    <row r="50" spans="1:30" x14ac:dyDescent="0.25">
      <c r="A50" s="4" t="str">
        <f t="shared" si="1"/>
        <v>030</v>
      </c>
      <c r="B50" s="2" t="s">
        <v>39</v>
      </c>
      <c r="C50" s="2" t="s">
        <v>54</v>
      </c>
      <c r="D50" s="2" t="s">
        <v>928</v>
      </c>
      <c r="E50" s="2" t="s">
        <v>462</v>
      </c>
      <c r="F50" s="27" t="str" cm="1">
        <f t="array" ref="F50">INDEX(Sources!A:A, 1 + BIN2DEC(LEFT($B50,5)))</f>
        <v>--</v>
      </c>
      <c r="G50" s="27" t="str" cm="1">
        <f t="array" ref="G50">INDEX(Dest1!A:A,1+BIN2DEC(MID($B50,6,5)))</f>
        <v>--</v>
      </c>
      <c r="H50" s="27" t="str" cm="1">
        <f t="array" ref="H50">INDEX(Source2!A:A,1+BIN2DEC(MID($B50,11,4)))</f>
        <v>--</v>
      </c>
      <c r="I50" s="23" cm="1">
        <f t="array" ref="I50">INDEX('D2'!A:A,1+BIN2DEC(MID($B50,16,2)))</f>
        <v>0</v>
      </c>
      <c r="J50" s="6">
        <f t="shared" si="6"/>
        <v>0</v>
      </c>
      <c r="K50" s="6">
        <f t="shared" si="2"/>
        <v>0</v>
      </c>
      <c r="L50" s="6">
        <f t="shared" si="3"/>
        <v>1</v>
      </c>
      <c r="M50" s="3" t="str" cm="1">
        <f t="array" ref="M50">INDEX(Types!A:A,1+BIN2DEC(MID($B50,20,2)))</f>
        <v>Control</v>
      </c>
      <c r="N50" s="3" t="str" cm="1">
        <f t="array" ref="N50">IF(M50="ALU",INDEX(ALUOps!A:A,1+BIN2DEC(MID($B50,22,5))),"")</f>
        <v/>
      </c>
      <c r="O50" s="3" t="str" cm="1">
        <f t="array" ref="O50">IF(M50="ALU",INDEX(TMP!A:A,1+BIN2DEC(MID($B50,27,2))),"")</f>
        <v/>
      </c>
      <c r="P50" s="6" t="str">
        <f t="shared" si="4"/>
        <v/>
      </c>
      <c r="Q50" t="str">
        <f t="shared" si="5"/>
        <v/>
      </c>
      <c r="R50" t="str">
        <f t="shared" si="7"/>
        <v/>
      </c>
      <c r="S50" cm="1">
        <f t="array" ref="S50">IF(M50="Control",INDEX(IC!A:A,1+BIN2DEC(MID($B50,21,4))),"")</f>
        <v>0</v>
      </c>
      <c r="T50" cm="1">
        <f t="array" ref="T50">IF(M50="Control",INDEX(EC!A:A,1+BIN2DEC(MID($B50,25,3))),"")</f>
        <v>0</v>
      </c>
      <c r="U50" cm="1">
        <f t="array" ref="U50">IF(M50="Control",INDEX(SR!A:A,1+BIN2DEC(MID($B50,28,2))),"")</f>
        <v>0</v>
      </c>
      <c r="X50" t="s">
        <v>982</v>
      </c>
      <c r="AC50" t="s">
        <v>55</v>
      </c>
      <c r="AD50" s="1" t="s">
        <v>55</v>
      </c>
    </row>
    <row r="51" spans="1:30" s="15" customFormat="1" x14ac:dyDescent="0.25">
      <c r="A51" s="12" t="str">
        <f t="shared" si="1"/>
        <v>031</v>
      </c>
      <c r="B51" s="13" t="s">
        <v>4</v>
      </c>
      <c r="C51" s="14"/>
      <c r="D51" s="14"/>
      <c r="E51" s="14"/>
      <c r="F51" s="28"/>
      <c r="G51" s="28" t="str" cm="1">
        <f t="array" ref="G51">INDEX(Dest1!A:A,1+BIN2DEC(MID($B51,6,5)))</f>
        <v>--</v>
      </c>
      <c r="H51" s="28" t="str" cm="1">
        <f t="array" ref="H51">INDEX(Source2!A:A,1+BIN2DEC(MID($B51,11,4)))</f>
        <v>--</v>
      </c>
      <c r="I51" s="24"/>
      <c r="J51" s="16"/>
      <c r="K51" s="16"/>
      <c r="L51" s="16"/>
      <c r="M51" s="14"/>
      <c r="N51" s="14" t="str" cm="1">
        <f t="array" ref="N51">IF(M51="ALU",INDEX(ALUOps!A:A,1+BIN2DEC(MID($B51,22,5))),"")</f>
        <v/>
      </c>
      <c r="O51" s="14" t="str" cm="1">
        <f t="array" ref="O51">IF(M51="ALU",INDEX(TMP!A:A,1+BIN2DEC(MID($B51,27,2))),"")</f>
        <v/>
      </c>
      <c r="P51" s="16" t="str">
        <f t="shared" si="4"/>
        <v/>
      </c>
      <c r="Q51" s="15" t="str">
        <f t="shared" si="5"/>
        <v/>
      </c>
      <c r="R51" s="15" t="str">
        <f t="shared" si="7"/>
        <v/>
      </c>
      <c r="S51" s="15" t="str" cm="1">
        <f t="array" ref="S51">IF(M51="Control",INDEX(IC!A:A,1+BIN2DEC(MID($B51,21,4))),"")</f>
        <v/>
      </c>
      <c r="T51" s="15" t="str" cm="1">
        <f t="array" ref="T51">IF(M51="Control",INDEX(EC!A:A,1+BIN2DEC(MID($B51,25,3))),"")</f>
        <v/>
      </c>
      <c r="U51" s="15" t="str" cm="1">
        <f t="array" ref="U51">IF(M51="Control",INDEX(SR!A:A,1+BIN2DEC(MID($B51,28,2))),"")</f>
        <v/>
      </c>
    </row>
    <row r="52" spans="1:30" s="15" customFormat="1" x14ac:dyDescent="0.25">
      <c r="A52" s="12" t="str">
        <f t="shared" si="1"/>
        <v>032</v>
      </c>
      <c r="B52" s="13" t="s">
        <v>4</v>
      </c>
      <c r="C52" s="14"/>
      <c r="D52" s="14"/>
      <c r="E52" s="14"/>
      <c r="F52" s="28"/>
      <c r="G52" s="28" t="str" cm="1">
        <f t="array" ref="G52">INDEX(Dest1!A:A,1+BIN2DEC(MID($B52,6,5)))</f>
        <v>--</v>
      </c>
      <c r="H52" s="28" t="str" cm="1">
        <f t="array" ref="H52">INDEX(Source2!A:A,1+BIN2DEC(MID($B52,11,4)))</f>
        <v>--</v>
      </c>
      <c r="I52" s="24"/>
      <c r="J52" s="16"/>
      <c r="K52" s="16"/>
      <c r="L52" s="16"/>
      <c r="M52" s="14"/>
      <c r="N52" s="14" t="str" cm="1">
        <f t="array" ref="N52">IF(M52="ALU",INDEX(ALUOps!A:A,1+BIN2DEC(MID($B52,22,5))),"")</f>
        <v/>
      </c>
      <c r="O52" s="14" t="str" cm="1">
        <f t="array" ref="O52">IF(M52="ALU",INDEX(TMP!A:A,1+BIN2DEC(MID($B52,27,2))),"")</f>
        <v/>
      </c>
      <c r="P52" s="16" t="str">
        <f t="shared" si="4"/>
        <v/>
      </c>
      <c r="Q52" s="15" t="str">
        <f t="shared" si="5"/>
        <v/>
      </c>
      <c r="R52" s="15" t="str">
        <f t="shared" si="7"/>
        <v/>
      </c>
      <c r="S52" s="15" t="str" cm="1">
        <f t="array" ref="S52">IF(M52="Control",INDEX(IC!A:A,1+BIN2DEC(MID($B52,21,4))),"")</f>
        <v/>
      </c>
      <c r="T52" s="15" t="str" cm="1">
        <f t="array" ref="T52">IF(M52="Control",INDEX(EC!A:A,1+BIN2DEC(MID($B52,25,3))),"")</f>
        <v/>
      </c>
      <c r="U52" s="15" t="str" cm="1">
        <f t="array" ref="U52">IF(M52="Control",INDEX(SR!A:A,1+BIN2DEC(MID($B52,28,2))),"")</f>
        <v/>
      </c>
    </row>
    <row r="53" spans="1:30" s="20" customFormat="1" ht="15.75" thickBot="1" x14ac:dyDescent="0.3">
      <c r="A53" s="17" t="str">
        <f t="shared" si="1"/>
        <v>033</v>
      </c>
      <c r="B53" s="18" t="s">
        <v>4</v>
      </c>
      <c r="C53" s="19"/>
      <c r="D53" s="19"/>
      <c r="E53" s="19"/>
      <c r="F53" s="29"/>
      <c r="G53" s="29" t="str" cm="1">
        <f t="array" ref="G53">INDEX(Dest1!A:A,1+BIN2DEC(MID($B53,6,5)))</f>
        <v>--</v>
      </c>
      <c r="H53" s="29" t="str" cm="1">
        <f t="array" ref="H53">INDEX(Source2!A:A,1+BIN2DEC(MID($B53,11,4)))</f>
        <v>--</v>
      </c>
      <c r="I53" s="25"/>
      <c r="J53" s="21"/>
      <c r="K53" s="21"/>
      <c r="L53" s="21"/>
      <c r="M53" s="19"/>
      <c r="N53" s="19" t="str" cm="1">
        <f t="array" ref="N53">IF(M53="ALU",INDEX(ALUOps!A:A,1+BIN2DEC(MID($B53,22,5))),"")</f>
        <v/>
      </c>
      <c r="O53" s="19" t="str" cm="1">
        <f t="array" ref="O53">IF(M53="ALU",INDEX(TMP!A:A,1+BIN2DEC(MID($B53,27,2))),"")</f>
        <v/>
      </c>
      <c r="P53" s="21" t="str">
        <f t="shared" si="4"/>
        <v/>
      </c>
      <c r="Q53" s="20" t="str">
        <f t="shared" si="5"/>
        <v/>
      </c>
      <c r="R53" s="20" t="str">
        <f t="shared" si="7"/>
        <v/>
      </c>
      <c r="S53" s="20" t="str" cm="1">
        <f t="array" ref="S53">IF(M53="Control",INDEX(IC!A:A,1+BIN2DEC(MID($B53,21,4))),"")</f>
        <v/>
      </c>
      <c r="T53" s="20" t="str" cm="1">
        <f t="array" ref="T53">IF(M53="Control",INDEX(EC!A:A,1+BIN2DEC(MID($B53,25,3))),"")</f>
        <v/>
      </c>
      <c r="U53" s="20" t="str" cm="1">
        <f t="array" ref="U53">IF(M53="Control",INDEX(SR!A:A,1+BIN2DEC(MID($B53,28,2))),"")</f>
        <v/>
      </c>
    </row>
    <row r="54" spans="1:30" x14ac:dyDescent="0.25">
      <c r="A54" s="4" t="str">
        <f t="shared" si="1"/>
        <v>034</v>
      </c>
      <c r="B54" s="2" t="s">
        <v>56</v>
      </c>
      <c r="C54" s="2" t="s">
        <v>57</v>
      </c>
      <c r="D54" s="2" t="s">
        <v>928</v>
      </c>
      <c r="E54" s="2" t="s">
        <v>462</v>
      </c>
      <c r="F54" s="27" t="str" cm="1">
        <f t="array" ref="F54">INDEX(Sources!A:A, 1 + BIN2DEC(LEFT($B54,5)))</f>
        <v>Q</v>
      </c>
      <c r="G54" s="27" t="str" cm="1">
        <f t="array" ref="G54">INDEX(Dest1!A:A,1+BIN2DEC(MID($B54,6,5)))</f>
        <v>UNK10</v>
      </c>
      <c r="H54" s="27" t="str" cm="1">
        <f t="array" ref="H54">INDEX(Source2!A:A,1+BIN2DEC(MID($B54,11,4)))</f>
        <v>--</v>
      </c>
      <c r="I54" s="23" cm="1">
        <f t="array" ref="I54">INDEX('D2'!A:A,1+BIN2DEC(MID($B54,16,2)))</f>
        <v>0</v>
      </c>
      <c r="J54" s="6">
        <f t="shared" si="6"/>
        <v>0</v>
      </c>
      <c r="K54" s="6">
        <f t="shared" si="2"/>
        <v>0</v>
      </c>
      <c r="L54" s="6">
        <f t="shared" si="3"/>
        <v>0</v>
      </c>
      <c r="M54" s="3" t="str" cm="1">
        <f t="array" ref="M54">INDEX(Types!A:A,1+BIN2DEC(MID($B54,20,2)))</f>
        <v>ALU</v>
      </c>
      <c r="N54" s="3" cm="1">
        <f t="array" ref="N54">IF(M54="ALU",INDEX(ALUOps!A:A,1+BIN2DEC(MID($B54,22,5))),"")</f>
        <v>31</v>
      </c>
      <c r="O54" s="3" cm="1">
        <f t="array" ref="O54">IF(M54="ALU",INDEX(TMP!A:A,1+BIN2DEC(MID($B54,27,2))),"")</f>
        <v>3</v>
      </c>
      <c r="P54" s="6">
        <f t="shared" si="4"/>
        <v>1</v>
      </c>
      <c r="Q54" t="str">
        <f t="shared" si="5"/>
        <v/>
      </c>
      <c r="R54" t="str">
        <f t="shared" si="7"/>
        <v/>
      </c>
      <c r="S54" t="str" cm="1">
        <f t="array" ref="S54">IF(M54="Control",INDEX(IC!A:A,1+BIN2DEC(MID($B54,21,4))),"")</f>
        <v/>
      </c>
      <c r="T54" t="str" cm="1">
        <f t="array" ref="T54">IF(M54="Control",INDEX(EC!A:A,1+BIN2DEC(MID($B54,25,3))),"")</f>
        <v/>
      </c>
      <c r="U54" t="str" cm="1">
        <f t="array" ref="U54">IF(M54="Control",INDEX(SR!A:A,1+BIN2DEC(MID($B54,28,2))),"")</f>
        <v/>
      </c>
      <c r="X54" t="s">
        <v>1122</v>
      </c>
      <c r="AC54" t="s">
        <v>993</v>
      </c>
      <c r="AD54" s="1" t="s">
        <v>58</v>
      </c>
    </row>
    <row r="55" spans="1:30" x14ac:dyDescent="0.25">
      <c r="A55" s="4" t="str">
        <f t="shared" si="1"/>
        <v>035</v>
      </c>
      <c r="B55" s="2" t="s">
        <v>59</v>
      </c>
      <c r="C55" s="3"/>
      <c r="D55" s="3"/>
      <c r="E55" s="3"/>
      <c r="F55" s="27" t="str" cm="1">
        <f t="array" ref="F55">INDEX(Sources!A:A, 1 + BIN2DEC(LEFT($B55,5)))</f>
        <v>--</v>
      </c>
      <c r="G55" s="27" t="str" cm="1">
        <f t="array" ref="G55">INDEX(Dest1!A:A,1+BIN2DEC(MID($B55,6,5)))</f>
        <v>--</v>
      </c>
      <c r="H55" s="27" t="str" cm="1">
        <f t="array" ref="H55">INDEX(Source2!A:A,1+BIN2DEC(MID($B55,11,4)))</f>
        <v>--</v>
      </c>
      <c r="I55" s="23" cm="1">
        <f t="array" ref="I55">INDEX('D2'!A:A,1+BIN2DEC(MID($B55,16,2)))</f>
        <v>0</v>
      </c>
      <c r="J55" s="6">
        <f t="shared" si="6"/>
        <v>0</v>
      </c>
      <c r="K55" s="6">
        <f t="shared" si="2"/>
        <v>0</v>
      </c>
      <c r="L55" s="6">
        <f t="shared" si="3"/>
        <v>0</v>
      </c>
      <c r="M55" s="3" t="str" cm="1">
        <f t="array" ref="M55">INDEX(Types!A:A,1+BIN2DEC(MID($B55,20,2)))</f>
        <v>Jump</v>
      </c>
      <c r="N55" s="3" t="str" cm="1">
        <f t="array" ref="N55">IF(M55="ALU",INDEX(ALUOps!A:A,1+BIN2DEC(MID($B55,22,5))),"")</f>
        <v/>
      </c>
      <c r="O55" s="3" t="str" cm="1">
        <f t="array" ref="O55">IF(M55="ALU",INDEX(TMP!A:A,1+BIN2DEC(MID($B55,27,2))),"")</f>
        <v/>
      </c>
      <c r="P55" s="6" t="str">
        <f t="shared" si="4"/>
        <v/>
      </c>
      <c r="Q55">
        <f t="shared" si="5"/>
        <v>0</v>
      </c>
      <c r="R55">
        <f t="shared" si="7"/>
        <v>4</v>
      </c>
      <c r="S55" t="str" cm="1">
        <f t="array" ref="S55">IF(M55="Control",INDEX(IC!A:A,1+BIN2DEC(MID($B55,21,4))),"")</f>
        <v/>
      </c>
      <c r="T55" t="str" cm="1">
        <f t="array" ref="T55">IF(M55="Control",INDEX(EC!A:A,1+BIN2DEC(MID($B55,25,3))),"")</f>
        <v/>
      </c>
      <c r="U55" t="str" cm="1">
        <f t="array" ref="U55">IF(M55="Control",INDEX(SR!A:A,1+BIN2DEC(MID($B55,28,2))),"")</f>
        <v/>
      </c>
    </row>
    <row r="56" spans="1:30" x14ac:dyDescent="0.25">
      <c r="A56" s="4" t="str">
        <f t="shared" si="1"/>
        <v>036</v>
      </c>
      <c r="B56" s="2" t="s">
        <v>39</v>
      </c>
      <c r="C56" s="3"/>
      <c r="D56" s="3"/>
      <c r="E56" s="3"/>
      <c r="F56" s="27" t="str" cm="1">
        <f t="array" ref="F56">INDEX(Sources!A:A, 1 + BIN2DEC(LEFT($B56,5)))</f>
        <v>--</v>
      </c>
      <c r="G56" s="27" t="str" cm="1">
        <f t="array" ref="G56">INDEX(Dest1!A:A,1+BIN2DEC(MID($B56,6,5)))</f>
        <v>--</v>
      </c>
      <c r="H56" s="27" t="str" cm="1">
        <f t="array" ref="H56">INDEX(Source2!A:A,1+BIN2DEC(MID($B56,11,4)))</f>
        <v>--</v>
      </c>
      <c r="I56" s="23" cm="1">
        <f t="array" ref="I56">INDEX('D2'!A:A,1+BIN2DEC(MID($B56,16,2)))</f>
        <v>0</v>
      </c>
      <c r="J56" s="6">
        <f t="shared" si="6"/>
        <v>0</v>
      </c>
      <c r="K56" s="6">
        <f t="shared" si="2"/>
        <v>0</v>
      </c>
      <c r="L56" s="6">
        <f t="shared" si="3"/>
        <v>1</v>
      </c>
      <c r="M56" s="3" t="str" cm="1">
        <f t="array" ref="M56">INDEX(Types!A:A,1+BIN2DEC(MID($B56,20,2)))</f>
        <v>Control</v>
      </c>
      <c r="N56" s="3" t="str" cm="1">
        <f t="array" ref="N56">IF(M56="ALU",INDEX(ALUOps!A:A,1+BIN2DEC(MID($B56,22,5))),"")</f>
        <v/>
      </c>
      <c r="O56" s="3" t="str" cm="1">
        <f t="array" ref="O56">IF(M56="ALU",INDEX(TMP!A:A,1+BIN2DEC(MID($B56,27,2))),"")</f>
        <v/>
      </c>
      <c r="P56" s="6" t="str">
        <f t="shared" si="4"/>
        <v/>
      </c>
      <c r="Q56" t="str">
        <f t="shared" si="5"/>
        <v/>
      </c>
      <c r="R56" t="str">
        <f t="shared" si="7"/>
        <v/>
      </c>
      <c r="S56" cm="1">
        <f t="array" ref="S56">IF(M56="Control",INDEX(IC!A:A,1+BIN2DEC(MID($B56,21,4))),"")</f>
        <v>0</v>
      </c>
      <c r="T56" cm="1">
        <f t="array" ref="T56">IF(M56="Control",INDEX(EC!A:A,1+BIN2DEC(MID($B56,25,3))),"")</f>
        <v>0</v>
      </c>
      <c r="U56" cm="1">
        <f t="array" ref="U56">IF(M56="Control",INDEX(SR!A:A,1+BIN2DEC(MID($B56,28,2))),"")</f>
        <v>0</v>
      </c>
    </row>
    <row r="57" spans="1:30" x14ac:dyDescent="0.25">
      <c r="A57" s="4" t="str">
        <f t="shared" si="1"/>
        <v>037</v>
      </c>
      <c r="B57" s="2" t="s">
        <v>4</v>
      </c>
      <c r="C57" s="3"/>
      <c r="D57" s="3"/>
      <c r="E57" s="3"/>
      <c r="F57" s="27" t="str" cm="1">
        <f t="array" ref="F57">INDEX(Sources!A:A, 1 + BIN2DEC(LEFT($B57,5)))</f>
        <v>--</v>
      </c>
      <c r="G57" s="27" t="str" cm="1">
        <f t="array" ref="G57">INDEX(Dest1!A:A,1+BIN2DEC(MID($B57,6,5)))</f>
        <v>--</v>
      </c>
      <c r="H57" s="27" t="str" cm="1">
        <f t="array" ref="H57">INDEX(Source2!A:A,1+BIN2DEC(MID($B57,11,4)))</f>
        <v>--</v>
      </c>
      <c r="I57" s="23" cm="1">
        <f t="array" ref="I57">INDEX('D2'!A:A,1+BIN2DEC(MID($B57,16,2)))</f>
        <v>0</v>
      </c>
      <c r="J57" s="6">
        <f t="shared" si="6"/>
        <v>0</v>
      </c>
      <c r="K57" s="6">
        <f t="shared" si="2"/>
        <v>0</v>
      </c>
      <c r="L57" s="6">
        <f t="shared" si="3"/>
        <v>0</v>
      </c>
      <c r="M57" s="3" t="str" cm="1">
        <f t="array" ref="M57">INDEX(Types!A:A,1+BIN2DEC(MID($B57,20,2)))</f>
        <v>Control</v>
      </c>
      <c r="N57" s="3" t="str" cm="1">
        <f t="array" ref="N57">IF(M57="ALU",INDEX(ALUOps!A:A,1+BIN2DEC(MID($B57,22,5))),"")</f>
        <v/>
      </c>
      <c r="O57" s="3" t="str" cm="1">
        <f t="array" ref="O57">IF(M57="ALU",INDEX(TMP!A:A,1+BIN2DEC(MID($B57,27,2))),"")</f>
        <v/>
      </c>
      <c r="P57" s="6" t="str">
        <f t="shared" si="4"/>
        <v/>
      </c>
      <c r="Q57" t="str">
        <f t="shared" si="5"/>
        <v/>
      </c>
      <c r="R57" t="str">
        <f t="shared" si="7"/>
        <v/>
      </c>
      <c r="S57" cm="1">
        <f t="array" ref="S57">IF(M57="Control",INDEX(IC!A:A,1+BIN2DEC(MID($B57,21,4))),"")</f>
        <v>0</v>
      </c>
      <c r="T57" cm="1">
        <f t="array" ref="T57">IF(M57="Control",INDEX(EC!A:A,1+BIN2DEC(MID($B57,25,3))),"")</f>
        <v>0</v>
      </c>
      <c r="U57" cm="1">
        <f t="array" ref="U57">IF(M57="Control",INDEX(SR!A:A,1+BIN2DEC(MID($B57,28,2))),"")</f>
        <v>0</v>
      </c>
    </row>
    <row r="58" spans="1:30" x14ac:dyDescent="0.25">
      <c r="A58" s="4" t="str">
        <f t="shared" si="1"/>
        <v>038</v>
      </c>
      <c r="B58" s="2" t="s">
        <v>60</v>
      </c>
      <c r="C58" s="2" t="s">
        <v>61</v>
      </c>
      <c r="D58" s="2" t="s">
        <v>928</v>
      </c>
      <c r="E58" s="2" t="s">
        <v>929</v>
      </c>
      <c r="F58" s="27" t="str" cm="1">
        <f t="array" ref="F58">INDEX(Sources!A:A, 1 + BIN2DEC(LEFT($B58,5)))</f>
        <v>UNK27</v>
      </c>
      <c r="G58" s="27" t="str" cm="1">
        <f t="array" ref="G58">INDEX(Dest1!A:A,1+BIN2DEC(MID($B58,6,5)))</f>
        <v>TMPB</v>
      </c>
      <c r="H58" s="27" t="str" cm="1">
        <f t="array" ref="H58">INDEX(Source2!A:A,1+BIN2DEC(MID($B58,11,4)))</f>
        <v>--</v>
      </c>
      <c r="I58" s="23" cm="1">
        <f t="array" ref="I58">INDEX('D2'!A:A,1+BIN2DEC(MID($B58,16,2)))</f>
        <v>0</v>
      </c>
      <c r="J58" s="6">
        <f t="shared" si="6"/>
        <v>0</v>
      </c>
      <c r="K58" s="6">
        <f t="shared" si="2"/>
        <v>0</v>
      </c>
      <c r="L58" s="6">
        <f t="shared" si="3"/>
        <v>0</v>
      </c>
      <c r="M58" s="3" t="str" cm="1">
        <f t="array" ref="M58">INDEX(Types!A:A,1+BIN2DEC(MID($B58,20,2)))</f>
        <v>Control</v>
      </c>
      <c r="N58" s="3" t="str" cm="1">
        <f t="array" ref="N58">IF(M58="ALU",INDEX(ALUOps!A:A,1+BIN2DEC(MID($B58,22,5))),"")</f>
        <v/>
      </c>
      <c r="O58" s="3" t="str" cm="1">
        <f t="array" ref="O58">IF(M58="ALU",INDEX(TMP!A:A,1+BIN2DEC(MID($B58,27,2))),"")</f>
        <v/>
      </c>
      <c r="P58" s="6" t="str">
        <f t="shared" si="4"/>
        <v/>
      </c>
      <c r="Q58" t="str">
        <f t="shared" si="5"/>
        <v/>
      </c>
      <c r="R58" t="str">
        <f t="shared" si="7"/>
        <v/>
      </c>
      <c r="S58" cm="1">
        <f t="array" ref="S58">IF(M58="Control",INDEX(IC!A:A,1+BIN2DEC(MID($B58,21,4))),"")</f>
        <v>7</v>
      </c>
      <c r="T58" cm="1">
        <f t="array" ref="T58">IF(M58="Control",INDEX(EC!A:A,1+BIN2DEC(MID($B58,25,3))),"")</f>
        <v>0</v>
      </c>
      <c r="U58" cm="1">
        <f t="array" ref="U58">IF(M58="Control",INDEX(SR!A:A,1+BIN2DEC(MID($B58,28,2))),"")</f>
        <v>0</v>
      </c>
      <c r="AD58" s="1" t="s">
        <v>58</v>
      </c>
    </row>
    <row r="59" spans="1:30" x14ac:dyDescent="0.25">
      <c r="A59" s="4" t="str">
        <f t="shared" si="1"/>
        <v>039</v>
      </c>
      <c r="B59" s="2" t="s">
        <v>62</v>
      </c>
      <c r="C59" s="3"/>
      <c r="D59" s="3"/>
      <c r="E59" s="3"/>
      <c r="F59" s="27" t="str" cm="1">
        <f t="array" ref="F59">INDEX(Sources!A:A, 1 + BIN2DEC(LEFT($B59,5)))</f>
        <v>SIGMA</v>
      </c>
      <c r="G59" s="27" t="str" cm="1">
        <f t="array" ref="G59">INDEX(Dest1!A:A,1+BIN2DEC(MID($B59,6,5)))</f>
        <v>PC</v>
      </c>
      <c r="H59" s="27" t="str" cm="1">
        <f t="array" ref="H59">INDEX(Source2!A:A,1+BIN2DEC(MID($B59,11,4)))</f>
        <v>--</v>
      </c>
      <c r="I59" s="23" cm="1">
        <f t="array" ref="I59">INDEX('D2'!A:A,1+BIN2DEC(MID($B59,16,2)))</f>
        <v>0</v>
      </c>
      <c r="J59" s="6">
        <f t="shared" si="6"/>
        <v>0</v>
      </c>
      <c r="K59" s="6">
        <f t="shared" si="2"/>
        <v>0</v>
      </c>
      <c r="L59" s="6">
        <f t="shared" si="3"/>
        <v>1</v>
      </c>
      <c r="M59" s="3" t="str" cm="1">
        <f t="array" ref="M59">INDEX(Types!A:A,1+BIN2DEC(MID($B59,20,2)))</f>
        <v>Control</v>
      </c>
      <c r="N59" s="3" t="str" cm="1">
        <f t="array" ref="N59">IF(M59="ALU",INDEX(ALUOps!A:A,1+BIN2DEC(MID($B59,22,5))),"")</f>
        <v/>
      </c>
      <c r="O59" s="3" t="str" cm="1">
        <f t="array" ref="O59">IF(M59="ALU",INDEX(TMP!A:A,1+BIN2DEC(MID($B59,27,2))),"")</f>
        <v/>
      </c>
      <c r="P59" s="6" t="str">
        <f t="shared" si="4"/>
        <v/>
      </c>
      <c r="Q59" t="str">
        <f t="shared" si="5"/>
        <v/>
      </c>
      <c r="R59" t="str">
        <f t="shared" si="7"/>
        <v/>
      </c>
      <c r="S59" cm="1">
        <f t="array" ref="S59">IF(M59="Control",INDEX(IC!A:A,1+BIN2DEC(MID($B59,21,4))),"")</f>
        <v>6</v>
      </c>
      <c r="T59" cm="1">
        <f t="array" ref="T59">IF(M59="Control",INDEX(EC!A:A,1+BIN2DEC(MID($B59,25,3))),"")</f>
        <v>0</v>
      </c>
      <c r="U59" cm="1">
        <f t="array" ref="U59">IF(M59="Control",INDEX(SR!A:A,1+BIN2DEC(MID($B59,28,2))),"")</f>
        <v>0</v>
      </c>
    </row>
    <row r="60" spans="1:30" x14ac:dyDescent="0.25">
      <c r="A60" s="4" t="str">
        <f t="shared" si="1"/>
        <v>03A</v>
      </c>
      <c r="B60" s="2" t="s">
        <v>4</v>
      </c>
      <c r="C60" s="3"/>
      <c r="D60" s="3"/>
      <c r="E60" s="3"/>
      <c r="F60" s="27" t="str" cm="1">
        <f t="array" ref="F60">INDEX(Sources!A:A, 1 + BIN2DEC(LEFT($B60,5)))</f>
        <v>--</v>
      </c>
      <c r="G60" s="27" t="str" cm="1">
        <f t="array" ref="G60">INDEX(Dest1!A:A,1+BIN2DEC(MID($B60,6,5)))</f>
        <v>--</v>
      </c>
      <c r="H60" s="27" t="str" cm="1">
        <f t="array" ref="H60">INDEX(Source2!A:A,1+BIN2DEC(MID($B60,11,4)))</f>
        <v>--</v>
      </c>
      <c r="I60" s="23" cm="1">
        <f t="array" ref="I60">INDEX('D2'!A:A,1+BIN2DEC(MID($B60,16,2)))</f>
        <v>0</v>
      </c>
      <c r="J60" s="6">
        <f t="shared" si="6"/>
        <v>0</v>
      </c>
      <c r="K60" s="6">
        <f t="shared" si="2"/>
        <v>0</v>
      </c>
      <c r="L60" s="6">
        <f t="shared" si="3"/>
        <v>0</v>
      </c>
      <c r="M60" s="3" t="str" cm="1">
        <f t="array" ref="M60">INDEX(Types!A:A,1+BIN2DEC(MID($B60,20,2)))</f>
        <v>Control</v>
      </c>
      <c r="N60" s="3" t="str" cm="1">
        <f t="array" ref="N60">IF(M60="ALU",INDEX(ALUOps!A:A,1+BIN2DEC(MID($B60,22,5))),"")</f>
        <v/>
      </c>
      <c r="O60" s="3" t="str" cm="1">
        <f t="array" ref="O60">IF(M60="ALU",INDEX(TMP!A:A,1+BIN2DEC(MID($B60,27,2))),"")</f>
        <v/>
      </c>
      <c r="P60" s="6" t="str">
        <f t="shared" si="4"/>
        <v/>
      </c>
      <c r="Q60" t="str">
        <f t="shared" si="5"/>
        <v/>
      </c>
      <c r="R60" t="str">
        <f t="shared" si="7"/>
        <v/>
      </c>
      <c r="S60" cm="1">
        <f t="array" ref="S60">IF(M60="Control",INDEX(IC!A:A,1+BIN2DEC(MID($B60,21,4))),"")</f>
        <v>0</v>
      </c>
      <c r="T60" cm="1">
        <f t="array" ref="T60">IF(M60="Control",INDEX(EC!A:A,1+BIN2DEC(MID($B60,25,3))),"")</f>
        <v>0</v>
      </c>
      <c r="U60" cm="1">
        <f t="array" ref="U60">IF(M60="Control",INDEX(SR!A:A,1+BIN2DEC(MID($B60,28,2))),"")</f>
        <v>0</v>
      </c>
    </row>
    <row r="61" spans="1:30" s="9" customFormat="1" ht="15.75" thickBot="1" x14ac:dyDescent="0.3">
      <c r="A61" s="7" t="str">
        <f t="shared" si="1"/>
        <v>03B</v>
      </c>
      <c r="B61" s="8" t="s">
        <v>4</v>
      </c>
      <c r="C61" s="10"/>
      <c r="D61" s="10"/>
      <c r="E61" s="10"/>
      <c r="F61" s="30" t="str" cm="1">
        <f t="array" ref="F61">INDEX(Sources!A:A, 1 + BIN2DEC(LEFT($B61,5)))</f>
        <v>--</v>
      </c>
      <c r="G61" s="30" t="str" cm="1">
        <f t="array" ref="G61">INDEX(Dest1!A:A,1+BIN2DEC(MID($B61,6,5)))</f>
        <v>--</v>
      </c>
      <c r="H61" s="30" t="str" cm="1">
        <f t="array" ref="H61">INDEX(Source2!A:A,1+BIN2DEC(MID($B61,11,4)))</f>
        <v>--</v>
      </c>
      <c r="I61" s="26" cm="1">
        <f t="array" ref="I61">INDEX('D2'!A:A,1+BIN2DEC(MID($B61,16,2)))</f>
        <v>0</v>
      </c>
      <c r="J61" s="11">
        <f t="shared" si="6"/>
        <v>0</v>
      </c>
      <c r="K61" s="11">
        <f t="shared" si="2"/>
        <v>0</v>
      </c>
      <c r="L61" s="11">
        <f t="shared" si="3"/>
        <v>0</v>
      </c>
      <c r="M61" s="10" t="str" cm="1">
        <f t="array" ref="M61">INDEX(Types!A:A,1+BIN2DEC(MID($B61,20,2)))</f>
        <v>Control</v>
      </c>
      <c r="N61" s="10" t="str" cm="1">
        <f t="array" ref="N61">IF(M61="ALU",INDEX(ALUOps!A:A,1+BIN2DEC(MID($B61,22,5))),"")</f>
        <v/>
      </c>
      <c r="O61" s="10" t="str" cm="1">
        <f t="array" ref="O61">IF(M61="ALU",INDEX(TMP!A:A,1+BIN2DEC(MID($B61,27,2))),"")</f>
        <v/>
      </c>
      <c r="P61" s="11" t="str">
        <f t="shared" si="4"/>
        <v/>
      </c>
      <c r="Q61" s="9" t="str">
        <f t="shared" si="5"/>
        <v/>
      </c>
      <c r="R61" s="9" t="str">
        <f t="shared" si="7"/>
        <v/>
      </c>
      <c r="S61" s="9" cm="1">
        <f t="array" ref="S61">IF(M61="Control",INDEX(IC!A:A,1+BIN2DEC(MID($B61,21,4))),"")</f>
        <v>0</v>
      </c>
      <c r="T61" s="9" cm="1">
        <f t="array" ref="T61">IF(M61="Control",INDEX(EC!A:A,1+BIN2DEC(MID($B61,25,3))),"")</f>
        <v>0</v>
      </c>
      <c r="U61" s="9" cm="1">
        <f t="array" ref="U61">IF(M61="Control",INDEX(SR!A:A,1+BIN2DEC(MID($B61,28,2))),"")</f>
        <v>0</v>
      </c>
    </row>
    <row r="62" spans="1:30" x14ac:dyDescent="0.25">
      <c r="A62" s="4" t="str">
        <f t="shared" si="1"/>
        <v>03C</v>
      </c>
      <c r="B62" s="2" t="s">
        <v>63</v>
      </c>
      <c r="C62" s="2" t="s">
        <v>64</v>
      </c>
      <c r="D62" s="2" t="s">
        <v>928</v>
      </c>
      <c r="E62" s="2" t="s">
        <v>462</v>
      </c>
      <c r="F62" s="27" t="str" cm="1">
        <f t="array" ref="F62">INDEX(Sources!A:A, 1 + BIN2DEC(LEFT($B62,5)))</f>
        <v>Q</v>
      </c>
      <c r="G62" s="27" t="str" cm="1">
        <f t="array" ref="G62">INDEX(Dest1!A:A,1+BIN2DEC(MID($B62,6,5)))</f>
        <v>UNK10</v>
      </c>
      <c r="H62" s="27" t="str" cm="1">
        <f t="array" ref="H62">INDEX(Source2!A:A,1+BIN2DEC(MID($B62,11,4)))</f>
        <v>--</v>
      </c>
      <c r="I62" s="23" cm="1">
        <f t="array" ref="I62">INDEX('D2'!A:A,1+BIN2DEC(MID($B62,16,2)))</f>
        <v>0</v>
      </c>
      <c r="J62" s="6">
        <f t="shared" si="6"/>
        <v>0</v>
      </c>
      <c r="K62" s="6">
        <f t="shared" si="2"/>
        <v>0</v>
      </c>
      <c r="L62" s="6">
        <f t="shared" si="3"/>
        <v>0</v>
      </c>
      <c r="M62" s="3" t="str" cm="1">
        <f t="array" ref="M62">INDEX(Types!A:A,1+BIN2DEC(MID($B62,20,2)))</f>
        <v>Jump</v>
      </c>
      <c r="N62" s="3" t="str" cm="1">
        <f t="array" ref="N62">IF(M62="ALU",INDEX(ALUOps!A:A,1+BIN2DEC(MID($B62,22,5))),"")</f>
        <v/>
      </c>
      <c r="O62" s="3" t="str" cm="1">
        <f t="array" ref="O62">IF(M62="ALU",INDEX(TMP!A:A,1+BIN2DEC(MID($B62,27,2))),"")</f>
        <v/>
      </c>
      <c r="P62" s="6" t="str">
        <f t="shared" si="4"/>
        <v/>
      </c>
      <c r="Q62">
        <f t="shared" si="5"/>
        <v>8</v>
      </c>
      <c r="R62">
        <f t="shared" si="7"/>
        <v>2</v>
      </c>
      <c r="S62" t="str" cm="1">
        <f t="array" ref="S62">IF(M62="Control",INDEX(IC!A:A,1+BIN2DEC(MID($B62,21,4))),"")</f>
        <v/>
      </c>
      <c r="T62" t="str" cm="1">
        <f t="array" ref="T62">IF(M62="Control",INDEX(EC!A:A,1+BIN2DEC(MID($B62,25,3))),"")</f>
        <v/>
      </c>
      <c r="U62" t="str" cm="1">
        <f t="array" ref="U62">IF(M62="Control",INDEX(SR!A:A,1+BIN2DEC(MID($B62,28,2))),"")</f>
        <v/>
      </c>
      <c r="X62" t="s">
        <v>983</v>
      </c>
      <c r="AD62" s="1" t="s">
        <v>65</v>
      </c>
    </row>
    <row r="63" spans="1:30" x14ac:dyDescent="0.25">
      <c r="A63" s="4" t="str">
        <f t="shared" si="1"/>
        <v>03D</v>
      </c>
      <c r="B63" s="2" t="s">
        <v>66</v>
      </c>
      <c r="C63" s="3"/>
      <c r="D63" s="3"/>
      <c r="E63" s="3"/>
      <c r="F63" s="27" t="str" cm="1">
        <f t="array" ref="F63">INDEX(Sources!A:A, 1 + BIN2DEC(LEFT($B63,5)))</f>
        <v>Q</v>
      </c>
      <c r="G63" s="27" t="str" cm="1">
        <f t="array" ref="G63">INDEX(Dest1!A:A,1+BIN2DEC(MID($B63,6,5)))</f>
        <v>UNK8</v>
      </c>
      <c r="H63" s="27" t="str" cm="1">
        <f t="array" ref="H63">INDEX(Source2!A:A,1+BIN2DEC(MID($B63,11,4)))</f>
        <v>--</v>
      </c>
      <c r="I63" s="23" cm="1">
        <f t="array" ref="I63">INDEX('D2'!A:A,1+BIN2DEC(MID($B63,16,2)))</f>
        <v>0</v>
      </c>
      <c r="J63" s="6">
        <f t="shared" si="6"/>
        <v>0</v>
      </c>
      <c r="K63" s="6">
        <f t="shared" si="2"/>
        <v>0</v>
      </c>
      <c r="L63" s="6">
        <f t="shared" si="3"/>
        <v>0</v>
      </c>
      <c r="M63" s="3" t="str" cm="1">
        <f t="array" ref="M63">INDEX(Types!A:A,1+BIN2DEC(MID($B63,20,2)))</f>
        <v>Control</v>
      </c>
      <c r="N63" s="3" t="str" cm="1">
        <f t="array" ref="N63">IF(M63="ALU",INDEX(ALUOps!A:A,1+BIN2DEC(MID($B63,22,5))),"")</f>
        <v/>
      </c>
      <c r="O63" s="3" t="str" cm="1">
        <f t="array" ref="O63">IF(M63="ALU",INDEX(TMP!A:A,1+BIN2DEC(MID($B63,27,2))),"")</f>
        <v/>
      </c>
      <c r="P63" s="6" t="str">
        <f t="shared" si="4"/>
        <v/>
      </c>
      <c r="Q63" t="str">
        <f t="shared" si="5"/>
        <v/>
      </c>
      <c r="R63" t="str">
        <f t="shared" si="7"/>
        <v/>
      </c>
      <c r="S63" cm="1">
        <f t="array" ref="S63">IF(M63="Control",INDEX(IC!A:A,1+BIN2DEC(MID($B63,21,4))),"")</f>
        <v>0</v>
      </c>
      <c r="T63" cm="1">
        <f t="array" ref="T63">IF(M63="Control",INDEX(EC!A:A,1+BIN2DEC(MID($B63,25,3))),"")</f>
        <v>0</v>
      </c>
      <c r="U63" cm="1">
        <f t="array" ref="U63">IF(M63="Control",INDEX(SR!A:A,1+BIN2DEC(MID($B63,28,2))),"")</f>
        <v>0</v>
      </c>
    </row>
    <row r="64" spans="1:30" x14ac:dyDescent="0.25">
      <c r="A64" s="4" t="str">
        <f t="shared" si="1"/>
        <v>03E</v>
      </c>
      <c r="B64" s="2" t="s">
        <v>67</v>
      </c>
      <c r="C64" s="3"/>
      <c r="D64" s="3"/>
      <c r="E64" s="3"/>
      <c r="F64" s="27" t="str" cm="1">
        <f t="array" ref="F64">INDEX(Sources!A:A, 1 + BIN2DEC(LEFT($B64,5)))</f>
        <v>TMPA</v>
      </c>
      <c r="G64" s="27" t="str" cm="1">
        <f t="array" ref="G64">INDEX(Dest1!A:A,1+BIN2DEC(MID($B64,6,5)))</f>
        <v>TMPB</v>
      </c>
      <c r="H64" s="27" t="str" cm="1">
        <f t="array" ref="H64">INDEX(Source2!A:A,1+BIN2DEC(MID($B64,11,4)))</f>
        <v>--</v>
      </c>
      <c r="I64" s="23" cm="1">
        <f t="array" ref="I64">INDEX('D2'!A:A,1+BIN2DEC(MID($B64,16,2)))</f>
        <v>0</v>
      </c>
      <c r="J64" s="6">
        <f t="shared" si="6"/>
        <v>0</v>
      </c>
      <c r="K64" s="6">
        <f t="shared" si="2"/>
        <v>0</v>
      </c>
      <c r="L64" s="6">
        <f t="shared" si="3"/>
        <v>0</v>
      </c>
      <c r="M64" s="3" t="str" cm="1">
        <f t="array" ref="M64">INDEX(Types!A:A,1+BIN2DEC(MID($B64,20,2)))</f>
        <v>ALU</v>
      </c>
      <c r="N64" s="3" cm="1">
        <f t="array" ref="N64">IF(M64="ALU",INDEX(ALUOps!A:A,1+BIN2DEC(MID($B64,22,5))),"")</f>
        <v>9</v>
      </c>
      <c r="O64" s="3" cm="1">
        <f t="array" ref="O64">IF(M64="ALU",INDEX(TMP!A:A,1+BIN2DEC(MID($B64,27,2))),"")</f>
        <v>3</v>
      </c>
      <c r="P64" s="6">
        <f t="shared" si="4"/>
        <v>1</v>
      </c>
      <c r="Q64" t="str">
        <f t="shared" si="5"/>
        <v/>
      </c>
      <c r="R64" t="str">
        <f t="shared" si="7"/>
        <v/>
      </c>
      <c r="S64" t="str" cm="1">
        <f t="array" ref="S64">IF(M64="Control",INDEX(IC!A:A,1+BIN2DEC(MID($B64,21,4))),"")</f>
        <v/>
      </c>
      <c r="T64" t="str" cm="1">
        <f t="array" ref="T64">IF(M64="Control",INDEX(EC!A:A,1+BIN2DEC(MID($B64,25,3))),"")</f>
        <v/>
      </c>
      <c r="U64" t="str" cm="1">
        <f t="array" ref="U64">IF(M64="Control",INDEX(SR!A:A,1+BIN2DEC(MID($B64,28,2))),"")</f>
        <v/>
      </c>
    </row>
    <row r="65" spans="1:30" x14ac:dyDescent="0.25">
      <c r="A65" s="4" t="str">
        <f t="shared" si="1"/>
        <v>03F</v>
      </c>
      <c r="B65" s="2" t="s">
        <v>68</v>
      </c>
      <c r="C65" s="3"/>
      <c r="D65" s="3"/>
      <c r="E65" s="3"/>
      <c r="F65" s="27" t="str" cm="1">
        <f t="array" ref="F65">INDEX(Sources!A:A, 1 + BIN2DEC(LEFT($B65,5)))</f>
        <v>OPR</v>
      </c>
      <c r="G65" s="27" t="str" cm="1">
        <f t="array" ref="G65">INDEX(Dest1!A:A,1+BIN2DEC(MID($B65,6,5)))</f>
        <v>TMPA</v>
      </c>
      <c r="H65" s="27" t="str" cm="1">
        <f t="array" ref="H65">INDEX(Source2!A:A,1+BIN2DEC(MID($B65,11,4)))</f>
        <v>--</v>
      </c>
      <c r="I65" s="23" cm="1">
        <f t="array" ref="I65">INDEX('D2'!A:A,1+BIN2DEC(MID($B65,16,2)))</f>
        <v>0</v>
      </c>
      <c r="J65" s="6">
        <f t="shared" si="6"/>
        <v>0</v>
      </c>
      <c r="K65" s="6">
        <f t="shared" si="2"/>
        <v>0</v>
      </c>
      <c r="L65" s="6">
        <f t="shared" si="3"/>
        <v>0</v>
      </c>
      <c r="M65" s="3" t="str" cm="1">
        <f t="array" ref="M65">INDEX(Types!A:A,1+BIN2DEC(MID($B65,20,2)))</f>
        <v>Control</v>
      </c>
      <c r="N65" s="3" t="str" cm="1">
        <f t="array" ref="N65">IF(M65="ALU",INDEX(ALUOps!A:A,1+BIN2DEC(MID($B65,22,5))),"")</f>
        <v/>
      </c>
      <c r="O65" s="3" t="str" cm="1">
        <f t="array" ref="O65">IF(M65="ALU",INDEX(TMP!A:A,1+BIN2DEC(MID($B65,27,2))),"")</f>
        <v/>
      </c>
      <c r="P65" s="6" t="str">
        <f t="shared" si="4"/>
        <v/>
      </c>
      <c r="Q65" t="str">
        <f t="shared" si="5"/>
        <v/>
      </c>
      <c r="R65" t="str">
        <f t="shared" si="7"/>
        <v/>
      </c>
      <c r="S65" cm="1">
        <f t="array" ref="S65">IF(M65="Control",INDEX(IC!A:A,1+BIN2DEC(MID($B65,21,4))),"")</f>
        <v>0</v>
      </c>
      <c r="T65" cm="1">
        <f t="array" ref="T65">IF(M65="Control",INDEX(EC!A:A,1+BIN2DEC(MID($B65,25,3))),"")</f>
        <v>0</v>
      </c>
      <c r="U65" cm="1">
        <f t="array" ref="U65">IF(M65="Control",INDEX(SR!A:A,1+BIN2DEC(MID($B65,28,2))),"")</f>
        <v>0</v>
      </c>
    </row>
    <row r="66" spans="1:30" x14ac:dyDescent="0.25">
      <c r="A66" s="4" t="str">
        <f t="shared" si="1"/>
        <v>040</v>
      </c>
      <c r="B66" s="2" t="s">
        <v>3</v>
      </c>
      <c r="C66" s="2" t="s">
        <v>69</v>
      </c>
      <c r="D66" s="2" t="s">
        <v>928</v>
      </c>
      <c r="E66" s="2" t="s">
        <v>929</v>
      </c>
      <c r="F66" s="27" t="str" cm="1">
        <f t="array" ref="F66">INDEX(Sources!A:A, 1 + BIN2DEC(LEFT($B66,5)))</f>
        <v>SIGMA</v>
      </c>
      <c r="G66" s="27" t="str" cm="1">
        <f t="array" ref="G66">INDEX(Dest1!A:A,1+BIN2DEC(MID($B66,6,5)))</f>
        <v>OPR</v>
      </c>
      <c r="H66" s="27" t="str" cm="1">
        <f t="array" ref="H66">INDEX(Source2!A:A,1+BIN2DEC(MID($B66,11,4)))</f>
        <v>--</v>
      </c>
      <c r="I66" s="23" cm="1">
        <f t="array" ref="I66">INDEX('D2'!A:A,1+BIN2DEC(MID($B66,16,2)))</f>
        <v>0</v>
      </c>
      <c r="J66" s="6">
        <f t="shared" si="6"/>
        <v>0</v>
      </c>
      <c r="K66" s="6">
        <f t="shared" si="2"/>
        <v>1</v>
      </c>
      <c r="L66" s="6">
        <f t="shared" si="3"/>
        <v>1</v>
      </c>
      <c r="M66" s="3" t="str" cm="1">
        <f t="array" ref="M66">INDEX(Types!A:A,1+BIN2DEC(MID($B66,20,2)))</f>
        <v>Control</v>
      </c>
      <c r="N66" s="3" t="str" cm="1">
        <f t="array" ref="N66">IF(M66="ALU",INDEX(ALUOps!A:A,1+BIN2DEC(MID($B66,22,5))),"")</f>
        <v/>
      </c>
      <c r="O66" s="3" t="str" cm="1">
        <f t="array" ref="O66">IF(M66="ALU",INDEX(TMP!A:A,1+BIN2DEC(MID($B66,27,2))),"")</f>
        <v/>
      </c>
      <c r="P66" s="6" t="str">
        <f t="shared" si="4"/>
        <v/>
      </c>
      <c r="Q66" t="str">
        <f t="shared" si="5"/>
        <v/>
      </c>
      <c r="R66" t="str">
        <f t="shared" si="7"/>
        <v/>
      </c>
      <c r="S66" cm="1">
        <f t="array" ref="S66">IF(M66="Control",INDEX(IC!A:A,1+BIN2DEC(MID($B66,21,4))),"")</f>
        <v>0</v>
      </c>
      <c r="T66" cm="1">
        <f t="array" ref="T66">IF(M66="Control",INDEX(EC!A:A,1+BIN2DEC(MID($B66,25,3))),"")</f>
        <v>1</v>
      </c>
      <c r="U66" cm="1">
        <f t="array" ref="U66">IF(M66="Control",INDEX(SR!A:A,1+BIN2DEC(MID($B66,28,2))),"")</f>
        <v>0</v>
      </c>
      <c r="AC66" t="s">
        <v>992</v>
      </c>
      <c r="AD66" s="1" t="s">
        <v>65</v>
      </c>
    </row>
    <row r="67" spans="1:30" s="15" customFormat="1" x14ac:dyDescent="0.25">
      <c r="A67" s="12" t="str">
        <f t="shared" ref="A67:A130" si="8">DEC2HEX(ROW(A66)-ROW($A$1),3)</f>
        <v>041</v>
      </c>
      <c r="B67" s="13" t="s">
        <v>4</v>
      </c>
      <c r="C67" s="14"/>
      <c r="D67" s="14"/>
      <c r="E67" s="14"/>
      <c r="F67" s="28"/>
      <c r="G67" s="28" t="str" cm="1">
        <f t="array" ref="G67">INDEX(Dest1!A:A,1+BIN2DEC(MID($B67,6,5)))</f>
        <v>--</v>
      </c>
      <c r="H67" s="28" t="str" cm="1">
        <f t="array" ref="H67">INDEX(Source2!A:A,1+BIN2DEC(MID($B67,11,4)))</f>
        <v>--</v>
      </c>
      <c r="I67" s="24"/>
      <c r="J67" s="16"/>
      <c r="K67" s="16"/>
      <c r="L67" s="16"/>
      <c r="M67" s="14"/>
      <c r="N67" s="14" t="str" cm="1">
        <f t="array" ref="N67">IF(M67="ALU",INDEX(ALUOps!A:A,1+BIN2DEC(MID($B67,22,5))),"")</f>
        <v/>
      </c>
      <c r="O67" s="14" t="str" cm="1">
        <f t="array" ref="O67">IF(M67="ALU",INDEX(TMP!A:A,1+BIN2DEC(MID($B67,27,2))),"")</f>
        <v/>
      </c>
      <c r="P67" s="16" t="str">
        <f t="shared" ref="P67:P130" si="9">IF(M67="ALU",BIN2DEC(MID($B67,29,1)),"")</f>
        <v/>
      </c>
      <c r="Q67" s="15" t="str">
        <f t="shared" ref="Q67:Q130" si="10">IF(M67="Jump",BIN2DEC(MID($B67,22,4)),"")</f>
        <v/>
      </c>
      <c r="R67" s="15" t="str">
        <f t="shared" si="7"/>
        <v/>
      </c>
      <c r="S67" s="15" t="str" cm="1">
        <f t="array" ref="S67">IF(M67="Control",INDEX(IC!A:A,1+BIN2DEC(MID($B67,21,4))),"")</f>
        <v/>
      </c>
      <c r="T67" s="15" t="str" cm="1">
        <f t="array" ref="T67">IF(M67="Control",INDEX(EC!A:A,1+BIN2DEC(MID($B67,25,3))),"")</f>
        <v/>
      </c>
      <c r="U67" s="15" t="str" cm="1">
        <f t="array" ref="U67">IF(M67="Control",INDEX(SR!A:A,1+BIN2DEC(MID($B67,28,2))),"")</f>
        <v/>
      </c>
    </row>
    <row r="68" spans="1:30" s="15" customFormat="1" x14ac:dyDescent="0.25">
      <c r="A68" s="12" t="str">
        <f t="shared" si="8"/>
        <v>042</v>
      </c>
      <c r="B68" s="13" t="s">
        <v>4</v>
      </c>
      <c r="C68" s="14"/>
      <c r="D68" s="14"/>
      <c r="E68" s="14"/>
      <c r="F68" s="28"/>
      <c r="G68" s="28" t="str" cm="1">
        <f t="array" ref="G68">INDEX(Dest1!A:A,1+BIN2DEC(MID($B68,6,5)))</f>
        <v>--</v>
      </c>
      <c r="H68" s="28" t="str" cm="1">
        <f t="array" ref="H68">INDEX(Source2!A:A,1+BIN2DEC(MID($B68,11,4)))</f>
        <v>--</v>
      </c>
      <c r="I68" s="24"/>
      <c r="J68" s="16"/>
      <c r="K68" s="16"/>
      <c r="L68" s="16"/>
      <c r="M68" s="14"/>
      <c r="N68" s="14" t="str" cm="1">
        <f t="array" ref="N68">IF(M68="ALU",INDEX(ALUOps!A:A,1+BIN2DEC(MID($B68,22,5))),"")</f>
        <v/>
      </c>
      <c r="O68" s="14" t="str" cm="1">
        <f t="array" ref="O68">IF(M68="ALU",INDEX(TMP!A:A,1+BIN2DEC(MID($B68,27,2))),"")</f>
        <v/>
      </c>
      <c r="P68" s="16" t="str">
        <f t="shared" si="9"/>
        <v/>
      </c>
      <c r="Q68" s="15" t="str">
        <f t="shared" si="10"/>
        <v/>
      </c>
      <c r="R68" s="15" t="str">
        <f t="shared" si="7"/>
        <v/>
      </c>
      <c r="S68" s="15" t="str" cm="1">
        <f t="array" ref="S68">IF(M68="Control",INDEX(IC!A:A,1+BIN2DEC(MID($B68,21,4))),"")</f>
        <v/>
      </c>
      <c r="T68" s="15" t="str" cm="1">
        <f t="array" ref="T68">IF(M68="Control",INDEX(EC!A:A,1+BIN2DEC(MID($B68,25,3))),"")</f>
        <v/>
      </c>
      <c r="U68" s="15" t="str" cm="1">
        <f t="array" ref="U68">IF(M68="Control",INDEX(SR!A:A,1+BIN2DEC(MID($B68,28,2))),"")</f>
        <v/>
      </c>
    </row>
    <row r="69" spans="1:30" s="20" customFormat="1" ht="15.75" thickBot="1" x14ac:dyDescent="0.3">
      <c r="A69" s="17" t="str">
        <f t="shared" si="8"/>
        <v>043</v>
      </c>
      <c r="B69" s="18" t="s">
        <v>4</v>
      </c>
      <c r="C69" s="19"/>
      <c r="D69" s="19"/>
      <c r="E69" s="19"/>
      <c r="F69" s="29"/>
      <c r="G69" s="29" t="str" cm="1">
        <f t="array" ref="G69">INDEX(Dest1!A:A,1+BIN2DEC(MID($B69,6,5)))</f>
        <v>--</v>
      </c>
      <c r="H69" s="29" t="str" cm="1">
        <f t="array" ref="H69">INDEX(Source2!A:A,1+BIN2DEC(MID($B69,11,4)))</f>
        <v>--</v>
      </c>
      <c r="I69" s="25"/>
      <c r="J69" s="21"/>
      <c r="K69" s="21"/>
      <c r="L69" s="21"/>
      <c r="M69" s="19"/>
      <c r="N69" s="19" t="str" cm="1">
        <f t="array" ref="N69">IF(M69="ALU",INDEX(ALUOps!A:A,1+BIN2DEC(MID($B69,22,5))),"")</f>
        <v/>
      </c>
      <c r="O69" s="19" t="str" cm="1">
        <f t="array" ref="O69">IF(M69="ALU",INDEX(TMP!A:A,1+BIN2DEC(MID($B69,27,2))),"")</f>
        <v/>
      </c>
      <c r="P69" s="21" t="str">
        <f t="shared" si="9"/>
        <v/>
      </c>
      <c r="Q69" s="20" t="str">
        <f t="shared" si="10"/>
        <v/>
      </c>
      <c r="R69" s="20" t="str">
        <f t="shared" si="7"/>
        <v/>
      </c>
      <c r="S69" s="20" t="str" cm="1">
        <f t="array" ref="S69">IF(M69="Control",INDEX(IC!A:A,1+BIN2DEC(MID($B69,21,4))),"")</f>
        <v/>
      </c>
      <c r="T69" s="20" t="str" cm="1">
        <f t="array" ref="T69">IF(M69="Control",INDEX(EC!A:A,1+BIN2DEC(MID($B69,25,3))),"")</f>
        <v/>
      </c>
      <c r="U69" s="20" t="str" cm="1">
        <f t="array" ref="U69">IF(M69="Control",INDEX(SR!A:A,1+BIN2DEC(MID($B69,28,2))),"")</f>
        <v/>
      </c>
    </row>
    <row r="70" spans="1:30" x14ac:dyDescent="0.25">
      <c r="A70" s="4" t="str">
        <f t="shared" si="8"/>
        <v>044</v>
      </c>
      <c r="B70" s="2" t="s">
        <v>70</v>
      </c>
      <c r="C70" s="2" t="s">
        <v>71</v>
      </c>
      <c r="D70" s="2" t="s">
        <v>928</v>
      </c>
      <c r="E70" s="2" t="s">
        <v>462</v>
      </c>
      <c r="F70" s="27" t="str" cm="1">
        <f t="array" ref="F70">INDEX(Sources!A:A, 1 + BIN2DEC(LEFT($B70,5)))</f>
        <v>OPR</v>
      </c>
      <c r="G70" s="27" t="str" cm="1">
        <f t="array" ref="G70">INDEX(Dest1!A:A,1+BIN2DEC(MID($B70,6,5)))</f>
        <v>TMPB</v>
      </c>
      <c r="H70" s="27" t="str" cm="1">
        <f t="array" ref="H70">INDEX(Source2!A:A,1+BIN2DEC(MID($B70,11,4)))</f>
        <v>8</v>
      </c>
      <c r="I70" s="23" cm="1">
        <f t="array" ref="I70">INDEX('D2'!A:A,1+BIN2DEC(MID($B70,16,2)))</f>
        <v>0</v>
      </c>
      <c r="J70" s="6">
        <f t="shared" ref="J70:J130" si="11">BIN2DEC(MID($B70,17,1))</f>
        <v>0</v>
      </c>
      <c r="K70" s="6">
        <f t="shared" ref="K70:K130" si="12">BIN2DEC(MID($B70,18,1))</f>
        <v>0</v>
      </c>
      <c r="L70" s="6">
        <f t="shared" ref="L70:L130" si="13">BIN2DEC(MID($B70,19,1))</f>
        <v>1</v>
      </c>
      <c r="M70" s="3" t="str" cm="1">
        <f t="array" ref="M70">INDEX(Types!A:A,1+BIN2DEC(MID($B70,20,2)))</f>
        <v>ALU</v>
      </c>
      <c r="N70" s="3" cm="1">
        <f t="array" ref="N70">IF(M70="ALU",INDEX(ALUOps!A:A,1+BIN2DEC(MID($B70,22,5))),"")</f>
        <v>27</v>
      </c>
      <c r="O70" s="3" cm="1">
        <f t="array" ref="O70">IF(M70="ALU",INDEX(TMP!A:A,1+BIN2DEC(MID($B70,27,2))),"")</f>
        <v>3</v>
      </c>
      <c r="P70" s="6">
        <f t="shared" si="9"/>
        <v>1</v>
      </c>
      <c r="Q70" t="str">
        <f t="shared" si="10"/>
        <v/>
      </c>
      <c r="R70" t="str">
        <f t="shared" si="7"/>
        <v/>
      </c>
      <c r="S70" t="str" cm="1">
        <f t="array" ref="S70">IF(M70="Control",INDEX(IC!A:A,1+BIN2DEC(MID($B70,21,4))),"")</f>
        <v/>
      </c>
      <c r="T70" t="str" cm="1">
        <f t="array" ref="T70">IF(M70="Control",INDEX(EC!A:A,1+BIN2DEC(MID($B70,25,3))),"")</f>
        <v/>
      </c>
      <c r="U70" t="str" cm="1">
        <f t="array" ref="U70">IF(M70="Control",INDEX(SR!A:A,1+BIN2DEC(MID($B70,28,2))),"")</f>
        <v/>
      </c>
      <c r="X70" t="s">
        <v>984</v>
      </c>
      <c r="AC70" s="1" t="s">
        <v>72</v>
      </c>
      <c r="AD70" s="1" t="s">
        <v>72</v>
      </c>
    </row>
    <row r="71" spans="1:30" x14ac:dyDescent="0.25">
      <c r="A71" s="4" t="str">
        <f t="shared" si="8"/>
        <v>045</v>
      </c>
      <c r="B71" s="2" t="s">
        <v>73</v>
      </c>
      <c r="C71" s="3"/>
      <c r="D71" s="3"/>
      <c r="E71" s="3"/>
      <c r="F71" s="27" t="str" cm="1">
        <f t="array" ref="F71">INDEX(Sources!A:A, 1 + BIN2DEC(LEFT($B71,5)))</f>
        <v>SIGMA</v>
      </c>
      <c r="G71" s="27" t="str" cm="1">
        <f t="array" ref="G71">INDEX(Dest1!A:A,1+BIN2DEC(MID($B71,6,5)))</f>
        <v>UNK24</v>
      </c>
      <c r="H71" s="27" t="str" cm="1">
        <f t="array" ref="H71">INDEX(Source2!A:A,1+BIN2DEC(MID($B71,11,4)))</f>
        <v>--</v>
      </c>
      <c r="I71" s="23" cm="1">
        <f t="array" ref="I71">INDEX('D2'!A:A,1+BIN2DEC(MID($B71,16,2)))</f>
        <v>0</v>
      </c>
      <c r="J71" s="6">
        <f t="shared" si="11"/>
        <v>0</v>
      </c>
      <c r="K71" s="6">
        <f t="shared" si="12"/>
        <v>1</v>
      </c>
      <c r="L71" s="6">
        <f t="shared" si="13"/>
        <v>0</v>
      </c>
      <c r="M71" s="3" t="str" cm="1">
        <f t="array" ref="M71">INDEX(Types!A:A,1+BIN2DEC(MID($B71,20,2)))</f>
        <v>Control</v>
      </c>
      <c r="N71" s="3" t="str" cm="1">
        <f t="array" ref="N71">IF(M71="ALU",INDEX(ALUOps!A:A,1+BIN2DEC(MID($B71,22,5))),"")</f>
        <v/>
      </c>
      <c r="O71" s="3" t="str" cm="1">
        <f t="array" ref="O71">IF(M71="ALU",INDEX(TMP!A:A,1+BIN2DEC(MID($B71,27,2))),"")</f>
        <v/>
      </c>
      <c r="P71" s="6" t="str">
        <f t="shared" si="9"/>
        <v/>
      </c>
      <c r="Q71" t="str">
        <f t="shared" si="10"/>
        <v/>
      </c>
      <c r="R71" t="str">
        <f t="shared" ref="R71:R134" si="14">IF(M71="Jump",15-BIN2DEC(MID($B71,26,4)),"")</f>
        <v/>
      </c>
      <c r="S71" cm="1">
        <f t="array" ref="S71">IF(M71="Control",INDEX(IC!A:A,1+BIN2DEC(MID($B71,21,4))),"")</f>
        <v>0</v>
      </c>
      <c r="T71" cm="1">
        <f t="array" ref="T71">IF(M71="Control",INDEX(EC!A:A,1+BIN2DEC(MID($B71,25,3))),"")</f>
        <v>0</v>
      </c>
      <c r="U71" cm="1">
        <f t="array" ref="U71">IF(M71="Control",INDEX(SR!A:A,1+BIN2DEC(MID($B71,28,2))),"")</f>
        <v>0</v>
      </c>
    </row>
    <row r="72" spans="1:30" s="15" customFormat="1" x14ac:dyDescent="0.25">
      <c r="A72" s="12" t="str">
        <f t="shared" si="8"/>
        <v>046</v>
      </c>
      <c r="B72" s="13" t="s">
        <v>4</v>
      </c>
      <c r="C72" s="14"/>
      <c r="D72" s="14"/>
      <c r="E72" s="14"/>
      <c r="F72" s="28"/>
      <c r="G72" s="28" t="str" cm="1">
        <f t="array" ref="G72">INDEX(Dest1!A:A,1+BIN2DEC(MID($B72,6,5)))</f>
        <v>--</v>
      </c>
      <c r="H72" s="28" t="str" cm="1">
        <f t="array" ref="H72">INDEX(Source2!A:A,1+BIN2DEC(MID($B72,11,4)))</f>
        <v>--</v>
      </c>
      <c r="I72" s="24"/>
      <c r="J72" s="16"/>
      <c r="K72" s="16"/>
      <c r="L72" s="16"/>
      <c r="M72" s="14"/>
      <c r="N72" s="14" t="str" cm="1">
        <f t="array" ref="N72">IF(M72="ALU",INDEX(ALUOps!A:A,1+BIN2DEC(MID($B72,22,5))),"")</f>
        <v/>
      </c>
      <c r="O72" s="14" t="str" cm="1">
        <f t="array" ref="O72">IF(M72="ALU",INDEX(TMP!A:A,1+BIN2DEC(MID($B72,27,2))),"")</f>
        <v/>
      </c>
      <c r="P72" s="16" t="str">
        <f t="shared" si="9"/>
        <v/>
      </c>
      <c r="Q72" s="15" t="str">
        <f t="shared" si="10"/>
        <v/>
      </c>
      <c r="R72" s="15" t="str">
        <f t="shared" si="14"/>
        <v/>
      </c>
      <c r="S72" s="15" t="str" cm="1">
        <f t="array" ref="S72">IF(M72="Control",INDEX(IC!A:A,1+BIN2DEC(MID($B72,21,4))),"")</f>
        <v/>
      </c>
      <c r="T72" s="15" t="str" cm="1">
        <f t="array" ref="T72">IF(M72="Control",INDEX(EC!A:A,1+BIN2DEC(MID($B72,25,3))),"")</f>
        <v/>
      </c>
      <c r="U72" s="15" t="str" cm="1">
        <f t="array" ref="U72">IF(M72="Control",INDEX(SR!A:A,1+BIN2DEC(MID($B72,28,2))),"")</f>
        <v/>
      </c>
    </row>
    <row r="73" spans="1:30" s="20" customFormat="1" ht="15.75" thickBot="1" x14ac:dyDescent="0.3">
      <c r="A73" s="17" t="str">
        <f t="shared" si="8"/>
        <v>047</v>
      </c>
      <c r="B73" s="18" t="s">
        <v>4</v>
      </c>
      <c r="C73" s="19"/>
      <c r="D73" s="19"/>
      <c r="E73" s="19"/>
      <c r="F73" s="29"/>
      <c r="G73" s="29" t="str" cm="1">
        <f t="array" ref="G73">INDEX(Dest1!A:A,1+BIN2DEC(MID($B73,6,5)))</f>
        <v>--</v>
      </c>
      <c r="H73" s="29" t="str" cm="1">
        <f t="array" ref="H73">INDEX(Source2!A:A,1+BIN2DEC(MID($B73,11,4)))</f>
        <v>--</v>
      </c>
      <c r="I73" s="25"/>
      <c r="J73" s="21"/>
      <c r="K73" s="21"/>
      <c r="L73" s="21"/>
      <c r="M73" s="19"/>
      <c r="N73" s="19" t="str" cm="1">
        <f t="array" ref="N73">IF(M73="ALU",INDEX(ALUOps!A:A,1+BIN2DEC(MID($B73,22,5))),"")</f>
        <v/>
      </c>
      <c r="O73" s="19" t="str" cm="1">
        <f t="array" ref="O73">IF(M73="ALU",INDEX(TMP!A:A,1+BIN2DEC(MID($B73,27,2))),"")</f>
        <v/>
      </c>
      <c r="P73" s="21" t="str">
        <f t="shared" si="9"/>
        <v/>
      </c>
      <c r="Q73" s="20" t="str">
        <f t="shared" si="10"/>
        <v/>
      </c>
      <c r="R73" s="20" t="str">
        <f t="shared" si="14"/>
        <v/>
      </c>
      <c r="S73" s="20" t="str" cm="1">
        <f t="array" ref="S73">IF(M73="Control",INDEX(IC!A:A,1+BIN2DEC(MID($B73,21,4))),"")</f>
        <v/>
      </c>
      <c r="T73" s="20" t="str" cm="1">
        <f t="array" ref="T73">IF(M73="Control",INDEX(EC!A:A,1+BIN2DEC(MID($B73,25,3))),"")</f>
        <v/>
      </c>
      <c r="U73" s="20" t="str" cm="1">
        <f t="array" ref="U73">IF(M73="Control",INDEX(SR!A:A,1+BIN2DEC(MID($B73,28,2))),"")</f>
        <v/>
      </c>
    </row>
    <row r="74" spans="1:30" x14ac:dyDescent="0.25">
      <c r="A74" s="4" t="str">
        <f t="shared" si="8"/>
        <v>048</v>
      </c>
      <c r="B74" s="2" t="s">
        <v>74</v>
      </c>
      <c r="C74" s="2" t="s">
        <v>75</v>
      </c>
      <c r="D74" s="2" t="s">
        <v>928</v>
      </c>
      <c r="E74" s="2" t="s">
        <v>462</v>
      </c>
      <c r="F74" s="27" t="str" cm="1">
        <f t="array" ref="F74">INDEX(Sources!A:A, 1 + BIN2DEC(LEFT($B74,5)))</f>
        <v>OPR</v>
      </c>
      <c r="G74" s="27" t="str" cm="1">
        <f t="array" ref="G74">INDEX(Dest1!A:A,1+BIN2DEC(MID($B74,6,5)))</f>
        <v>TMPB</v>
      </c>
      <c r="H74" s="27" t="str" cm="1">
        <f t="array" ref="H74">INDEX(Source2!A:A,1+BIN2DEC(MID($B74,11,4)))</f>
        <v>8</v>
      </c>
      <c r="I74" s="23" cm="1">
        <f t="array" ref="I74">INDEX('D2'!A:A,1+BIN2DEC(MID($B74,16,2)))</f>
        <v>0</v>
      </c>
      <c r="J74" s="6">
        <f t="shared" si="11"/>
        <v>0</v>
      </c>
      <c r="K74" s="6">
        <f t="shared" si="12"/>
        <v>0</v>
      </c>
      <c r="L74" s="6">
        <f t="shared" si="13"/>
        <v>0</v>
      </c>
      <c r="M74" s="3" t="str" cm="1">
        <f t="array" ref="M74">INDEX(Types!A:A,1+BIN2DEC(MID($B74,20,2)))</f>
        <v>Control</v>
      </c>
      <c r="N74" s="3" t="str" cm="1">
        <f t="array" ref="N74">IF(M74="ALU",INDEX(ALUOps!A:A,1+BIN2DEC(MID($B74,22,5))),"")</f>
        <v/>
      </c>
      <c r="O74" s="3" t="str" cm="1">
        <f t="array" ref="O74">IF(M74="ALU",INDEX(TMP!A:A,1+BIN2DEC(MID($B74,27,2))),"")</f>
        <v/>
      </c>
      <c r="P74" s="6" t="str">
        <f t="shared" si="9"/>
        <v/>
      </c>
      <c r="Q74" t="str">
        <f t="shared" si="10"/>
        <v/>
      </c>
      <c r="R74" t="str">
        <f t="shared" si="14"/>
        <v/>
      </c>
      <c r="S74" cm="1">
        <f t="array" ref="S74">IF(M74="Control",INDEX(IC!A:A,1+BIN2DEC(MID($B74,21,4))),"")</f>
        <v>0</v>
      </c>
      <c r="T74" cm="1">
        <f t="array" ref="T74">IF(M74="Control",INDEX(EC!A:A,1+BIN2DEC(MID($B74,25,3))),"")</f>
        <v>0</v>
      </c>
      <c r="U74" cm="1">
        <f t="array" ref="U74">IF(M74="Control",INDEX(SR!A:A,1+BIN2DEC(MID($B74,28,2))),"")</f>
        <v>0</v>
      </c>
      <c r="X74" t="s">
        <v>985</v>
      </c>
      <c r="AC74" s="1" t="s">
        <v>76</v>
      </c>
      <c r="AD74" s="1" t="s">
        <v>76</v>
      </c>
    </row>
    <row r="75" spans="1:30" x14ac:dyDescent="0.25">
      <c r="A75" s="4" t="str">
        <f t="shared" si="8"/>
        <v>049</v>
      </c>
      <c r="B75" s="2" t="s">
        <v>77</v>
      </c>
      <c r="C75" s="3"/>
      <c r="D75" s="3"/>
      <c r="E75" s="3"/>
      <c r="F75" s="27" t="str" cm="1">
        <f t="array" ref="F75">INDEX(Sources!A:A, 1 + BIN2DEC(LEFT($B75,5)))</f>
        <v>TMPB</v>
      </c>
      <c r="G75" s="27" t="str" cm="1">
        <f t="array" ref="G75">INDEX(Dest1!A:A,1+BIN2DEC(MID($B75,6,5)))</f>
        <v>REG</v>
      </c>
      <c r="H75" s="27" t="str" cm="1">
        <f t="array" ref="H75">INDEX(Source2!A:A,1+BIN2DEC(MID($B75,11,4)))</f>
        <v>--</v>
      </c>
      <c r="I75" s="23" cm="1">
        <f t="array" ref="I75">INDEX('D2'!A:A,1+BIN2DEC(MID($B75,16,2)))</f>
        <v>0</v>
      </c>
      <c r="J75" s="6">
        <f t="shared" si="11"/>
        <v>0</v>
      </c>
      <c r="K75" s="6">
        <f t="shared" si="12"/>
        <v>0</v>
      </c>
      <c r="L75" s="6">
        <f t="shared" si="13"/>
        <v>1</v>
      </c>
      <c r="M75" s="3" t="str" cm="1">
        <f t="array" ref="M75">INDEX(Types!A:A,1+BIN2DEC(MID($B75,20,2)))</f>
        <v>Control</v>
      </c>
      <c r="N75" s="3" t="str" cm="1">
        <f t="array" ref="N75">IF(M75="ALU",INDEX(ALUOps!A:A,1+BIN2DEC(MID($B75,22,5))),"")</f>
        <v/>
      </c>
      <c r="O75" s="3" t="str" cm="1">
        <f t="array" ref="O75">IF(M75="ALU",INDEX(TMP!A:A,1+BIN2DEC(MID($B75,27,2))),"")</f>
        <v/>
      </c>
      <c r="P75" s="6" t="str">
        <f t="shared" si="9"/>
        <v/>
      </c>
      <c r="Q75" t="str">
        <f t="shared" si="10"/>
        <v/>
      </c>
      <c r="R75" t="str">
        <f t="shared" si="14"/>
        <v/>
      </c>
      <c r="S75" cm="1">
        <f t="array" ref="S75">IF(M75="Control",INDEX(IC!A:A,1+BIN2DEC(MID($B75,21,4))),"")</f>
        <v>0</v>
      </c>
      <c r="T75" cm="1">
        <f t="array" ref="T75">IF(M75="Control",INDEX(EC!A:A,1+BIN2DEC(MID($B75,25,3))),"")</f>
        <v>1</v>
      </c>
      <c r="U75" cm="1">
        <f t="array" ref="U75">IF(M75="Control",INDEX(SR!A:A,1+BIN2DEC(MID($B75,28,2))),"")</f>
        <v>0</v>
      </c>
    </row>
    <row r="76" spans="1:30" x14ac:dyDescent="0.25">
      <c r="A76" s="4" t="str">
        <f t="shared" si="8"/>
        <v>04A</v>
      </c>
      <c r="B76" s="2" t="s">
        <v>78</v>
      </c>
      <c r="C76" s="3"/>
      <c r="D76" s="3"/>
      <c r="E76" s="3"/>
      <c r="F76" s="27" t="str" cm="1">
        <f t="array" ref="F76">INDEX(Sources!A:A, 1 + BIN2DEC(LEFT($B76,5)))</f>
        <v>TMPA</v>
      </c>
      <c r="G76" s="27" t="str" cm="1">
        <f t="array" ref="G76">INDEX(Dest1!A:A,1+BIN2DEC(MID($B76,6,5)))</f>
        <v>OPR</v>
      </c>
      <c r="H76" s="27" t="str" cm="1">
        <f t="array" ref="H76">INDEX(Source2!A:A,1+BIN2DEC(MID($B76,11,4)))</f>
        <v>--</v>
      </c>
      <c r="I76" s="23" cm="1">
        <f t="array" ref="I76">INDEX('D2'!A:A,1+BIN2DEC(MID($B76,16,2)))</f>
        <v>0</v>
      </c>
      <c r="J76" s="6">
        <f t="shared" si="11"/>
        <v>0</v>
      </c>
      <c r="K76" s="6">
        <f t="shared" si="12"/>
        <v>0</v>
      </c>
      <c r="L76" s="6">
        <f t="shared" si="13"/>
        <v>0</v>
      </c>
      <c r="M76" s="3" t="str" cm="1">
        <f t="array" ref="M76">INDEX(Types!A:A,1+BIN2DEC(MID($B76,20,2)))</f>
        <v>Control</v>
      </c>
      <c r="N76" s="3" t="str" cm="1">
        <f t="array" ref="N76">IF(M76="ALU",INDEX(ALUOps!A:A,1+BIN2DEC(MID($B76,22,5))),"")</f>
        <v/>
      </c>
      <c r="O76" s="3" t="str" cm="1">
        <f t="array" ref="O76">IF(M76="ALU",INDEX(TMP!A:A,1+BIN2DEC(MID($B76,27,2))),"")</f>
        <v/>
      </c>
      <c r="P76" s="6" t="str">
        <f t="shared" si="9"/>
        <v/>
      </c>
      <c r="Q76" t="str">
        <f t="shared" si="10"/>
        <v/>
      </c>
      <c r="R76" t="str">
        <f t="shared" si="14"/>
        <v/>
      </c>
      <c r="S76" cm="1">
        <f t="array" ref="S76">IF(M76="Control",INDEX(IC!A:A,1+BIN2DEC(MID($B76,21,4))),"")</f>
        <v>0</v>
      </c>
      <c r="T76" cm="1">
        <f t="array" ref="T76">IF(M76="Control",INDEX(EC!A:A,1+BIN2DEC(MID($B76,25,3))),"")</f>
        <v>0</v>
      </c>
      <c r="U76" cm="1">
        <f t="array" ref="U76">IF(M76="Control",INDEX(SR!A:A,1+BIN2DEC(MID($B76,28,2))),"")</f>
        <v>0</v>
      </c>
    </row>
    <row r="77" spans="1:30" s="20" customFormat="1" ht="15.75" thickBot="1" x14ac:dyDescent="0.3">
      <c r="A77" s="17" t="str">
        <f t="shared" si="8"/>
        <v>04B</v>
      </c>
      <c r="B77" s="18" t="s">
        <v>4</v>
      </c>
      <c r="C77" s="19"/>
      <c r="D77" s="19"/>
      <c r="E77" s="19"/>
      <c r="F77" s="29"/>
      <c r="G77" s="29" t="str" cm="1">
        <f t="array" ref="G77">INDEX(Dest1!A:A,1+BIN2DEC(MID($B77,6,5)))</f>
        <v>--</v>
      </c>
      <c r="H77" s="29" t="str" cm="1">
        <f t="array" ref="H77">INDEX(Source2!A:A,1+BIN2DEC(MID($B77,11,4)))</f>
        <v>--</v>
      </c>
      <c r="I77" s="25"/>
      <c r="J77" s="21"/>
      <c r="K77" s="21"/>
      <c r="L77" s="21"/>
      <c r="M77" s="19"/>
      <c r="N77" s="19" t="str" cm="1">
        <f t="array" ref="N77">IF(M77="ALU",INDEX(ALUOps!A:A,1+BIN2DEC(MID($B77,22,5))),"")</f>
        <v/>
      </c>
      <c r="O77" s="19" t="str" cm="1">
        <f t="array" ref="O77">IF(M77="ALU",INDEX(TMP!A:A,1+BIN2DEC(MID($B77,27,2))),"")</f>
        <v/>
      </c>
      <c r="P77" s="21" t="str">
        <f t="shared" si="9"/>
        <v/>
      </c>
      <c r="Q77" s="20" t="str">
        <f t="shared" si="10"/>
        <v/>
      </c>
      <c r="R77" s="20" t="str">
        <f t="shared" si="14"/>
        <v/>
      </c>
      <c r="S77" s="20" t="str" cm="1">
        <f t="array" ref="S77">IF(M77="Control",INDEX(IC!A:A,1+BIN2DEC(MID($B77,21,4))),"")</f>
        <v/>
      </c>
      <c r="T77" s="20" t="str" cm="1">
        <f t="array" ref="T77">IF(M77="Control",INDEX(EC!A:A,1+BIN2DEC(MID($B77,25,3))),"")</f>
        <v/>
      </c>
      <c r="U77" s="20" t="str" cm="1">
        <f t="array" ref="U77">IF(M77="Control",INDEX(SR!A:A,1+BIN2DEC(MID($B77,28,2))),"")</f>
        <v/>
      </c>
    </row>
    <row r="78" spans="1:30" x14ac:dyDescent="0.25">
      <c r="A78" s="4" t="str">
        <f t="shared" si="8"/>
        <v>04C</v>
      </c>
      <c r="B78" s="2" t="s">
        <v>79</v>
      </c>
      <c r="C78" s="2" t="s">
        <v>80</v>
      </c>
      <c r="D78" s="2" t="s">
        <v>928</v>
      </c>
      <c r="E78" s="2" t="s">
        <v>462</v>
      </c>
      <c r="F78" s="27" t="str" cm="1">
        <f t="array" ref="F78">INDEX(Sources!A:A, 1 + BIN2DEC(LEFT($B78,5)))</f>
        <v>REG</v>
      </c>
      <c r="G78" s="27" t="str" cm="1">
        <f t="array" ref="G78">INDEX(Dest1!A:A,1+BIN2DEC(MID($B78,6,5)))</f>
        <v>TMPB</v>
      </c>
      <c r="H78" s="27" t="str" cm="1">
        <f t="array" ref="H78">INDEX(Source2!A:A,1+BIN2DEC(MID($B78,11,4)))</f>
        <v>--</v>
      </c>
      <c r="I78" s="23" cm="1">
        <f t="array" ref="I78">INDEX('D2'!A:A,1+BIN2DEC(MID($B78,16,2)))</f>
        <v>0</v>
      </c>
      <c r="J78" s="6">
        <f t="shared" si="11"/>
        <v>0</v>
      </c>
      <c r="K78" s="6">
        <f t="shared" si="12"/>
        <v>0</v>
      </c>
      <c r="L78" s="6">
        <f t="shared" si="13"/>
        <v>0</v>
      </c>
      <c r="M78" s="3" t="str" cm="1">
        <f t="array" ref="M78">INDEX(Types!A:A,1+BIN2DEC(MID($B78,20,2)))</f>
        <v>Control</v>
      </c>
      <c r="N78" s="3" t="str" cm="1">
        <f t="array" ref="N78">IF(M78="ALU",INDEX(ALUOps!A:A,1+BIN2DEC(MID($B78,22,5))),"")</f>
        <v/>
      </c>
      <c r="O78" s="3" t="str" cm="1">
        <f t="array" ref="O78">IF(M78="ALU",INDEX(TMP!A:A,1+BIN2DEC(MID($B78,27,2))),"")</f>
        <v/>
      </c>
      <c r="P78" s="6" t="str">
        <f t="shared" si="9"/>
        <v/>
      </c>
      <c r="Q78" t="str">
        <f t="shared" si="10"/>
        <v/>
      </c>
      <c r="R78" t="str">
        <f t="shared" si="14"/>
        <v/>
      </c>
      <c r="S78" cm="1">
        <f t="array" ref="S78">IF(M78="Control",INDEX(IC!A:A,1+BIN2DEC(MID($B78,21,4))),"")</f>
        <v>0</v>
      </c>
      <c r="T78" cm="1">
        <f t="array" ref="T78">IF(M78="Control",INDEX(EC!A:A,1+BIN2DEC(MID($B78,25,3))),"")</f>
        <v>0</v>
      </c>
      <c r="U78" cm="1">
        <f t="array" ref="U78">IF(M78="Control",INDEX(SR!A:A,1+BIN2DEC(MID($B78,28,2))),"")</f>
        <v>0</v>
      </c>
      <c r="X78" t="s">
        <v>986</v>
      </c>
      <c r="AC78" t="s">
        <v>991</v>
      </c>
      <c r="AD78" s="1" t="s">
        <v>81</v>
      </c>
    </row>
    <row r="79" spans="1:30" x14ac:dyDescent="0.25">
      <c r="A79" s="4" t="str">
        <f t="shared" si="8"/>
        <v>04D</v>
      </c>
      <c r="B79" s="2" t="s">
        <v>82</v>
      </c>
      <c r="C79" s="3"/>
      <c r="D79" s="3"/>
      <c r="E79" s="3"/>
      <c r="F79" s="27" t="str" cm="1">
        <f t="array" ref="F79">INDEX(Sources!A:A, 1 + BIN2DEC(LEFT($B79,5)))</f>
        <v>TMPB</v>
      </c>
      <c r="G79" s="27" t="str" cm="1">
        <f t="array" ref="G79">INDEX(Dest1!A:A,1+BIN2DEC(MID($B79,6,5)))</f>
        <v>OPR</v>
      </c>
      <c r="H79" s="27" t="str" cm="1">
        <f t="array" ref="H79">INDEX(Source2!A:A,1+BIN2DEC(MID($B79,11,4)))</f>
        <v>--</v>
      </c>
      <c r="I79" s="23" cm="1">
        <f t="array" ref="I79">INDEX('D2'!A:A,1+BIN2DEC(MID($B79,16,2)))</f>
        <v>0</v>
      </c>
      <c r="J79" s="6">
        <f t="shared" si="11"/>
        <v>0</v>
      </c>
      <c r="K79" s="6">
        <f t="shared" si="12"/>
        <v>0</v>
      </c>
      <c r="L79" s="6">
        <f t="shared" si="13"/>
        <v>1</v>
      </c>
      <c r="M79" s="3" t="str" cm="1">
        <f t="array" ref="M79">INDEX(Types!A:A,1+BIN2DEC(MID($B79,20,2)))</f>
        <v>Control</v>
      </c>
      <c r="N79" s="3" t="str" cm="1">
        <f t="array" ref="N79">IF(M79="ALU",INDEX(ALUOps!A:A,1+BIN2DEC(MID($B79,22,5))),"")</f>
        <v/>
      </c>
      <c r="O79" s="3" t="str" cm="1">
        <f t="array" ref="O79">IF(M79="ALU",INDEX(TMP!A:A,1+BIN2DEC(MID($B79,27,2))),"")</f>
        <v/>
      </c>
      <c r="P79" s="6" t="str">
        <f t="shared" si="9"/>
        <v/>
      </c>
      <c r="Q79" t="str">
        <f t="shared" si="10"/>
        <v/>
      </c>
      <c r="R79" t="str">
        <f t="shared" si="14"/>
        <v/>
      </c>
      <c r="S79" cm="1">
        <f t="array" ref="S79">IF(M79="Control",INDEX(IC!A:A,1+BIN2DEC(MID($B79,21,4))),"")</f>
        <v>0</v>
      </c>
      <c r="T79" cm="1">
        <f t="array" ref="T79">IF(M79="Control",INDEX(EC!A:A,1+BIN2DEC(MID($B79,25,3))),"")</f>
        <v>1</v>
      </c>
      <c r="U79" cm="1">
        <f t="array" ref="U79">IF(M79="Control",INDEX(SR!A:A,1+BIN2DEC(MID($B79,28,2))),"")</f>
        <v>0</v>
      </c>
    </row>
    <row r="80" spans="1:30" s="15" customFormat="1" x14ac:dyDescent="0.25">
      <c r="A80" s="12" t="str">
        <f t="shared" si="8"/>
        <v>04E</v>
      </c>
      <c r="B80" s="13" t="s">
        <v>4</v>
      </c>
      <c r="C80" s="14"/>
      <c r="D80" s="14"/>
      <c r="E80" s="14"/>
      <c r="F80" s="28"/>
      <c r="G80" s="28" t="str" cm="1">
        <f t="array" ref="G80">INDEX(Dest1!A:A,1+BIN2DEC(MID($B80,6,5)))</f>
        <v>--</v>
      </c>
      <c r="H80" s="28" t="str" cm="1">
        <f t="array" ref="H80">INDEX(Source2!A:A,1+BIN2DEC(MID($B80,11,4)))</f>
        <v>--</v>
      </c>
      <c r="I80" s="24"/>
      <c r="J80" s="16"/>
      <c r="K80" s="16"/>
      <c r="L80" s="16"/>
      <c r="M80" s="14"/>
      <c r="N80" s="14" t="str" cm="1">
        <f t="array" ref="N80">IF(M80="ALU",INDEX(ALUOps!A:A,1+BIN2DEC(MID($B80,22,5))),"")</f>
        <v/>
      </c>
      <c r="O80" s="14" t="str" cm="1">
        <f t="array" ref="O80">IF(M80="ALU",INDEX(TMP!A:A,1+BIN2DEC(MID($B80,27,2))),"")</f>
        <v/>
      </c>
      <c r="P80" s="16" t="str">
        <f t="shared" si="9"/>
        <v/>
      </c>
      <c r="Q80" s="15" t="str">
        <f t="shared" si="10"/>
        <v/>
      </c>
      <c r="R80" s="15" t="str">
        <f t="shared" si="14"/>
        <v/>
      </c>
      <c r="S80" s="15" t="str" cm="1">
        <f t="array" ref="S80">IF(M80="Control",INDEX(IC!A:A,1+BIN2DEC(MID($B80,21,4))),"")</f>
        <v/>
      </c>
      <c r="T80" s="15" t="str" cm="1">
        <f t="array" ref="T80">IF(M80="Control",INDEX(EC!A:A,1+BIN2DEC(MID($B80,25,3))),"")</f>
        <v/>
      </c>
      <c r="U80" s="15" t="str" cm="1">
        <f t="array" ref="U80">IF(M80="Control",INDEX(SR!A:A,1+BIN2DEC(MID($B80,28,2))),"")</f>
        <v/>
      </c>
    </row>
    <row r="81" spans="1:30" s="20" customFormat="1" ht="15.75" thickBot="1" x14ac:dyDescent="0.3">
      <c r="A81" s="17" t="str">
        <f t="shared" si="8"/>
        <v>04F</v>
      </c>
      <c r="B81" s="18" t="s">
        <v>4</v>
      </c>
      <c r="C81" s="19"/>
      <c r="D81" s="19"/>
      <c r="E81" s="19"/>
      <c r="F81" s="29"/>
      <c r="G81" s="29" t="str" cm="1">
        <f t="array" ref="G81">INDEX(Dest1!A:A,1+BIN2DEC(MID($B81,6,5)))</f>
        <v>--</v>
      </c>
      <c r="H81" s="29" t="str" cm="1">
        <f t="array" ref="H81">INDEX(Source2!A:A,1+BIN2DEC(MID($B81,11,4)))</f>
        <v>--</v>
      </c>
      <c r="I81" s="25"/>
      <c r="J81" s="21"/>
      <c r="K81" s="21"/>
      <c r="L81" s="21"/>
      <c r="M81" s="19"/>
      <c r="N81" s="19" t="str" cm="1">
        <f t="array" ref="N81">IF(M81="ALU",INDEX(ALUOps!A:A,1+BIN2DEC(MID($B81,22,5))),"")</f>
        <v/>
      </c>
      <c r="O81" s="19" t="str" cm="1">
        <f t="array" ref="O81">IF(M81="ALU",INDEX(TMP!A:A,1+BIN2DEC(MID($B81,27,2))),"")</f>
        <v/>
      </c>
      <c r="P81" s="21" t="str">
        <f t="shared" si="9"/>
        <v/>
      </c>
      <c r="Q81" s="20" t="str">
        <f t="shared" si="10"/>
        <v/>
      </c>
      <c r="R81" s="20" t="str">
        <f t="shared" si="14"/>
        <v/>
      </c>
      <c r="S81" s="20" t="str" cm="1">
        <f t="array" ref="S81">IF(M81="Control",INDEX(IC!A:A,1+BIN2DEC(MID($B81,21,4))),"")</f>
        <v/>
      </c>
      <c r="T81" s="20" t="str" cm="1">
        <f t="array" ref="T81">IF(M81="Control",INDEX(EC!A:A,1+BIN2DEC(MID($B81,25,3))),"")</f>
        <v/>
      </c>
      <c r="U81" s="20" t="str" cm="1">
        <f t="array" ref="U81">IF(M81="Control",INDEX(SR!A:A,1+BIN2DEC(MID($B81,28,2))),"")</f>
        <v/>
      </c>
    </row>
    <row r="82" spans="1:30" x14ac:dyDescent="0.25">
      <c r="A82" s="4" t="str">
        <f t="shared" si="8"/>
        <v>050</v>
      </c>
      <c r="B82" s="2" t="s">
        <v>83</v>
      </c>
      <c r="C82" s="2" t="s">
        <v>84</v>
      </c>
      <c r="D82" s="2" t="s">
        <v>928</v>
      </c>
      <c r="E82" s="2" t="s">
        <v>462</v>
      </c>
      <c r="F82" s="27" t="str" cm="1">
        <f t="array" ref="F82">INDEX(Sources!A:A, 1 + BIN2DEC(LEFT($B82,5)))</f>
        <v>REG</v>
      </c>
      <c r="G82" s="27" t="str" cm="1">
        <f t="array" ref="G82">INDEX(Dest1!A:A,1+BIN2DEC(MID($B82,6,5)))</f>
        <v>OPR</v>
      </c>
      <c r="H82" s="27" t="str" cm="1">
        <f t="array" ref="H82">INDEX(Source2!A:A,1+BIN2DEC(MID($B82,11,4)))</f>
        <v>--</v>
      </c>
      <c r="I82" s="23" cm="1">
        <f t="array" ref="I82">INDEX('D2'!A:A,1+BIN2DEC(MID($B82,16,2)))</f>
        <v>0</v>
      </c>
      <c r="J82" s="6">
        <f t="shared" si="11"/>
        <v>0</v>
      </c>
      <c r="K82" s="6">
        <f t="shared" si="12"/>
        <v>0</v>
      </c>
      <c r="L82" s="6">
        <f t="shared" si="13"/>
        <v>1</v>
      </c>
      <c r="M82" s="3" t="str" cm="1">
        <f t="array" ref="M82">INDEX(Types!A:A,1+BIN2DEC(MID($B82,20,2)))</f>
        <v>Control</v>
      </c>
      <c r="N82" s="3" t="str" cm="1">
        <f t="array" ref="N82">IF(M82="ALU",INDEX(ALUOps!A:A,1+BIN2DEC(MID($B82,22,5))),"")</f>
        <v/>
      </c>
      <c r="O82" s="3" t="str" cm="1">
        <f t="array" ref="O82">IF(M82="ALU",INDEX(TMP!A:A,1+BIN2DEC(MID($B82,27,2))),"")</f>
        <v/>
      </c>
      <c r="P82" s="6" t="str">
        <f t="shared" si="9"/>
        <v/>
      </c>
      <c r="Q82" t="str">
        <f t="shared" si="10"/>
        <v/>
      </c>
      <c r="R82" t="str">
        <f t="shared" si="14"/>
        <v/>
      </c>
      <c r="S82" cm="1">
        <f t="array" ref="S82">IF(M82="Control",INDEX(IC!A:A,1+BIN2DEC(MID($B82,21,4))),"")</f>
        <v>0</v>
      </c>
      <c r="T82" cm="1">
        <f t="array" ref="T82">IF(M82="Control",INDEX(EC!A:A,1+BIN2DEC(MID($B82,25,3))),"")</f>
        <v>1</v>
      </c>
      <c r="U82" cm="1">
        <f t="array" ref="U82">IF(M82="Control",INDEX(SR!A:A,1+BIN2DEC(MID($B82,28,2))),"")</f>
        <v>0</v>
      </c>
      <c r="X82" t="s">
        <v>987</v>
      </c>
      <c r="AC82" t="s">
        <v>85</v>
      </c>
      <c r="AD82" s="1" t="s">
        <v>85</v>
      </c>
    </row>
    <row r="83" spans="1:30" s="15" customFormat="1" x14ac:dyDescent="0.25">
      <c r="A83" s="12" t="str">
        <f t="shared" si="8"/>
        <v>051</v>
      </c>
      <c r="B83" s="13" t="s">
        <v>4</v>
      </c>
      <c r="C83" s="14"/>
      <c r="D83" s="14"/>
      <c r="E83" s="14"/>
      <c r="F83" s="28"/>
      <c r="G83" s="28" t="str" cm="1">
        <f t="array" ref="G83">INDEX(Dest1!A:A,1+BIN2DEC(MID($B83,6,5)))</f>
        <v>--</v>
      </c>
      <c r="H83" s="28" t="str" cm="1">
        <f t="array" ref="H83">INDEX(Source2!A:A,1+BIN2DEC(MID($B83,11,4)))</f>
        <v>--</v>
      </c>
      <c r="I83" s="24"/>
      <c r="J83" s="16"/>
      <c r="K83" s="16"/>
      <c r="L83" s="16"/>
      <c r="M83" s="14"/>
      <c r="N83" s="14" t="str" cm="1">
        <f t="array" ref="N83">IF(M83="ALU",INDEX(ALUOps!A:A,1+BIN2DEC(MID($B83,22,5))),"")</f>
        <v/>
      </c>
      <c r="O83" s="14" t="str" cm="1">
        <f t="array" ref="O83">IF(M83="ALU",INDEX(TMP!A:A,1+BIN2DEC(MID($B83,27,2))),"")</f>
        <v/>
      </c>
      <c r="P83" s="16" t="str">
        <f t="shared" si="9"/>
        <v/>
      </c>
      <c r="Q83" s="15" t="str">
        <f t="shared" si="10"/>
        <v/>
      </c>
      <c r="R83" s="15" t="str">
        <f t="shared" si="14"/>
        <v/>
      </c>
      <c r="S83" s="15" t="str" cm="1">
        <f t="array" ref="S83">IF(M83="Control",INDEX(IC!A:A,1+BIN2DEC(MID($B83,21,4))),"")</f>
        <v/>
      </c>
      <c r="T83" s="15" t="str" cm="1">
        <f t="array" ref="T83">IF(M83="Control",INDEX(EC!A:A,1+BIN2DEC(MID($B83,25,3))),"")</f>
        <v/>
      </c>
      <c r="U83" s="15" t="str" cm="1">
        <f t="array" ref="U83">IF(M83="Control",INDEX(SR!A:A,1+BIN2DEC(MID($B83,28,2))),"")</f>
        <v/>
      </c>
    </row>
    <row r="84" spans="1:30" s="15" customFormat="1" x14ac:dyDescent="0.25">
      <c r="A84" s="12" t="str">
        <f t="shared" si="8"/>
        <v>052</v>
      </c>
      <c r="B84" s="13" t="s">
        <v>4</v>
      </c>
      <c r="C84" s="14"/>
      <c r="D84" s="14"/>
      <c r="E84" s="14"/>
      <c r="F84" s="28"/>
      <c r="G84" s="28" t="str" cm="1">
        <f t="array" ref="G84">INDEX(Dest1!A:A,1+BIN2DEC(MID($B84,6,5)))</f>
        <v>--</v>
      </c>
      <c r="H84" s="28" t="str" cm="1">
        <f t="array" ref="H84">INDEX(Source2!A:A,1+BIN2DEC(MID($B84,11,4)))</f>
        <v>--</v>
      </c>
      <c r="I84" s="24"/>
      <c r="J84" s="16"/>
      <c r="K84" s="16"/>
      <c r="L84" s="16"/>
      <c r="M84" s="14"/>
      <c r="N84" s="14" t="str" cm="1">
        <f t="array" ref="N84">IF(M84="ALU",INDEX(ALUOps!A:A,1+BIN2DEC(MID($B84,22,5))),"")</f>
        <v/>
      </c>
      <c r="O84" s="14" t="str" cm="1">
        <f t="array" ref="O84">IF(M84="ALU",INDEX(TMP!A:A,1+BIN2DEC(MID($B84,27,2))),"")</f>
        <v/>
      </c>
      <c r="P84" s="16" t="str">
        <f t="shared" si="9"/>
        <v/>
      </c>
      <c r="Q84" s="15" t="str">
        <f t="shared" si="10"/>
        <v/>
      </c>
      <c r="R84" s="15" t="str">
        <f t="shared" si="14"/>
        <v/>
      </c>
      <c r="S84" s="15" t="str" cm="1">
        <f t="array" ref="S84">IF(M84="Control",INDEX(IC!A:A,1+BIN2DEC(MID($B84,21,4))),"")</f>
        <v/>
      </c>
      <c r="T84" s="15" t="str" cm="1">
        <f t="array" ref="T84">IF(M84="Control",INDEX(EC!A:A,1+BIN2DEC(MID($B84,25,3))),"")</f>
        <v/>
      </c>
      <c r="U84" s="15" t="str" cm="1">
        <f t="array" ref="U84">IF(M84="Control",INDEX(SR!A:A,1+BIN2DEC(MID($B84,28,2))),"")</f>
        <v/>
      </c>
    </row>
    <row r="85" spans="1:30" s="20" customFormat="1" ht="15.75" thickBot="1" x14ac:dyDescent="0.3">
      <c r="A85" s="17" t="str">
        <f t="shared" si="8"/>
        <v>053</v>
      </c>
      <c r="B85" s="18" t="s">
        <v>4</v>
      </c>
      <c r="C85" s="19"/>
      <c r="D85" s="19"/>
      <c r="E85" s="19"/>
      <c r="F85" s="29"/>
      <c r="G85" s="29" t="str" cm="1">
        <f t="array" ref="G85">INDEX(Dest1!A:A,1+BIN2DEC(MID($B85,6,5)))</f>
        <v>--</v>
      </c>
      <c r="H85" s="29" t="str" cm="1">
        <f t="array" ref="H85">INDEX(Source2!A:A,1+BIN2DEC(MID($B85,11,4)))</f>
        <v>--</v>
      </c>
      <c r="I85" s="25"/>
      <c r="J85" s="21"/>
      <c r="K85" s="21"/>
      <c r="L85" s="21"/>
      <c r="M85" s="19"/>
      <c r="N85" s="19" t="str" cm="1">
        <f t="array" ref="N85">IF(M85="ALU",INDEX(ALUOps!A:A,1+BIN2DEC(MID($B85,22,5))),"")</f>
        <v/>
      </c>
      <c r="O85" s="19" t="str" cm="1">
        <f t="array" ref="O85">IF(M85="ALU",INDEX(TMP!A:A,1+BIN2DEC(MID($B85,27,2))),"")</f>
        <v/>
      </c>
      <c r="P85" s="21" t="str">
        <f t="shared" si="9"/>
        <v/>
      </c>
      <c r="Q85" s="20" t="str">
        <f t="shared" si="10"/>
        <v/>
      </c>
      <c r="R85" s="20" t="str">
        <f t="shared" si="14"/>
        <v/>
      </c>
      <c r="S85" s="20" t="str" cm="1">
        <f t="array" ref="S85">IF(M85="Control",INDEX(IC!A:A,1+BIN2DEC(MID($B85,21,4))),"")</f>
        <v/>
      </c>
      <c r="T85" s="20" t="str" cm="1">
        <f t="array" ref="T85">IF(M85="Control",INDEX(EC!A:A,1+BIN2DEC(MID($B85,25,3))),"")</f>
        <v/>
      </c>
      <c r="U85" s="20" t="str" cm="1">
        <f t="array" ref="U85">IF(M85="Control",INDEX(SR!A:A,1+BIN2DEC(MID($B85,28,2))),"")</f>
        <v/>
      </c>
    </row>
    <row r="86" spans="1:30" x14ac:dyDescent="0.25">
      <c r="A86" s="4" t="str">
        <f t="shared" si="8"/>
        <v>054</v>
      </c>
      <c r="B86" s="2" t="s">
        <v>39</v>
      </c>
      <c r="C86" s="2" t="s">
        <v>86</v>
      </c>
      <c r="D86" s="2" t="s">
        <v>928</v>
      </c>
      <c r="E86" s="2" t="s">
        <v>462</v>
      </c>
      <c r="F86" s="27" t="str" cm="1">
        <f t="array" ref="F86">INDEX(Sources!A:A, 1 + BIN2DEC(LEFT($B86,5)))</f>
        <v>--</v>
      </c>
      <c r="G86" s="27" t="str" cm="1">
        <f t="array" ref="G86">INDEX(Dest1!A:A,1+BIN2DEC(MID($B86,6,5)))</f>
        <v>--</v>
      </c>
      <c r="H86" s="27" t="str" cm="1">
        <f t="array" ref="H86">INDEX(Source2!A:A,1+BIN2DEC(MID($B86,11,4)))</f>
        <v>--</v>
      </c>
      <c r="I86" s="23" cm="1">
        <f t="array" ref="I86">INDEX('D2'!A:A,1+BIN2DEC(MID($B86,16,2)))</f>
        <v>0</v>
      </c>
      <c r="J86" s="6">
        <f t="shared" si="11"/>
        <v>0</v>
      </c>
      <c r="K86" s="6">
        <f t="shared" si="12"/>
        <v>0</v>
      </c>
      <c r="L86" s="6">
        <f t="shared" si="13"/>
        <v>1</v>
      </c>
      <c r="M86" s="3" t="str" cm="1">
        <f t="array" ref="M86">INDEX(Types!A:A,1+BIN2DEC(MID($B86,20,2)))</f>
        <v>Control</v>
      </c>
      <c r="N86" s="3" t="str" cm="1">
        <f t="array" ref="N86">IF(M86="ALU",INDEX(ALUOps!A:A,1+BIN2DEC(MID($B86,22,5))),"")</f>
        <v/>
      </c>
      <c r="O86" s="3" t="str" cm="1">
        <f t="array" ref="O86">IF(M86="ALU",INDEX(TMP!A:A,1+BIN2DEC(MID($B86,27,2))),"")</f>
        <v/>
      </c>
      <c r="P86" s="6" t="str">
        <f t="shared" si="9"/>
        <v/>
      </c>
      <c r="Q86" t="str">
        <f t="shared" si="10"/>
        <v/>
      </c>
      <c r="R86" t="str">
        <f t="shared" si="14"/>
        <v/>
      </c>
      <c r="S86" cm="1">
        <f t="array" ref="S86">IF(M86="Control",INDEX(IC!A:A,1+BIN2DEC(MID($B86,21,4))),"")</f>
        <v>0</v>
      </c>
      <c r="T86" cm="1">
        <f t="array" ref="T86">IF(M86="Control",INDEX(EC!A:A,1+BIN2DEC(MID($B86,25,3))),"")</f>
        <v>0</v>
      </c>
      <c r="U86" cm="1">
        <f t="array" ref="U86">IF(M86="Control",INDEX(SR!A:A,1+BIN2DEC(MID($B86,28,2))),"")</f>
        <v>0</v>
      </c>
      <c r="X86" t="s">
        <v>1060</v>
      </c>
      <c r="AC86" s="1" t="s">
        <v>87</v>
      </c>
      <c r="AD86" s="1" t="s">
        <v>87</v>
      </c>
    </row>
    <row r="87" spans="1:30" x14ac:dyDescent="0.25">
      <c r="A87" s="4" t="str">
        <f t="shared" si="8"/>
        <v>055</v>
      </c>
      <c r="B87" s="2" t="s">
        <v>88</v>
      </c>
      <c r="C87" s="3"/>
      <c r="D87" s="3"/>
      <c r="E87" s="3"/>
      <c r="F87" s="27" t="str" cm="1">
        <f t="array" ref="F87">INDEX(Sources!A:A, 1 + BIN2DEC(LEFT($B87,5)))</f>
        <v>SIGMA</v>
      </c>
      <c r="G87" s="27" t="str" cm="1">
        <f t="array" ref="G87">INDEX(Dest1!A:A,1+BIN2DEC(MID($B87,6,5)))</f>
        <v>REG</v>
      </c>
      <c r="H87" s="27" t="str" cm="1">
        <f t="array" ref="H87">INDEX(Source2!A:A,1+BIN2DEC(MID($B87,11,4)))</f>
        <v>--</v>
      </c>
      <c r="I87" s="23" cm="1">
        <f t="array" ref="I87">INDEX('D2'!A:A,1+BIN2DEC(MID($B87,16,2)))</f>
        <v>0</v>
      </c>
      <c r="J87" s="6">
        <f t="shared" si="11"/>
        <v>0</v>
      </c>
      <c r="K87" s="6">
        <f t="shared" si="12"/>
        <v>0</v>
      </c>
      <c r="L87" s="6">
        <f t="shared" si="13"/>
        <v>0</v>
      </c>
      <c r="M87" s="3" t="str" cm="1">
        <f t="array" ref="M87">INDEX(Types!A:A,1+BIN2DEC(MID($B87,20,2)))</f>
        <v>Control</v>
      </c>
      <c r="N87" s="3" t="str" cm="1">
        <f t="array" ref="N87">IF(M87="ALU",INDEX(ALUOps!A:A,1+BIN2DEC(MID($B87,22,5))),"")</f>
        <v/>
      </c>
      <c r="O87" s="3" t="str" cm="1">
        <f t="array" ref="O87">IF(M87="ALU",INDEX(TMP!A:A,1+BIN2DEC(MID($B87,27,2))),"")</f>
        <v/>
      </c>
      <c r="P87" s="6" t="str">
        <f t="shared" si="9"/>
        <v/>
      </c>
      <c r="Q87" t="str">
        <f t="shared" si="10"/>
        <v/>
      </c>
      <c r="R87" t="str">
        <f t="shared" si="14"/>
        <v/>
      </c>
      <c r="S87" cm="1">
        <f t="array" ref="S87">IF(M87="Control",INDEX(IC!A:A,1+BIN2DEC(MID($B87,21,4))),"")</f>
        <v>0</v>
      </c>
      <c r="T87" cm="1">
        <f t="array" ref="T87">IF(M87="Control",INDEX(EC!A:A,1+BIN2DEC(MID($B87,25,3))),"")</f>
        <v>0</v>
      </c>
      <c r="U87" cm="1">
        <f t="array" ref="U87">IF(M87="Control",INDEX(SR!A:A,1+BIN2DEC(MID($B87,28,2))),"")</f>
        <v>0</v>
      </c>
    </row>
    <row r="88" spans="1:30" s="15" customFormat="1" x14ac:dyDescent="0.25">
      <c r="A88" s="12" t="str">
        <f t="shared" si="8"/>
        <v>056</v>
      </c>
      <c r="B88" s="13" t="s">
        <v>4</v>
      </c>
      <c r="C88" s="14"/>
      <c r="D88" s="14"/>
      <c r="E88" s="14"/>
      <c r="F88" s="28"/>
      <c r="G88" s="28" t="str" cm="1">
        <f t="array" ref="G88">INDEX(Dest1!A:A,1+BIN2DEC(MID($B88,6,5)))</f>
        <v>--</v>
      </c>
      <c r="H88" s="28" t="str" cm="1">
        <f t="array" ref="H88">INDEX(Source2!A:A,1+BIN2DEC(MID($B88,11,4)))</f>
        <v>--</v>
      </c>
      <c r="I88" s="24"/>
      <c r="J88" s="16"/>
      <c r="K88" s="16"/>
      <c r="L88" s="16"/>
      <c r="M88" s="14"/>
      <c r="N88" s="14" t="str" cm="1">
        <f t="array" ref="N88">IF(M88="ALU",INDEX(ALUOps!A:A,1+BIN2DEC(MID($B88,22,5))),"")</f>
        <v/>
      </c>
      <c r="O88" s="14" t="str" cm="1">
        <f t="array" ref="O88">IF(M88="ALU",INDEX(TMP!A:A,1+BIN2DEC(MID($B88,27,2))),"")</f>
        <v/>
      </c>
      <c r="P88" s="16" t="str">
        <f t="shared" si="9"/>
        <v/>
      </c>
      <c r="Q88" s="15" t="str">
        <f t="shared" si="10"/>
        <v/>
      </c>
      <c r="R88" s="15" t="str">
        <f t="shared" si="14"/>
        <v/>
      </c>
      <c r="S88" s="15" t="str" cm="1">
        <f t="array" ref="S88">IF(M88="Control",INDEX(IC!A:A,1+BIN2DEC(MID($B88,21,4))),"")</f>
        <v/>
      </c>
      <c r="T88" s="15" t="str" cm="1">
        <f t="array" ref="T88">IF(M88="Control",INDEX(EC!A:A,1+BIN2DEC(MID($B88,25,3))),"")</f>
        <v/>
      </c>
      <c r="U88" s="15" t="str" cm="1">
        <f t="array" ref="U88">IF(M88="Control",INDEX(SR!A:A,1+BIN2DEC(MID($B88,28,2))),"")</f>
        <v/>
      </c>
    </row>
    <row r="89" spans="1:30" s="20" customFormat="1" ht="15.75" thickBot="1" x14ac:dyDescent="0.3">
      <c r="A89" s="17" t="str">
        <f t="shared" si="8"/>
        <v>057</v>
      </c>
      <c r="B89" s="18" t="s">
        <v>4</v>
      </c>
      <c r="C89" s="19"/>
      <c r="D89" s="19"/>
      <c r="E89" s="19"/>
      <c r="F89" s="29"/>
      <c r="G89" s="29" t="str" cm="1">
        <f t="array" ref="G89">INDEX(Dest1!A:A,1+BIN2DEC(MID($B89,6,5)))</f>
        <v>--</v>
      </c>
      <c r="H89" s="29" t="str" cm="1">
        <f t="array" ref="H89">INDEX(Source2!A:A,1+BIN2DEC(MID($B89,11,4)))</f>
        <v>--</v>
      </c>
      <c r="I89" s="25"/>
      <c r="J89" s="21"/>
      <c r="K89" s="21"/>
      <c r="L89" s="21"/>
      <c r="M89" s="19"/>
      <c r="N89" s="19" t="str" cm="1">
        <f t="array" ref="N89">IF(M89="ALU",INDEX(ALUOps!A:A,1+BIN2DEC(MID($B89,22,5))),"")</f>
        <v/>
      </c>
      <c r="O89" s="19" t="str" cm="1">
        <f t="array" ref="O89">IF(M89="ALU",INDEX(TMP!A:A,1+BIN2DEC(MID($B89,27,2))),"")</f>
        <v/>
      </c>
      <c r="P89" s="21" t="str">
        <f t="shared" si="9"/>
        <v/>
      </c>
      <c r="Q89" s="20" t="str">
        <f t="shared" si="10"/>
        <v/>
      </c>
      <c r="R89" s="20" t="str">
        <f t="shared" si="14"/>
        <v/>
      </c>
      <c r="S89" s="20" t="str" cm="1">
        <f t="array" ref="S89">IF(M89="Control",INDEX(IC!A:A,1+BIN2DEC(MID($B89,21,4))),"")</f>
        <v/>
      </c>
      <c r="T89" s="20" t="str" cm="1">
        <f t="array" ref="T89">IF(M89="Control",INDEX(EC!A:A,1+BIN2DEC(MID($B89,25,3))),"")</f>
        <v/>
      </c>
      <c r="U89" s="20" t="str" cm="1">
        <f t="array" ref="U89">IF(M89="Control",INDEX(SR!A:A,1+BIN2DEC(MID($B89,28,2))),"")</f>
        <v/>
      </c>
    </row>
    <row r="90" spans="1:30" x14ac:dyDescent="0.25">
      <c r="A90" s="4" t="str">
        <f t="shared" si="8"/>
        <v>058</v>
      </c>
      <c r="B90" s="2" t="s">
        <v>89</v>
      </c>
      <c r="C90" s="2" t="s">
        <v>90</v>
      </c>
      <c r="D90" s="2" t="s">
        <v>928</v>
      </c>
      <c r="E90" s="2" t="s">
        <v>462</v>
      </c>
      <c r="F90" s="27" t="str" cm="1">
        <f t="array" ref="F90">INDEX(Sources!A:A, 1 + BIN2DEC(LEFT($B90,5)))</f>
        <v>SIGMA</v>
      </c>
      <c r="G90" s="27" t="str" cm="1">
        <f t="array" ref="G90">INDEX(Dest1!A:A,1+BIN2DEC(MID($B90,6,5)))</f>
        <v>TMPB</v>
      </c>
      <c r="H90" s="27" t="str" cm="1">
        <f t="array" ref="H90">INDEX(Source2!A:A,1+BIN2DEC(MID($B90,11,4)))</f>
        <v>--</v>
      </c>
      <c r="I90" s="23" cm="1">
        <f t="array" ref="I90">INDEX('D2'!A:A,1+BIN2DEC(MID($B90,16,2)))</f>
        <v>0</v>
      </c>
      <c r="J90" s="6">
        <f t="shared" si="11"/>
        <v>0</v>
      </c>
      <c r="K90" s="6">
        <f t="shared" si="12"/>
        <v>0</v>
      </c>
      <c r="L90" s="6">
        <f t="shared" si="13"/>
        <v>0</v>
      </c>
      <c r="M90" s="3" t="str" cm="1">
        <f t="array" ref="M90">INDEX(Types!A:A,1+BIN2DEC(MID($B90,20,2)))</f>
        <v>ALU</v>
      </c>
      <c r="N90" s="3" cm="1">
        <f t="array" ref="N90">IF(M90="ALU",INDEX(ALUOps!A:A,1+BIN2DEC(MID($B90,22,5))),"")</f>
        <v>3</v>
      </c>
      <c r="O90" s="3" cm="1">
        <f t="array" ref="O90">IF(M90="ALU",INDEX(TMP!A:A,1+BIN2DEC(MID($B90,27,2))),"")</f>
        <v>2</v>
      </c>
      <c r="P90" s="6">
        <f t="shared" si="9"/>
        <v>1</v>
      </c>
      <c r="Q90" t="str">
        <f t="shared" si="10"/>
        <v/>
      </c>
      <c r="R90" t="str">
        <f t="shared" si="14"/>
        <v/>
      </c>
      <c r="S90" t="str" cm="1">
        <f t="array" ref="S90">IF(M90="Control",INDEX(IC!A:A,1+BIN2DEC(MID($B90,21,4))),"")</f>
        <v/>
      </c>
      <c r="T90" t="str" cm="1">
        <f t="array" ref="T90">IF(M90="Control",INDEX(EC!A:A,1+BIN2DEC(MID($B90,25,3))),"")</f>
        <v/>
      </c>
      <c r="U90" t="str" cm="1">
        <f t="array" ref="U90">IF(M90="Control",INDEX(SR!A:A,1+BIN2DEC(MID($B90,28,2))),"")</f>
        <v/>
      </c>
      <c r="X90" t="s">
        <v>988</v>
      </c>
      <c r="AC90" s="1" t="s">
        <v>91</v>
      </c>
      <c r="AD90" s="1" t="s">
        <v>91</v>
      </c>
    </row>
    <row r="91" spans="1:30" x14ac:dyDescent="0.25">
      <c r="A91" s="4" t="str">
        <f t="shared" si="8"/>
        <v>059</v>
      </c>
      <c r="B91" s="2" t="s">
        <v>92</v>
      </c>
      <c r="C91" s="3"/>
      <c r="D91" s="3"/>
      <c r="E91" s="3"/>
      <c r="F91" s="27" t="str" cm="1">
        <f t="array" ref="F91">INDEX(Sources!A:A, 1 + BIN2DEC(LEFT($B91,5)))</f>
        <v>SP</v>
      </c>
      <c r="G91" s="27" t="str" cm="1">
        <f t="array" ref="G91">INDEX(Dest1!A:A,1+BIN2DEC(MID($B91,6,5)))</f>
        <v>UNK26</v>
      </c>
      <c r="H91" s="27" t="str" cm="1">
        <f t="array" ref="H91">INDEX(Source2!A:A,1+BIN2DEC(MID($B91,11,4)))</f>
        <v>3</v>
      </c>
      <c r="I91" s="23" cm="1">
        <f t="array" ref="I91">INDEX('D2'!A:A,1+BIN2DEC(MID($B91,16,2)))</f>
        <v>0</v>
      </c>
      <c r="J91" s="6">
        <f t="shared" si="11"/>
        <v>0</v>
      </c>
      <c r="K91" s="6">
        <f t="shared" si="12"/>
        <v>0</v>
      </c>
      <c r="L91" s="6">
        <f t="shared" si="13"/>
        <v>0</v>
      </c>
      <c r="M91" s="3" t="str" cm="1">
        <f t="array" ref="M91">INDEX(Types!A:A,1+BIN2DEC(MID($B91,20,2)))</f>
        <v>Control</v>
      </c>
      <c r="N91" s="3" t="str" cm="1">
        <f t="array" ref="N91">IF(M91="ALU",INDEX(ALUOps!A:A,1+BIN2DEC(MID($B91,22,5))),"")</f>
        <v/>
      </c>
      <c r="O91" s="3" t="str" cm="1">
        <f t="array" ref="O91">IF(M91="ALU",INDEX(TMP!A:A,1+BIN2DEC(MID($B91,27,2))),"")</f>
        <v/>
      </c>
      <c r="P91" s="6" t="str">
        <f t="shared" si="9"/>
        <v/>
      </c>
      <c r="Q91" t="str">
        <f t="shared" si="10"/>
        <v/>
      </c>
      <c r="R91" t="str">
        <f t="shared" si="14"/>
        <v/>
      </c>
      <c r="S91" cm="1">
        <f t="array" ref="S91">IF(M91="Control",INDEX(IC!A:A,1+BIN2DEC(MID($B91,21,4))),"")</f>
        <v>0</v>
      </c>
      <c r="T91" cm="1">
        <f t="array" ref="T91">IF(M91="Control",INDEX(EC!A:A,1+BIN2DEC(MID($B91,25,3))),"")</f>
        <v>6</v>
      </c>
      <c r="U91" cm="1">
        <f t="array" ref="U91">IF(M91="Control",INDEX(SR!A:A,1+BIN2DEC(MID($B91,28,2))),"")</f>
        <v>1</v>
      </c>
    </row>
    <row r="92" spans="1:30" x14ac:dyDescent="0.25">
      <c r="A92" s="4" t="str">
        <f t="shared" si="8"/>
        <v>05A</v>
      </c>
      <c r="B92" s="2" t="s">
        <v>93</v>
      </c>
      <c r="C92" s="3"/>
      <c r="D92" s="3"/>
      <c r="E92" s="3"/>
      <c r="F92" s="27" t="str" cm="1">
        <f t="array" ref="F92">INDEX(Sources!A:A, 1 + BIN2DEC(LEFT($B92,5)))</f>
        <v>SIGMA</v>
      </c>
      <c r="G92" s="27" t="str" cm="1">
        <f t="array" ref="G92">INDEX(Dest1!A:A,1+BIN2DEC(MID($B92,6,5)))</f>
        <v>SP</v>
      </c>
      <c r="H92" s="27" t="str" cm="1">
        <f t="array" ref="H92">INDEX(Source2!A:A,1+BIN2DEC(MID($B92,11,4)))</f>
        <v>--</v>
      </c>
      <c r="I92" s="23" cm="1">
        <f t="array" ref="I92">INDEX('D2'!A:A,1+BIN2DEC(MID($B92,16,2)))</f>
        <v>1</v>
      </c>
      <c r="J92" s="6">
        <f t="shared" si="11"/>
        <v>1</v>
      </c>
      <c r="K92" s="6">
        <f t="shared" si="12"/>
        <v>0</v>
      </c>
      <c r="L92" s="6">
        <f t="shared" si="13"/>
        <v>0</v>
      </c>
      <c r="M92" s="3" t="str" cm="1">
        <f t="array" ref="M92">INDEX(Types!A:A,1+BIN2DEC(MID($B92,20,2)))</f>
        <v>ALU</v>
      </c>
      <c r="N92" s="3" cm="1">
        <f t="array" ref="N92">IF(M92="ALU",INDEX(ALUOps!A:A,1+BIN2DEC(MID($B92,22,5))),"")</f>
        <v>0</v>
      </c>
      <c r="O92" s="3" cm="1">
        <f t="array" ref="O92">IF(M92="ALU",INDEX(TMP!A:A,1+BIN2DEC(MID($B92,27,2))),"")</f>
        <v>3</v>
      </c>
      <c r="P92" s="6">
        <f t="shared" si="9"/>
        <v>1</v>
      </c>
      <c r="Q92" t="str">
        <f t="shared" si="10"/>
        <v/>
      </c>
      <c r="R92" t="str">
        <f t="shared" si="14"/>
        <v/>
      </c>
      <c r="S92" t="str" cm="1">
        <f t="array" ref="S92">IF(M92="Control",INDEX(IC!A:A,1+BIN2DEC(MID($B92,21,4))),"")</f>
        <v/>
      </c>
      <c r="T92" t="str" cm="1">
        <f t="array" ref="T92">IF(M92="Control",INDEX(EC!A:A,1+BIN2DEC(MID($B92,25,3))),"")</f>
        <v/>
      </c>
      <c r="U92" t="str" cm="1">
        <f t="array" ref="U92">IF(M92="Control",INDEX(SR!A:A,1+BIN2DEC(MID($B92,28,2))),"")</f>
        <v/>
      </c>
    </row>
    <row r="93" spans="1:30" s="9" customFormat="1" ht="15.75" thickBot="1" x14ac:dyDescent="0.3">
      <c r="A93" s="7" t="str">
        <f t="shared" si="8"/>
        <v>05B</v>
      </c>
      <c r="B93" s="8" t="s">
        <v>94</v>
      </c>
      <c r="C93" s="10"/>
      <c r="D93" s="10"/>
      <c r="E93" s="10"/>
      <c r="F93" s="30" t="str" cm="1">
        <f t="array" ref="F93">INDEX(Sources!A:A, 1 + BIN2DEC(LEFT($B93,5)))</f>
        <v>SIGMA</v>
      </c>
      <c r="G93" s="30" t="str" cm="1">
        <f t="array" ref="G93">INDEX(Dest1!A:A,1+BIN2DEC(MID($B93,6,5)))</f>
        <v>UNK26</v>
      </c>
      <c r="H93" s="30" t="str" cm="1">
        <f t="array" ref="H93">INDEX(Source2!A:A,1+BIN2DEC(MID($B93,11,4)))</f>
        <v>--</v>
      </c>
      <c r="I93" s="26" cm="1">
        <f t="array" ref="I93">INDEX('D2'!A:A,1+BIN2DEC(MID($B93,16,2)))</f>
        <v>0</v>
      </c>
      <c r="J93" s="11">
        <f t="shared" si="11"/>
        <v>0</v>
      </c>
      <c r="K93" s="11">
        <f t="shared" si="12"/>
        <v>0</v>
      </c>
      <c r="L93" s="11">
        <f t="shared" si="13"/>
        <v>1</v>
      </c>
      <c r="M93" s="10" t="str" cm="1">
        <f t="array" ref="M93">INDEX(Types!A:A,1+BIN2DEC(MID($B93,20,2)))</f>
        <v>Control</v>
      </c>
      <c r="N93" s="10" t="str" cm="1">
        <f t="array" ref="N93">IF(M93="ALU",INDEX(ALUOps!A:A,1+BIN2DEC(MID($B93,22,5))),"")</f>
        <v/>
      </c>
      <c r="O93" s="10" t="str" cm="1">
        <f t="array" ref="O93">IF(M93="ALU",INDEX(TMP!A:A,1+BIN2DEC(MID($B93,27,2))),"")</f>
        <v/>
      </c>
      <c r="P93" s="11" t="str">
        <f t="shared" si="9"/>
        <v/>
      </c>
      <c r="Q93" s="9" t="str">
        <f t="shared" si="10"/>
        <v/>
      </c>
      <c r="R93" s="9" t="str">
        <f t="shared" si="14"/>
        <v/>
      </c>
      <c r="S93" s="9" cm="1">
        <f t="array" ref="S93">IF(M93="Control",INDEX(IC!A:A,1+BIN2DEC(MID($B93,21,4))),"")</f>
        <v>0</v>
      </c>
      <c r="T93" s="9" cm="1">
        <f t="array" ref="T93">IF(M93="Control",INDEX(EC!A:A,1+BIN2DEC(MID($B93,25,3))),"")</f>
        <v>1</v>
      </c>
      <c r="U93" s="9" cm="1">
        <f t="array" ref="U93">IF(M93="Control",INDEX(SR!A:A,1+BIN2DEC(MID($B93,28,2))),"")</f>
        <v>0</v>
      </c>
    </row>
    <row r="94" spans="1:30" x14ac:dyDescent="0.25">
      <c r="A94" s="4" t="str">
        <f t="shared" si="8"/>
        <v>05C</v>
      </c>
      <c r="B94" s="2" t="s">
        <v>95</v>
      </c>
      <c r="C94" s="2" t="s">
        <v>96</v>
      </c>
      <c r="D94" s="2" t="s">
        <v>928</v>
      </c>
      <c r="E94" s="2" t="s">
        <v>462</v>
      </c>
      <c r="F94" s="27" t="str" cm="1">
        <f t="array" ref="F94">INDEX(Sources!A:A, 1 + BIN2DEC(LEFT($B94,5)))</f>
        <v>OPR</v>
      </c>
      <c r="G94" s="27" t="str" cm="1">
        <f t="array" ref="G94">INDEX(Dest1!A:A,1+BIN2DEC(MID($B94,6,5)))</f>
        <v>TMPA</v>
      </c>
      <c r="H94" s="27" t="str" cm="1">
        <f t="array" ref="H94">INDEX(Source2!A:A,1+BIN2DEC(MID($B94,11,4)))</f>
        <v>7</v>
      </c>
      <c r="I94" s="23" t="str" cm="1">
        <f t="array" ref="I94">INDEX('D2'!A:A,1+BIN2DEC(MID($B94,16,2)))</f>
        <v>TMPB</v>
      </c>
      <c r="J94" s="6">
        <f t="shared" si="11"/>
        <v>0</v>
      </c>
      <c r="K94" s="6">
        <f t="shared" si="12"/>
        <v>0</v>
      </c>
      <c r="L94" s="6">
        <f t="shared" si="13"/>
        <v>0</v>
      </c>
      <c r="M94" s="3" t="str" cm="1">
        <f t="array" ref="M94">INDEX(Types!A:A,1+BIN2DEC(MID($B94,20,2)))</f>
        <v>Control</v>
      </c>
      <c r="N94" s="3" t="str" cm="1">
        <f t="array" ref="N94">IF(M94="ALU",INDEX(ALUOps!A:A,1+BIN2DEC(MID($B94,22,5))),"")</f>
        <v/>
      </c>
      <c r="O94" s="3" t="str" cm="1">
        <f t="array" ref="O94">IF(M94="ALU",INDEX(TMP!A:A,1+BIN2DEC(MID($B94,27,2))),"")</f>
        <v/>
      </c>
      <c r="P94" s="6" t="str">
        <f t="shared" si="9"/>
        <v/>
      </c>
      <c r="Q94" t="str">
        <f t="shared" si="10"/>
        <v/>
      </c>
      <c r="R94" t="str">
        <f t="shared" si="14"/>
        <v/>
      </c>
      <c r="S94" cm="1">
        <f t="array" ref="S94">IF(M94="Control",INDEX(IC!A:A,1+BIN2DEC(MID($B94,21,4))),"")</f>
        <v>0</v>
      </c>
      <c r="T94" cm="1">
        <f t="array" ref="T94">IF(M94="Control",INDEX(EC!A:A,1+BIN2DEC(MID($B94,25,3))),"")</f>
        <v>0</v>
      </c>
      <c r="U94" cm="1">
        <f t="array" ref="U94">IF(M94="Control",INDEX(SR!A:A,1+BIN2DEC(MID($B94,28,2))),"")</f>
        <v>0</v>
      </c>
      <c r="X94" t="s">
        <v>989</v>
      </c>
      <c r="AC94" t="s">
        <v>990</v>
      </c>
      <c r="AD94" s="1" t="s">
        <v>97</v>
      </c>
    </row>
    <row r="95" spans="1:30" x14ac:dyDescent="0.25">
      <c r="A95" s="4" t="str">
        <f t="shared" si="8"/>
        <v>05D</v>
      </c>
      <c r="B95" s="2" t="s">
        <v>98</v>
      </c>
      <c r="C95" s="3"/>
      <c r="D95" s="3"/>
      <c r="E95" s="3"/>
      <c r="F95" s="27" t="str" cm="1">
        <f t="array" ref="F95">INDEX(Sources!A:A, 1 + BIN2DEC(LEFT($B95,5)))</f>
        <v>TMPB</v>
      </c>
      <c r="G95" s="27" t="str" cm="1">
        <f t="array" ref="G95">INDEX(Dest1!A:A,1+BIN2DEC(MID($B95,6,5)))</f>
        <v>OPR</v>
      </c>
      <c r="H95" s="27" t="str" cm="1">
        <f t="array" ref="H95">INDEX(Source2!A:A,1+BIN2DEC(MID($B95,11,4)))</f>
        <v>--</v>
      </c>
      <c r="I95" s="23" cm="1">
        <f t="array" ref="I95">INDEX('D2'!A:A,1+BIN2DEC(MID($B95,16,2)))</f>
        <v>0</v>
      </c>
      <c r="J95" s="6">
        <f t="shared" si="11"/>
        <v>0</v>
      </c>
      <c r="K95" s="6">
        <f t="shared" si="12"/>
        <v>0</v>
      </c>
      <c r="L95" s="6">
        <f t="shared" si="13"/>
        <v>1</v>
      </c>
      <c r="M95" s="3" t="str" cm="1">
        <f t="array" ref="M95">INDEX(Types!A:A,1+BIN2DEC(MID($B95,20,2)))</f>
        <v>Control</v>
      </c>
      <c r="N95" s="3" t="str" cm="1">
        <f t="array" ref="N95">IF(M95="ALU",INDEX(ALUOps!A:A,1+BIN2DEC(MID($B95,22,5))),"")</f>
        <v/>
      </c>
      <c r="O95" s="3" t="str" cm="1">
        <f t="array" ref="O95">IF(M95="ALU",INDEX(TMP!A:A,1+BIN2DEC(MID($B95,27,2))),"")</f>
        <v/>
      </c>
      <c r="P95" s="6" t="str">
        <f t="shared" si="9"/>
        <v/>
      </c>
      <c r="Q95" t="str">
        <f t="shared" si="10"/>
        <v/>
      </c>
      <c r="R95" t="str">
        <f t="shared" si="14"/>
        <v/>
      </c>
      <c r="S95" cm="1">
        <f t="array" ref="S95">IF(M95="Control",INDEX(IC!A:A,1+BIN2DEC(MID($B95,21,4))),"")</f>
        <v>0</v>
      </c>
      <c r="T95" cm="1">
        <f t="array" ref="T95">IF(M95="Control",INDEX(EC!A:A,1+BIN2DEC(MID($B95,25,3))),"")</f>
        <v>0</v>
      </c>
      <c r="U95" cm="1">
        <f t="array" ref="U95">IF(M95="Control",INDEX(SR!A:A,1+BIN2DEC(MID($B95,28,2))),"")</f>
        <v>0</v>
      </c>
    </row>
    <row r="96" spans="1:30" x14ac:dyDescent="0.25">
      <c r="A96" s="4" t="str">
        <f t="shared" si="8"/>
        <v>05E</v>
      </c>
      <c r="B96" s="2" t="s">
        <v>99</v>
      </c>
      <c r="C96" s="3"/>
      <c r="D96" s="3"/>
      <c r="E96" s="3"/>
      <c r="F96" s="27" t="str" cm="1">
        <f t="array" ref="F96">INDEX(Sources!A:A, 1 + BIN2DEC(LEFT($B96,5)))</f>
        <v>TMPA</v>
      </c>
      <c r="G96" s="27" t="str" cm="1">
        <f t="array" ref="G96">INDEX(Dest1!A:A,1+BIN2DEC(MID($B96,6,5)))</f>
        <v>A</v>
      </c>
      <c r="H96" s="27" t="str" cm="1">
        <f t="array" ref="H96">INDEX(Source2!A:A,1+BIN2DEC(MID($B96,11,4)))</f>
        <v>--</v>
      </c>
      <c r="I96" s="23" cm="1">
        <f t="array" ref="I96">INDEX('D2'!A:A,1+BIN2DEC(MID($B96,16,2)))</f>
        <v>0</v>
      </c>
      <c r="J96" s="6">
        <f t="shared" si="11"/>
        <v>0</v>
      </c>
      <c r="K96" s="6">
        <f t="shared" si="12"/>
        <v>0</v>
      </c>
      <c r="L96" s="6">
        <f t="shared" si="13"/>
        <v>0</v>
      </c>
      <c r="M96" s="3" t="str" cm="1">
        <f t="array" ref="M96">INDEX(Types!A:A,1+BIN2DEC(MID($B96,20,2)))</f>
        <v>Control</v>
      </c>
      <c r="N96" s="3" t="str" cm="1">
        <f t="array" ref="N96">IF(M96="ALU",INDEX(ALUOps!A:A,1+BIN2DEC(MID($B96,22,5))),"")</f>
        <v/>
      </c>
      <c r="O96" s="3" t="str" cm="1">
        <f t="array" ref="O96">IF(M96="ALU",INDEX(TMP!A:A,1+BIN2DEC(MID($B96,27,2))),"")</f>
        <v/>
      </c>
      <c r="P96" s="6" t="str">
        <f t="shared" si="9"/>
        <v/>
      </c>
      <c r="Q96" t="str">
        <f t="shared" si="10"/>
        <v/>
      </c>
      <c r="R96" t="str">
        <f t="shared" si="14"/>
        <v/>
      </c>
      <c r="S96" cm="1">
        <f t="array" ref="S96">IF(M96="Control",INDEX(IC!A:A,1+BIN2DEC(MID($B96,21,4))),"")</f>
        <v>0</v>
      </c>
      <c r="T96" cm="1">
        <f t="array" ref="T96">IF(M96="Control",INDEX(EC!A:A,1+BIN2DEC(MID($B96,25,3))),"")</f>
        <v>0</v>
      </c>
      <c r="U96" cm="1">
        <f t="array" ref="U96">IF(M96="Control",INDEX(SR!A:A,1+BIN2DEC(MID($B96,28,2))),"")</f>
        <v>0</v>
      </c>
    </row>
    <row r="97" spans="1:30" s="20" customFormat="1" ht="15.75" thickBot="1" x14ac:dyDescent="0.3">
      <c r="A97" s="17" t="str">
        <f t="shared" si="8"/>
        <v>05F</v>
      </c>
      <c r="B97" s="18" t="s">
        <v>4</v>
      </c>
      <c r="C97" s="19"/>
      <c r="D97" s="19"/>
      <c r="E97" s="19"/>
      <c r="F97" s="29"/>
      <c r="G97" s="29" t="str" cm="1">
        <f t="array" ref="G97">INDEX(Dest1!A:A,1+BIN2DEC(MID($B97,6,5)))</f>
        <v>--</v>
      </c>
      <c r="H97" s="29" t="str" cm="1">
        <f t="array" ref="H97">INDEX(Source2!A:A,1+BIN2DEC(MID($B97,11,4)))</f>
        <v>--</v>
      </c>
      <c r="I97" s="25"/>
      <c r="J97" s="21"/>
      <c r="K97" s="21"/>
      <c r="L97" s="21"/>
      <c r="M97" s="19"/>
      <c r="N97" s="19" t="str" cm="1">
        <f t="array" ref="N97">IF(M97="ALU",INDEX(ALUOps!A:A,1+BIN2DEC(MID($B97,22,5))),"")</f>
        <v/>
      </c>
      <c r="O97" s="19" t="str" cm="1">
        <f t="array" ref="O97">IF(M97="ALU",INDEX(TMP!A:A,1+BIN2DEC(MID($B97,27,2))),"")</f>
        <v/>
      </c>
      <c r="P97" s="21" t="str">
        <f t="shared" si="9"/>
        <v/>
      </c>
      <c r="Q97" s="20" t="str">
        <f t="shared" si="10"/>
        <v/>
      </c>
      <c r="R97" s="20" t="str">
        <f t="shared" si="14"/>
        <v/>
      </c>
      <c r="S97" s="20" t="str" cm="1">
        <f t="array" ref="S97">IF(M97="Control",INDEX(IC!A:A,1+BIN2DEC(MID($B97,21,4))),"")</f>
        <v/>
      </c>
      <c r="T97" s="20" t="str" cm="1">
        <f t="array" ref="T97">IF(M97="Control",INDEX(EC!A:A,1+BIN2DEC(MID($B97,25,3))),"")</f>
        <v/>
      </c>
      <c r="U97" s="20" t="str" cm="1">
        <f t="array" ref="U97">IF(M97="Control",INDEX(SR!A:A,1+BIN2DEC(MID($B97,28,2))),"")</f>
        <v/>
      </c>
    </row>
    <row r="98" spans="1:30" x14ac:dyDescent="0.25">
      <c r="A98" s="4" t="str">
        <f t="shared" si="8"/>
        <v>060</v>
      </c>
      <c r="B98" s="2" t="s">
        <v>100</v>
      </c>
      <c r="C98" s="2" t="s">
        <v>101</v>
      </c>
      <c r="D98" s="2" t="s">
        <v>928</v>
      </c>
      <c r="E98" s="2" t="s">
        <v>462</v>
      </c>
      <c r="F98" s="27" t="str" cm="1">
        <f t="array" ref="F98">INDEX(Sources!A:A, 1 + BIN2DEC(LEFT($B98,5)))</f>
        <v>A</v>
      </c>
      <c r="G98" s="27" t="str" cm="1">
        <f t="array" ref="G98">INDEX(Dest1!A:A,1+BIN2DEC(MID($B98,6,5)))</f>
        <v>UNK10</v>
      </c>
      <c r="H98" s="27" t="str" cm="1">
        <f t="array" ref="H98">INDEX(Source2!A:A,1+BIN2DEC(MID($B98,11,4)))</f>
        <v>--</v>
      </c>
      <c r="I98" s="23" cm="1">
        <f t="array" ref="I98">INDEX('D2'!A:A,1+BIN2DEC(MID($B98,16,2)))</f>
        <v>0</v>
      </c>
      <c r="J98" s="6">
        <f t="shared" si="11"/>
        <v>0</v>
      </c>
      <c r="K98" s="6">
        <f t="shared" si="12"/>
        <v>0</v>
      </c>
      <c r="L98" s="6">
        <f t="shared" si="13"/>
        <v>1</v>
      </c>
      <c r="M98" s="3" t="str" cm="1">
        <f t="array" ref="M98">INDEX(Types!A:A,1+BIN2DEC(MID($B98,20,2)))</f>
        <v>Control</v>
      </c>
      <c r="N98" s="3" t="str" cm="1">
        <f t="array" ref="N98">IF(M98="ALU",INDEX(ALUOps!A:A,1+BIN2DEC(MID($B98,22,5))),"")</f>
        <v/>
      </c>
      <c r="O98" s="3" t="str" cm="1">
        <f t="array" ref="O98">IF(M98="ALU",INDEX(TMP!A:A,1+BIN2DEC(MID($B98,27,2))),"")</f>
        <v/>
      </c>
      <c r="P98" s="6" t="str">
        <f t="shared" si="9"/>
        <v/>
      </c>
      <c r="Q98" t="str">
        <f t="shared" si="10"/>
        <v/>
      </c>
      <c r="R98" t="str">
        <f t="shared" si="14"/>
        <v/>
      </c>
      <c r="S98" cm="1">
        <f t="array" ref="S98">IF(M98="Control",INDEX(IC!A:A,1+BIN2DEC(MID($B98,21,4))),"")</f>
        <v>0</v>
      </c>
      <c r="T98" cm="1">
        <f t="array" ref="T98">IF(M98="Control",INDEX(EC!A:A,1+BIN2DEC(MID($B98,25,3))),"")</f>
        <v>0</v>
      </c>
      <c r="U98" cm="1">
        <f t="array" ref="U98">IF(M98="Control",INDEX(SR!A:A,1+BIN2DEC(MID($B98,28,2))),"")</f>
        <v>0</v>
      </c>
      <c r="X98" t="s">
        <v>997</v>
      </c>
      <c r="AC98" s="1" t="s">
        <v>102</v>
      </c>
      <c r="AD98" s="1" t="s">
        <v>102</v>
      </c>
    </row>
    <row r="99" spans="1:30" x14ac:dyDescent="0.25">
      <c r="A99" s="4" t="str">
        <f t="shared" si="8"/>
        <v>061</v>
      </c>
      <c r="B99" s="2" t="s">
        <v>99</v>
      </c>
      <c r="C99" s="3"/>
      <c r="D99" s="3"/>
      <c r="E99" s="3"/>
      <c r="F99" s="27" t="str" cm="1">
        <f t="array" ref="F99">INDEX(Sources!A:A, 1 + BIN2DEC(LEFT($B99,5)))</f>
        <v>TMPA</v>
      </c>
      <c r="G99" s="27" t="str" cm="1">
        <f t="array" ref="G99">INDEX(Dest1!A:A,1+BIN2DEC(MID($B99,6,5)))</f>
        <v>A</v>
      </c>
      <c r="H99" s="27" t="str" cm="1">
        <f t="array" ref="H99">INDEX(Source2!A:A,1+BIN2DEC(MID($B99,11,4)))</f>
        <v>--</v>
      </c>
      <c r="I99" s="23" cm="1">
        <f t="array" ref="I99">INDEX('D2'!A:A,1+BIN2DEC(MID($B99,16,2)))</f>
        <v>0</v>
      </c>
      <c r="J99" s="6">
        <f t="shared" si="11"/>
        <v>0</v>
      </c>
      <c r="K99" s="6">
        <f t="shared" si="12"/>
        <v>0</v>
      </c>
      <c r="L99" s="6">
        <f t="shared" si="13"/>
        <v>0</v>
      </c>
      <c r="M99" s="3" t="str" cm="1">
        <f t="array" ref="M99">INDEX(Types!A:A,1+BIN2DEC(MID($B99,20,2)))</f>
        <v>Control</v>
      </c>
      <c r="N99" s="3" t="str" cm="1">
        <f t="array" ref="N99">IF(M99="ALU",INDEX(ALUOps!A:A,1+BIN2DEC(MID($B99,22,5))),"")</f>
        <v/>
      </c>
      <c r="O99" s="3" t="str" cm="1">
        <f t="array" ref="O99">IF(M99="ALU",INDEX(TMP!A:A,1+BIN2DEC(MID($B99,27,2))),"")</f>
        <v/>
      </c>
      <c r="P99" s="6" t="str">
        <f t="shared" si="9"/>
        <v/>
      </c>
      <c r="Q99" t="str">
        <f t="shared" si="10"/>
        <v/>
      </c>
      <c r="R99" t="str">
        <f t="shared" si="14"/>
        <v/>
      </c>
      <c r="S99" cm="1">
        <f t="array" ref="S99">IF(M99="Control",INDEX(IC!A:A,1+BIN2DEC(MID($B99,21,4))),"")</f>
        <v>0</v>
      </c>
      <c r="T99" cm="1">
        <f t="array" ref="T99">IF(M99="Control",INDEX(EC!A:A,1+BIN2DEC(MID($B99,25,3))),"")</f>
        <v>0</v>
      </c>
      <c r="U99" cm="1">
        <f t="array" ref="U99">IF(M99="Control",INDEX(SR!A:A,1+BIN2DEC(MID($B99,28,2))),"")</f>
        <v>0</v>
      </c>
    </row>
    <row r="100" spans="1:30" s="15" customFormat="1" x14ac:dyDescent="0.25">
      <c r="A100" s="12" t="str">
        <f t="shared" si="8"/>
        <v>062</v>
      </c>
      <c r="B100" s="13" t="s">
        <v>4</v>
      </c>
      <c r="C100" s="14"/>
      <c r="D100" s="14"/>
      <c r="E100" s="14"/>
      <c r="F100" s="28"/>
      <c r="G100" s="28" t="str" cm="1">
        <f t="array" ref="G100">INDEX(Dest1!A:A,1+BIN2DEC(MID($B100,6,5)))</f>
        <v>--</v>
      </c>
      <c r="H100" s="28" t="str" cm="1">
        <f t="array" ref="H100">INDEX(Source2!A:A,1+BIN2DEC(MID($B100,11,4)))</f>
        <v>--</v>
      </c>
      <c r="I100" s="24"/>
      <c r="J100" s="16"/>
      <c r="K100" s="16"/>
      <c r="L100" s="16"/>
      <c r="M100" s="14"/>
      <c r="N100" s="14" t="str" cm="1">
        <f t="array" ref="N100">IF(M100="ALU",INDEX(ALUOps!A:A,1+BIN2DEC(MID($B100,22,5))),"")</f>
        <v/>
      </c>
      <c r="O100" s="14" t="str" cm="1">
        <f t="array" ref="O100">IF(M100="ALU",INDEX(TMP!A:A,1+BIN2DEC(MID($B100,27,2))),"")</f>
        <v/>
      </c>
      <c r="P100" s="16" t="str">
        <f t="shared" si="9"/>
        <v/>
      </c>
      <c r="Q100" s="15" t="str">
        <f t="shared" si="10"/>
        <v/>
      </c>
      <c r="R100" s="15" t="str">
        <f t="shared" si="14"/>
        <v/>
      </c>
      <c r="S100" s="15" t="str" cm="1">
        <f t="array" ref="S100">IF(M100="Control",INDEX(IC!A:A,1+BIN2DEC(MID($B100,21,4))),"")</f>
        <v/>
      </c>
      <c r="T100" s="15" t="str" cm="1">
        <f t="array" ref="T100">IF(M100="Control",INDEX(EC!A:A,1+BIN2DEC(MID($B100,25,3))),"")</f>
        <v/>
      </c>
      <c r="U100" s="15" t="str" cm="1">
        <f t="array" ref="U100">IF(M100="Control",INDEX(SR!A:A,1+BIN2DEC(MID($B100,28,2))),"")</f>
        <v/>
      </c>
    </row>
    <row r="101" spans="1:30" s="20" customFormat="1" ht="15.75" thickBot="1" x14ac:dyDescent="0.3">
      <c r="A101" s="17" t="str">
        <f t="shared" si="8"/>
        <v>063</v>
      </c>
      <c r="B101" s="18" t="s">
        <v>4</v>
      </c>
      <c r="C101" s="19"/>
      <c r="D101" s="19"/>
      <c r="E101" s="19"/>
      <c r="F101" s="29"/>
      <c r="G101" s="29" t="str" cm="1">
        <f t="array" ref="G101">INDEX(Dest1!A:A,1+BIN2DEC(MID($B101,6,5)))</f>
        <v>--</v>
      </c>
      <c r="H101" s="29" t="str" cm="1">
        <f t="array" ref="H101">INDEX(Source2!A:A,1+BIN2DEC(MID($B101,11,4)))</f>
        <v>--</v>
      </c>
      <c r="I101" s="25"/>
      <c r="J101" s="21"/>
      <c r="K101" s="21"/>
      <c r="L101" s="21"/>
      <c r="M101" s="19"/>
      <c r="N101" s="19" t="str" cm="1">
        <f t="array" ref="N101">IF(M101="ALU",INDEX(ALUOps!A:A,1+BIN2DEC(MID($B101,22,5))),"")</f>
        <v/>
      </c>
      <c r="O101" s="19" t="str" cm="1">
        <f t="array" ref="O101">IF(M101="ALU",INDEX(TMP!A:A,1+BIN2DEC(MID($B101,27,2))),"")</f>
        <v/>
      </c>
      <c r="P101" s="21" t="str">
        <f t="shared" si="9"/>
        <v/>
      </c>
      <c r="Q101" s="20" t="str">
        <f t="shared" si="10"/>
        <v/>
      </c>
      <c r="R101" s="20" t="str">
        <f t="shared" si="14"/>
        <v/>
      </c>
      <c r="S101" s="20" t="str" cm="1">
        <f t="array" ref="S101">IF(M101="Control",INDEX(IC!A:A,1+BIN2DEC(MID($B101,21,4))),"")</f>
        <v/>
      </c>
      <c r="T101" s="20" t="str" cm="1">
        <f t="array" ref="T101">IF(M101="Control",INDEX(EC!A:A,1+BIN2DEC(MID($B101,25,3))),"")</f>
        <v/>
      </c>
      <c r="U101" s="20" t="str" cm="1">
        <f t="array" ref="U101">IF(M101="Control",INDEX(SR!A:A,1+BIN2DEC(MID($B101,28,2))),"")</f>
        <v/>
      </c>
    </row>
    <row r="102" spans="1:30" x14ac:dyDescent="0.25">
      <c r="A102" s="4" t="str">
        <f t="shared" si="8"/>
        <v>064</v>
      </c>
      <c r="B102" s="2" t="s">
        <v>103</v>
      </c>
      <c r="C102" s="2" t="s">
        <v>104</v>
      </c>
      <c r="D102" s="2" t="s">
        <v>928</v>
      </c>
      <c r="E102" s="2" t="s">
        <v>462</v>
      </c>
      <c r="F102" s="27" t="str" cm="1">
        <f t="array" ref="F102">INDEX(Sources!A:A, 1 + BIN2DEC(LEFT($B102,5)))</f>
        <v>UNK22</v>
      </c>
      <c r="G102" s="27" t="str" cm="1">
        <f t="array" ref="G102">INDEX(Dest1!A:A,1+BIN2DEC(MID($B102,6,5)))</f>
        <v>UNK5</v>
      </c>
      <c r="H102" s="27" t="str" cm="1">
        <f t="array" ref="H102">INDEX(Source2!A:A,1+BIN2DEC(MID($B102,11,4)))</f>
        <v>7</v>
      </c>
      <c r="I102" s="23" cm="1">
        <f t="array" ref="I102">INDEX('D2'!A:A,1+BIN2DEC(MID($B102,16,2)))</f>
        <v>0</v>
      </c>
      <c r="J102" s="6">
        <f t="shared" si="11"/>
        <v>0</v>
      </c>
      <c r="K102" s="6">
        <f t="shared" si="12"/>
        <v>0</v>
      </c>
      <c r="L102" s="6">
        <f t="shared" si="13"/>
        <v>0</v>
      </c>
      <c r="M102" s="3" t="str" cm="1">
        <f t="array" ref="M102">INDEX(Types!A:A,1+BIN2DEC(MID($B102,20,2)))</f>
        <v>Control</v>
      </c>
      <c r="N102" s="3" t="str" cm="1">
        <f t="array" ref="N102">IF(M102="ALU",INDEX(ALUOps!A:A,1+BIN2DEC(MID($B102,22,5))),"")</f>
        <v/>
      </c>
      <c r="O102" s="3" t="str" cm="1">
        <f t="array" ref="O102">IF(M102="ALU",INDEX(TMP!A:A,1+BIN2DEC(MID($B102,27,2))),"")</f>
        <v/>
      </c>
      <c r="P102" s="6" t="str">
        <f t="shared" si="9"/>
        <v/>
      </c>
      <c r="Q102" t="str">
        <f t="shared" si="10"/>
        <v/>
      </c>
      <c r="R102" t="str">
        <f t="shared" si="14"/>
        <v/>
      </c>
      <c r="S102" cm="1">
        <f t="array" ref="S102">IF(M102="Control",INDEX(IC!A:A,1+BIN2DEC(MID($B102,21,4))),"")</f>
        <v>0</v>
      </c>
      <c r="T102" cm="1">
        <f t="array" ref="T102">IF(M102="Control",INDEX(EC!A:A,1+BIN2DEC(MID($B102,25,3))),"")</f>
        <v>0</v>
      </c>
      <c r="U102" cm="1">
        <f t="array" ref="U102">IF(M102="Control",INDEX(SR!A:A,1+BIN2DEC(MID($B102,28,2))),"")</f>
        <v>0</v>
      </c>
      <c r="X102" t="s">
        <v>998</v>
      </c>
      <c r="AC102" s="1" t="s">
        <v>105</v>
      </c>
      <c r="AD102" s="1" t="s">
        <v>105</v>
      </c>
    </row>
    <row r="103" spans="1:30" x14ac:dyDescent="0.25">
      <c r="A103" s="4" t="str">
        <f t="shared" si="8"/>
        <v>065</v>
      </c>
      <c r="B103" s="2" t="s">
        <v>106</v>
      </c>
      <c r="C103" s="3"/>
      <c r="D103" s="3"/>
      <c r="E103" s="3"/>
      <c r="F103" s="27" t="str" cm="1">
        <f t="array" ref="F103">INDEX(Sources!A:A, 1 + BIN2DEC(LEFT($B103,5)))</f>
        <v>--</v>
      </c>
      <c r="G103" s="27" t="str" cm="1">
        <f t="array" ref="G103">INDEX(Dest1!A:A,1+BIN2DEC(MID($B103,6,5)))</f>
        <v>--</v>
      </c>
      <c r="H103" s="27" t="str" cm="1">
        <f t="array" ref="H103">INDEX(Source2!A:A,1+BIN2DEC(MID($B103,11,4)))</f>
        <v>--</v>
      </c>
      <c r="I103" s="23" cm="1">
        <f t="array" ref="I103">INDEX('D2'!A:A,1+BIN2DEC(MID($B103,16,2)))</f>
        <v>0</v>
      </c>
      <c r="J103" s="6">
        <f t="shared" si="11"/>
        <v>0</v>
      </c>
      <c r="K103" s="6">
        <f t="shared" si="12"/>
        <v>0</v>
      </c>
      <c r="L103" s="6">
        <f t="shared" si="13"/>
        <v>0</v>
      </c>
      <c r="M103" s="3" t="str" cm="1">
        <f t="array" ref="M103">INDEX(Types!A:A,1+BIN2DEC(MID($B103,20,2)))</f>
        <v>Jump</v>
      </c>
      <c r="N103" s="3" t="str" cm="1">
        <f t="array" ref="N103">IF(M103="ALU",INDEX(ALUOps!A:A,1+BIN2DEC(MID($B103,22,5))),"")</f>
        <v/>
      </c>
      <c r="O103" s="3" t="str" cm="1">
        <f t="array" ref="O103">IF(M103="ALU",INDEX(TMP!A:A,1+BIN2DEC(MID($B103,27,2))),"")</f>
        <v/>
      </c>
      <c r="P103" s="6" t="str">
        <f t="shared" si="9"/>
        <v/>
      </c>
      <c r="Q103">
        <f t="shared" si="10"/>
        <v>4</v>
      </c>
      <c r="R103">
        <f t="shared" si="14"/>
        <v>3</v>
      </c>
      <c r="S103" t="str" cm="1">
        <f t="array" ref="S103">IF(M103="Control",INDEX(IC!A:A,1+BIN2DEC(MID($B103,21,4))),"")</f>
        <v/>
      </c>
      <c r="T103" t="str" cm="1">
        <f t="array" ref="T103">IF(M103="Control",INDEX(EC!A:A,1+BIN2DEC(MID($B103,25,3))),"")</f>
        <v/>
      </c>
      <c r="U103" t="str" cm="1">
        <f t="array" ref="U103">IF(M103="Control",INDEX(SR!A:A,1+BIN2DEC(MID($B103,28,2))),"")</f>
        <v/>
      </c>
    </row>
    <row r="104" spans="1:30" x14ac:dyDescent="0.25">
      <c r="A104" s="4" t="str">
        <f t="shared" si="8"/>
        <v>066</v>
      </c>
      <c r="B104" s="2" t="s">
        <v>107</v>
      </c>
      <c r="C104" s="3"/>
      <c r="D104" s="3"/>
      <c r="E104" s="3"/>
      <c r="F104" s="27" t="str" cm="1">
        <f t="array" ref="F104">INDEX(Sources!A:A, 1 + BIN2DEC(LEFT($B104,5)))</f>
        <v>UNK10</v>
      </c>
      <c r="G104" s="27" t="str" cm="1">
        <f t="array" ref="G104">INDEX(Dest1!A:A,1+BIN2DEC(MID($B104,6,5)))</f>
        <v>UNK5</v>
      </c>
      <c r="H104" s="27" t="str" cm="1">
        <f t="array" ref="H104">INDEX(Source2!A:A,1+BIN2DEC(MID($B104,11,4)))</f>
        <v>--</v>
      </c>
      <c r="I104" s="23" cm="1">
        <f t="array" ref="I104">INDEX('D2'!A:A,1+BIN2DEC(MID($B104,16,2)))</f>
        <v>0</v>
      </c>
      <c r="J104" s="6">
        <f t="shared" si="11"/>
        <v>0</v>
      </c>
      <c r="K104" s="6">
        <f t="shared" si="12"/>
        <v>0</v>
      </c>
      <c r="L104" s="6">
        <f t="shared" si="13"/>
        <v>0</v>
      </c>
      <c r="M104" s="3" t="str" cm="1">
        <f t="array" ref="M104">INDEX(Types!A:A,1+BIN2DEC(MID($B104,20,2)))</f>
        <v>Control</v>
      </c>
      <c r="N104" s="3" t="str" cm="1">
        <f t="array" ref="N104">IF(M104="ALU",INDEX(ALUOps!A:A,1+BIN2DEC(MID($B104,22,5))),"")</f>
        <v/>
      </c>
      <c r="O104" s="3" t="str" cm="1">
        <f t="array" ref="O104">IF(M104="ALU",INDEX(TMP!A:A,1+BIN2DEC(MID($B104,27,2))),"")</f>
        <v/>
      </c>
      <c r="P104" s="6" t="str">
        <f t="shared" si="9"/>
        <v/>
      </c>
      <c r="Q104" t="str">
        <f t="shared" si="10"/>
        <v/>
      </c>
      <c r="R104" t="str">
        <f t="shared" si="14"/>
        <v/>
      </c>
      <c r="S104" cm="1">
        <f t="array" ref="S104">IF(M104="Control",INDEX(IC!A:A,1+BIN2DEC(MID($B104,21,4))),"")</f>
        <v>0</v>
      </c>
      <c r="T104" cm="1">
        <f t="array" ref="T104">IF(M104="Control",INDEX(EC!A:A,1+BIN2DEC(MID($B104,25,3))),"")</f>
        <v>0</v>
      </c>
      <c r="U104" cm="1">
        <f t="array" ref="U104">IF(M104="Control",INDEX(SR!A:A,1+BIN2DEC(MID($B104,28,2))),"")</f>
        <v>0</v>
      </c>
    </row>
    <row r="105" spans="1:30" s="9" customFormat="1" ht="15.75" thickBot="1" x14ac:dyDescent="0.3">
      <c r="A105" s="7" t="str">
        <f t="shared" si="8"/>
        <v>067</v>
      </c>
      <c r="B105" s="8" t="s">
        <v>39</v>
      </c>
      <c r="C105" s="10"/>
      <c r="D105" s="10"/>
      <c r="E105" s="10"/>
      <c r="F105" s="30" t="str" cm="1">
        <f t="array" ref="F105">INDEX(Sources!A:A, 1 + BIN2DEC(LEFT($B105,5)))</f>
        <v>--</v>
      </c>
      <c r="G105" s="30" t="str" cm="1">
        <f t="array" ref="G105">INDEX(Dest1!A:A,1+BIN2DEC(MID($B105,6,5)))</f>
        <v>--</v>
      </c>
      <c r="H105" s="30" t="str" cm="1">
        <f t="array" ref="H105">INDEX(Source2!A:A,1+BIN2DEC(MID($B105,11,4)))</f>
        <v>--</v>
      </c>
      <c r="I105" s="26" cm="1">
        <f t="array" ref="I105">INDEX('D2'!A:A,1+BIN2DEC(MID($B105,16,2)))</f>
        <v>0</v>
      </c>
      <c r="J105" s="11">
        <f t="shared" si="11"/>
        <v>0</v>
      </c>
      <c r="K105" s="11">
        <f t="shared" si="12"/>
        <v>0</v>
      </c>
      <c r="L105" s="11">
        <f t="shared" si="13"/>
        <v>1</v>
      </c>
      <c r="M105" s="10" t="str" cm="1">
        <f t="array" ref="M105">INDEX(Types!A:A,1+BIN2DEC(MID($B105,20,2)))</f>
        <v>Control</v>
      </c>
      <c r="N105" s="10" t="str" cm="1">
        <f t="array" ref="N105">IF(M105="ALU",INDEX(ALUOps!A:A,1+BIN2DEC(MID($B105,22,5))),"")</f>
        <v/>
      </c>
      <c r="O105" s="10" t="str" cm="1">
        <f t="array" ref="O105">IF(M105="ALU",INDEX(TMP!A:A,1+BIN2DEC(MID($B105,27,2))),"")</f>
        <v/>
      </c>
      <c r="P105" s="11" t="str">
        <f t="shared" si="9"/>
        <v/>
      </c>
      <c r="Q105" s="9" t="str">
        <f t="shared" si="10"/>
        <v/>
      </c>
      <c r="R105" s="9" t="str">
        <f t="shared" si="14"/>
        <v/>
      </c>
      <c r="S105" s="9" cm="1">
        <f t="array" ref="S105">IF(M105="Control",INDEX(IC!A:A,1+BIN2DEC(MID($B105,21,4))),"")</f>
        <v>0</v>
      </c>
      <c r="T105" s="9" cm="1">
        <f t="array" ref="T105">IF(M105="Control",INDEX(EC!A:A,1+BIN2DEC(MID($B105,25,3))),"")</f>
        <v>0</v>
      </c>
      <c r="U105" s="9" cm="1">
        <f t="array" ref="U105">IF(M105="Control",INDEX(SR!A:A,1+BIN2DEC(MID($B105,28,2))),"")</f>
        <v>0</v>
      </c>
    </row>
    <row r="106" spans="1:30" x14ac:dyDescent="0.25">
      <c r="A106" s="4" t="str">
        <f t="shared" si="8"/>
        <v>068</v>
      </c>
      <c r="B106" s="2" t="s">
        <v>108</v>
      </c>
      <c r="C106" s="2" t="s">
        <v>109</v>
      </c>
      <c r="D106" s="2" t="s">
        <v>928</v>
      </c>
      <c r="E106" s="2" t="s">
        <v>462</v>
      </c>
      <c r="F106" s="27" t="str" cm="1">
        <f t="array" ref="F106">INDEX(Sources!A:A, 1 + BIN2DEC(LEFT($B106,5)))</f>
        <v>Q</v>
      </c>
      <c r="G106" s="27" t="str" cm="1">
        <f t="array" ref="G106">INDEX(Dest1!A:A,1+BIN2DEC(MID($B106,6,5)))</f>
        <v>UNK11</v>
      </c>
      <c r="H106" s="27" t="str" cm="1">
        <f t="array" ref="H106">INDEX(Source2!A:A,1+BIN2DEC(MID($B106,11,4)))</f>
        <v>--</v>
      </c>
      <c r="I106" s="23" cm="1">
        <f t="array" ref="I106">INDEX('D2'!A:A,1+BIN2DEC(MID($B106,16,2)))</f>
        <v>0</v>
      </c>
      <c r="J106" s="6">
        <f t="shared" si="11"/>
        <v>0</v>
      </c>
      <c r="K106" s="6">
        <f t="shared" si="12"/>
        <v>0</v>
      </c>
      <c r="L106" s="6">
        <f t="shared" si="13"/>
        <v>0</v>
      </c>
      <c r="M106" s="3" t="str" cm="1">
        <f t="array" ref="M106">INDEX(Types!A:A,1+BIN2DEC(MID($B106,20,2)))</f>
        <v>Control</v>
      </c>
      <c r="N106" s="3" t="str" cm="1">
        <f t="array" ref="N106">IF(M106="ALU",INDEX(ALUOps!A:A,1+BIN2DEC(MID($B106,22,5))),"")</f>
        <v/>
      </c>
      <c r="O106" s="3" t="str" cm="1">
        <f t="array" ref="O106">IF(M106="ALU",INDEX(TMP!A:A,1+BIN2DEC(MID($B106,27,2))),"")</f>
        <v/>
      </c>
      <c r="P106" s="6" t="str">
        <f t="shared" si="9"/>
        <v/>
      </c>
      <c r="Q106" t="str">
        <f t="shared" si="10"/>
        <v/>
      </c>
      <c r="R106" t="str">
        <f t="shared" si="14"/>
        <v/>
      </c>
      <c r="S106" cm="1">
        <f t="array" ref="S106">IF(M106="Control",INDEX(IC!A:A,1+BIN2DEC(MID($B106,21,4))),"")</f>
        <v>0</v>
      </c>
      <c r="T106" cm="1">
        <f t="array" ref="T106">IF(M106="Control",INDEX(EC!A:A,1+BIN2DEC(MID($B106,25,3))),"")</f>
        <v>0</v>
      </c>
      <c r="U106" cm="1">
        <f t="array" ref="U106">IF(M106="Control",INDEX(SR!A:A,1+BIN2DEC(MID($B106,28,2))),"")</f>
        <v>0</v>
      </c>
      <c r="X106" t="s">
        <v>999</v>
      </c>
      <c r="AC106" s="1" t="s">
        <v>110</v>
      </c>
      <c r="AD106" s="1" t="s">
        <v>110</v>
      </c>
    </row>
    <row r="107" spans="1:30" x14ac:dyDescent="0.25">
      <c r="A107" s="4" t="str">
        <f t="shared" si="8"/>
        <v>069</v>
      </c>
      <c r="B107" s="2" t="s">
        <v>8</v>
      </c>
      <c r="C107" s="3"/>
      <c r="D107" s="3"/>
      <c r="E107" s="3"/>
      <c r="F107" s="27" t="str" cm="1">
        <f t="array" ref="F107">INDEX(Sources!A:A, 1 + BIN2DEC(LEFT($B107,5)))</f>
        <v>Q</v>
      </c>
      <c r="G107" s="27" t="str" cm="1">
        <f t="array" ref="G107">INDEX(Dest1!A:A,1+BIN2DEC(MID($B107,6,5)))</f>
        <v>UNK9</v>
      </c>
      <c r="H107" s="27" t="str" cm="1">
        <f t="array" ref="H107">INDEX(Source2!A:A,1+BIN2DEC(MID($B107,11,4)))</f>
        <v>--</v>
      </c>
      <c r="I107" s="23" cm="1">
        <f t="array" ref="I107">INDEX('D2'!A:A,1+BIN2DEC(MID($B107,16,2)))</f>
        <v>0</v>
      </c>
      <c r="J107" s="6">
        <f t="shared" si="11"/>
        <v>0</v>
      </c>
      <c r="K107" s="6">
        <f t="shared" si="12"/>
        <v>0</v>
      </c>
      <c r="L107" s="6">
        <f t="shared" si="13"/>
        <v>0</v>
      </c>
      <c r="M107" s="3" t="str" cm="1">
        <f t="array" ref="M107">INDEX(Types!A:A,1+BIN2DEC(MID($B107,20,2)))</f>
        <v>Control</v>
      </c>
      <c r="N107" s="3" t="str" cm="1">
        <f t="array" ref="N107">IF(M107="ALU",INDEX(ALUOps!A:A,1+BIN2DEC(MID($B107,22,5))),"")</f>
        <v/>
      </c>
      <c r="O107" s="3" t="str" cm="1">
        <f t="array" ref="O107">IF(M107="ALU",INDEX(TMP!A:A,1+BIN2DEC(MID($B107,27,2))),"")</f>
        <v/>
      </c>
      <c r="P107" s="6" t="str">
        <f t="shared" si="9"/>
        <v/>
      </c>
      <c r="Q107" t="str">
        <f t="shared" si="10"/>
        <v/>
      </c>
      <c r="R107" t="str">
        <f t="shared" si="14"/>
        <v/>
      </c>
      <c r="S107" cm="1">
        <f t="array" ref="S107">IF(M107="Control",INDEX(IC!A:A,1+BIN2DEC(MID($B107,21,4))),"")</f>
        <v>0</v>
      </c>
      <c r="T107" cm="1">
        <f t="array" ref="T107">IF(M107="Control",INDEX(EC!A:A,1+BIN2DEC(MID($B107,25,3))),"")</f>
        <v>0</v>
      </c>
      <c r="U107" cm="1">
        <f t="array" ref="U107">IF(M107="Control",INDEX(SR!A:A,1+BIN2DEC(MID($B107,28,2))),"")</f>
        <v>0</v>
      </c>
    </row>
    <row r="108" spans="1:30" x14ac:dyDescent="0.25">
      <c r="A108" s="4" t="str">
        <f t="shared" si="8"/>
        <v>06A</v>
      </c>
      <c r="B108" s="2" t="s">
        <v>111</v>
      </c>
      <c r="C108" s="3"/>
      <c r="D108" s="3"/>
      <c r="E108" s="3"/>
      <c r="F108" s="27" t="str" cm="1">
        <f t="array" ref="F108">INDEX(Sources!A:A, 1 + BIN2DEC(LEFT($B108,5)))</f>
        <v>Q</v>
      </c>
      <c r="G108" s="27" t="str" cm="1">
        <f t="array" ref="G108">INDEX(Dest1!A:A,1+BIN2DEC(MID($B108,6,5)))</f>
        <v>UNK10</v>
      </c>
      <c r="H108" s="27" t="str" cm="1">
        <f t="array" ref="H108">INDEX(Source2!A:A,1+BIN2DEC(MID($B108,11,4)))</f>
        <v>--</v>
      </c>
      <c r="I108" s="23" cm="1">
        <f t="array" ref="I108">INDEX('D2'!A:A,1+BIN2DEC(MID($B108,16,2)))</f>
        <v>0</v>
      </c>
      <c r="J108" s="6">
        <f t="shared" si="11"/>
        <v>0</v>
      </c>
      <c r="K108" s="6">
        <f t="shared" si="12"/>
        <v>0</v>
      </c>
      <c r="L108" s="6">
        <f t="shared" si="13"/>
        <v>0</v>
      </c>
      <c r="M108" s="3" t="str" cm="1">
        <f t="array" ref="M108">INDEX(Types!A:A,1+BIN2DEC(MID($B108,20,2)))</f>
        <v>Control</v>
      </c>
      <c r="N108" s="3" t="str" cm="1">
        <f t="array" ref="N108">IF(M108="ALU",INDEX(ALUOps!A:A,1+BIN2DEC(MID($B108,22,5))),"")</f>
        <v/>
      </c>
      <c r="O108" s="3" t="str" cm="1">
        <f t="array" ref="O108">IF(M108="ALU",INDEX(TMP!A:A,1+BIN2DEC(MID($B108,27,2))),"")</f>
        <v/>
      </c>
      <c r="P108" s="6" t="str">
        <f t="shared" si="9"/>
        <v/>
      </c>
      <c r="Q108" t="str">
        <f t="shared" si="10"/>
        <v/>
      </c>
      <c r="R108" t="str">
        <f t="shared" si="14"/>
        <v/>
      </c>
      <c r="S108" cm="1">
        <f t="array" ref="S108">IF(M108="Control",INDEX(IC!A:A,1+BIN2DEC(MID($B108,21,4))),"")</f>
        <v>0</v>
      </c>
      <c r="T108" cm="1">
        <f t="array" ref="T108">IF(M108="Control",INDEX(EC!A:A,1+BIN2DEC(MID($B108,25,3))),"")</f>
        <v>0</v>
      </c>
      <c r="U108" cm="1">
        <f t="array" ref="U108">IF(M108="Control",INDEX(SR!A:A,1+BIN2DEC(MID($B108,28,2))),"")</f>
        <v>0</v>
      </c>
    </row>
    <row r="109" spans="1:30" s="9" customFormat="1" ht="15.75" thickBot="1" x14ac:dyDescent="0.3">
      <c r="A109" s="7" t="str">
        <f t="shared" si="8"/>
        <v>06B</v>
      </c>
      <c r="B109" s="8" t="s">
        <v>112</v>
      </c>
      <c r="C109" s="10"/>
      <c r="D109" s="10"/>
      <c r="E109" s="10"/>
      <c r="F109" s="30" t="str" cm="1">
        <f t="array" ref="F109">INDEX(Sources!A:A, 1 + BIN2DEC(LEFT($B109,5)))</f>
        <v>Q</v>
      </c>
      <c r="G109" s="30" t="str" cm="1">
        <f t="array" ref="G109">INDEX(Dest1!A:A,1+BIN2DEC(MID($B109,6,5)))</f>
        <v>UNK8</v>
      </c>
      <c r="H109" s="30" t="str" cm="1">
        <f t="array" ref="H109">INDEX(Source2!A:A,1+BIN2DEC(MID($B109,11,4)))</f>
        <v>--</v>
      </c>
      <c r="I109" s="26" cm="1">
        <f t="array" ref="I109">INDEX('D2'!A:A,1+BIN2DEC(MID($B109,16,2)))</f>
        <v>0</v>
      </c>
      <c r="J109" s="11">
        <f t="shared" si="11"/>
        <v>0</v>
      </c>
      <c r="K109" s="11">
        <f t="shared" si="12"/>
        <v>0</v>
      </c>
      <c r="L109" s="11">
        <f t="shared" si="13"/>
        <v>0</v>
      </c>
      <c r="M109" s="10" t="str" cm="1">
        <f t="array" ref="M109">INDEX(Types!A:A,1+BIN2DEC(MID($B109,20,2)))</f>
        <v>Control</v>
      </c>
      <c r="N109" s="10" t="str" cm="1">
        <f t="array" ref="N109">IF(M109="ALU",INDEX(ALUOps!A:A,1+BIN2DEC(MID($B109,22,5))),"")</f>
        <v/>
      </c>
      <c r="O109" s="10" t="str" cm="1">
        <f t="array" ref="O109">IF(M109="ALU",INDEX(TMP!A:A,1+BIN2DEC(MID($B109,27,2))),"")</f>
        <v/>
      </c>
      <c r="P109" s="11" t="str">
        <f t="shared" si="9"/>
        <v/>
      </c>
      <c r="Q109" s="9" t="str">
        <f t="shared" si="10"/>
        <v/>
      </c>
      <c r="R109" s="9" t="str">
        <f t="shared" si="14"/>
        <v/>
      </c>
      <c r="S109" s="9" cm="1">
        <f t="array" ref="S109">IF(M109="Control",INDEX(IC!A:A,1+BIN2DEC(MID($B109,21,4))),"")</f>
        <v>1</v>
      </c>
      <c r="T109" s="9" cm="1">
        <f t="array" ref="T109">IF(M109="Control",INDEX(EC!A:A,1+BIN2DEC(MID($B109,25,3))),"")</f>
        <v>4</v>
      </c>
      <c r="U109" s="9" cm="1">
        <f t="array" ref="U109">IF(M109="Control",INDEX(SR!A:A,1+BIN2DEC(MID($B109,28,2))),"")</f>
        <v>2</v>
      </c>
    </row>
    <row r="110" spans="1:30" x14ac:dyDescent="0.25">
      <c r="A110" s="4" t="str">
        <f t="shared" si="8"/>
        <v>06C</v>
      </c>
      <c r="B110" s="2" t="s">
        <v>113</v>
      </c>
      <c r="C110" s="2" t="s">
        <v>114</v>
      </c>
      <c r="D110" s="2" t="s">
        <v>928</v>
      </c>
      <c r="E110" s="2" t="s">
        <v>462</v>
      </c>
      <c r="F110" s="27" t="str" cm="1">
        <f t="array" ref="F110">INDEX(Sources!A:A, 1 + BIN2DEC(LEFT($B110,5)))</f>
        <v>--</v>
      </c>
      <c r="G110" s="27" t="str" cm="1">
        <f t="array" ref="G110">INDEX(Dest1!A:A,1+BIN2DEC(MID($B110,6,5)))</f>
        <v>--</v>
      </c>
      <c r="H110" s="27" t="str" cm="1">
        <f t="array" ref="H110">INDEX(Source2!A:A,1+BIN2DEC(MID($B110,11,4)))</f>
        <v>--</v>
      </c>
      <c r="I110" s="23" cm="1">
        <f t="array" ref="I110">INDEX('D2'!A:A,1+BIN2DEC(MID($B110,16,2)))</f>
        <v>0</v>
      </c>
      <c r="J110" s="6">
        <f t="shared" si="11"/>
        <v>0</v>
      </c>
      <c r="K110" s="6">
        <f t="shared" si="12"/>
        <v>0</v>
      </c>
      <c r="L110" s="6">
        <f t="shared" si="13"/>
        <v>0</v>
      </c>
      <c r="M110" s="3" t="str" cm="1">
        <f t="array" ref="M110">INDEX(Types!A:A,1+BIN2DEC(MID($B110,20,2)))</f>
        <v>Jump</v>
      </c>
      <c r="N110" s="3" t="str" cm="1">
        <f t="array" ref="N110">IF(M110="ALU",INDEX(ALUOps!A:A,1+BIN2DEC(MID($B110,22,5))),"")</f>
        <v/>
      </c>
      <c r="O110" s="3" t="str" cm="1">
        <f t="array" ref="O110">IF(M110="ALU",INDEX(TMP!A:A,1+BIN2DEC(MID($B110,27,2))),"")</f>
        <v/>
      </c>
      <c r="P110" s="6" t="str">
        <f t="shared" si="9"/>
        <v/>
      </c>
      <c r="Q110">
        <f t="shared" si="10"/>
        <v>2</v>
      </c>
      <c r="R110">
        <f t="shared" si="14"/>
        <v>3</v>
      </c>
      <c r="S110" t="str" cm="1">
        <f t="array" ref="S110">IF(M110="Control",INDEX(IC!A:A,1+BIN2DEC(MID($B110,21,4))),"")</f>
        <v/>
      </c>
      <c r="T110" t="str" cm="1">
        <f t="array" ref="T110">IF(M110="Control",INDEX(EC!A:A,1+BIN2DEC(MID($B110,25,3))),"")</f>
        <v/>
      </c>
      <c r="U110" t="str" cm="1">
        <f t="array" ref="U110">IF(M110="Control",INDEX(SR!A:A,1+BIN2DEC(MID($B110,28,2))),"")</f>
        <v/>
      </c>
      <c r="X110" t="s">
        <v>1000</v>
      </c>
      <c r="AC110" s="1" t="s">
        <v>115</v>
      </c>
      <c r="AD110" s="1" t="s">
        <v>115</v>
      </c>
    </row>
    <row r="111" spans="1:30" x14ac:dyDescent="0.25">
      <c r="A111" s="4" t="str">
        <f t="shared" si="8"/>
        <v>06D</v>
      </c>
      <c r="B111" s="2" t="s">
        <v>116</v>
      </c>
      <c r="C111" s="3"/>
      <c r="D111" s="3"/>
      <c r="E111" s="3"/>
      <c r="F111" s="27" t="str" cm="1">
        <f t="array" ref="F111">INDEX(Sources!A:A, 1 + BIN2DEC(LEFT($B111,5)))</f>
        <v>--</v>
      </c>
      <c r="G111" s="27" t="str" cm="1">
        <f t="array" ref="G111">INDEX(Dest1!A:A,1+BIN2DEC(MID($B111,6,5)))</f>
        <v>--</v>
      </c>
      <c r="H111" s="27" t="str" cm="1">
        <f t="array" ref="H111">INDEX(Source2!A:A,1+BIN2DEC(MID($B111,11,4)))</f>
        <v>--</v>
      </c>
      <c r="I111" s="23" cm="1">
        <f t="array" ref="I111">INDEX('D2'!A:A,1+BIN2DEC(MID($B111,16,2)))</f>
        <v>0</v>
      </c>
      <c r="J111" s="6">
        <f t="shared" si="11"/>
        <v>0</v>
      </c>
      <c r="K111" s="6">
        <f t="shared" si="12"/>
        <v>0</v>
      </c>
      <c r="L111" s="6">
        <f t="shared" si="13"/>
        <v>1</v>
      </c>
      <c r="M111" s="3" t="str" cm="1">
        <f t="array" ref="M111">INDEX(Types!A:A,1+BIN2DEC(MID($B111,20,2)))</f>
        <v>Control</v>
      </c>
      <c r="N111" s="3" t="str" cm="1">
        <f t="array" ref="N111">IF(M111="ALU",INDEX(ALUOps!A:A,1+BIN2DEC(MID($B111,22,5))),"")</f>
        <v/>
      </c>
      <c r="O111" s="3" t="str" cm="1">
        <f t="array" ref="O111">IF(M111="ALU",INDEX(TMP!A:A,1+BIN2DEC(MID($B111,27,2))),"")</f>
        <v/>
      </c>
      <c r="P111" s="6" t="str">
        <f t="shared" si="9"/>
        <v/>
      </c>
      <c r="Q111" t="str">
        <f t="shared" si="10"/>
        <v/>
      </c>
      <c r="R111" t="str">
        <f t="shared" si="14"/>
        <v/>
      </c>
      <c r="S111" cm="1">
        <f t="array" ref="S111">IF(M111="Control",INDEX(IC!A:A,1+BIN2DEC(MID($B111,21,4))),"")</f>
        <v>5</v>
      </c>
      <c r="T111" cm="1">
        <f t="array" ref="T111">IF(M111="Control",INDEX(EC!A:A,1+BIN2DEC(MID($B111,25,3))),"")</f>
        <v>0</v>
      </c>
      <c r="U111" cm="1">
        <f t="array" ref="U111">IF(M111="Control",INDEX(SR!A:A,1+BIN2DEC(MID($B111,28,2))),"")</f>
        <v>0</v>
      </c>
    </row>
    <row r="112" spans="1:30" x14ac:dyDescent="0.25">
      <c r="A112" s="4" t="str">
        <f t="shared" si="8"/>
        <v>06E</v>
      </c>
      <c r="B112" s="2" t="s">
        <v>4</v>
      </c>
      <c r="C112" s="3"/>
      <c r="D112" s="3"/>
      <c r="E112" s="3"/>
      <c r="F112" s="27" t="str" cm="1">
        <f t="array" ref="F112">INDEX(Sources!A:A, 1 + BIN2DEC(LEFT($B112,5)))</f>
        <v>--</v>
      </c>
      <c r="G112" s="27" t="str" cm="1">
        <f t="array" ref="G112">INDEX(Dest1!A:A,1+BIN2DEC(MID($B112,6,5)))</f>
        <v>--</v>
      </c>
      <c r="H112" s="27" t="str" cm="1">
        <f t="array" ref="H112">INDEX(Source2!A:A,1+BIN2DEC(MID($B112,11,4)))</f>
        <v>--</v>
      </c>
      <c r="I112" s="23" cm="1">
        <f t="array" ref="I112">INDEX('D2'!A:A,1+BIN2DEC(MID($B112,16,2)))</f>
        <v>0</v>
      </c>
      <c r="J112" s="6">
        <f t="shared" si="11"/>
        <v>0</v>
      </c>
      <c r="K112" s="6">
        <f t="shared" si="12"/>
        <v>0</v>
      </c>
      <c r="L112" s="6">
        <f t="shared" si="13"/>
        <v>0</v>
      </c>
      <c r="M112" s="3" t="str" cm="1">
        <f t="array" ref="M112">INDEX(Types!A:A,1+BIN2DEC(MID($B112,20,2)))</f>
        <v>Control</v>
      </c>
      <c r="N112" s="3" t="str" cm="1">
        <f t="array" ref="N112">IF(M112="ALU",INDEX(ALUOps!A:A,1+BIN2DEC(MID($B112,22,5))),"")</f>
        <v/>
      </c>
      <c r="O112" s="3" t="str" cm="1">
        <f t="array" ref="O112">IF(M112="ALU",INDEX(TMP!A:A,1+BIN2DEC(MID($B112,27,2))),"")</f>
        <v/>
      </c>
      <c r="P112" s="6" t="str">
        <f t="shared" si="9"/>
        <v/>
      </c>
      <c r="Q112" t="str">
        <f t="shared" si="10"/>
        <v/>
      </c>
      <c r="R112" t="str">
        <f t="shared" si="14"/>
        <v/>
      </c>
      <c r="S112" cm="1">
        <f t="array" ref="S112">IF(M112="Control",INDEX(IC!A:A,1+BIN2DEC(MID($B112,21,4))),"")</f>
        <v>0</v>
      </c>
      <c r="T112" cm="1">
        <f t="array" ref="T112">IF(M112="Control",INDEX(EC!A:A,1+BIN2DEC(MID($B112,25,3))),"")</f>
        <v>0</v>
      </c>
      <c r="U112" cm="1">
        <f t="array" ref="U112">IF(M112="Control",INDEX(SR!A:A,1+BIN2DEC(MID($B112,28,2))),"")</f>
        <v>0</v>
      </c>
    </row>
    <row r="113" spans="1:30" x14ac:dyDescent="0.25">
      <c r="A113" s="4" t="str">
        <f t="shared" si="8"/>
        <v>06F</v>
      </c>
      <c r="B113" s="2" t="s">
        <v>117</v>
      </c>
      <c r="C113" s="3"/>
      <c r="D113" s="3"/>
      <c r="E113" s="3"/>
      <c r="F113" s="27" t="str" cm="1">
        <f t="array" ref="F113">INDEX(Sources!A:A, 1 + BIN2DEC(LEFT($B113,5)))</f>
        <v>--</v>
      </c>
      <c r="G113" s="27" t="str" cm="1">
        <f t="array" ref="G113">INDEX(Dest1!A:A,1+BIN2DEC(MID($B113,6,5)))</f>
        <v>--</v>
      </c>
      <c r="H113" s="27" t="str" cm="1">
        <f t="array" ref="H113">INDEX(Source2!A:A,1+BIN2DEC(MID($B113,11,4)))</f>
        <v>--</v>
      </c>
      <c r="I113" s="23" cm="1">
        <f t="array" ref="I113">INDEX('D2'!A:A,1+BIN2DEC(MID($B113,16,2)))</f>
        <v>0</v>
      </c>
      <c r="J113" s="6">
        <f t="shared" si="11"/>
        <v>0</v>
      </c>
      <c r="K113" s="6">
        <f t="shared" si="12"/>
        <v>0</v>
      </c>
      <c r="L113" s="6">
        <f t="shared" si="13"/>
        <v>0</v>
      </c>
      <c r="M113" s="3" t="str" cm="1">
        <f t="array" ref="M113">INDEX(Types!A:A,1+BIN2DEC(MID($B113,20,2)))</f>
        <v>Jump</v>
      </c>
      <c r="N113" s="3" t="str" cm="1">
        <f t="array" ref="N113">IF(M113="ALU",INDEX(ALUOps!A:A,1+BIN2DEC(MID($B113,22,5))),"")</f>
        <v/>
      </c>
      <c r="O113" s="3" t="str" cm="1">
        <f t="array" ref="O113">IF(M113="ALU",INDEX(TMP!A:A,1+BIN2DEC(MID($B113,27,2))),"")</f>
        <v/>
      </c>
      <c r="P113" s="6" t="str">
        <f t="shared" si="9"/>
        <v/>
      </c>
      <c r="Q113">
        <f t="shared" si="10"/>
        <v>1</v>
      </c>
      <c r="R113">
        <f t="shared" si="14"/>
        <v>5</v>
      </c>
      <c r="S113" t="str" cm="1">
        <f t="array" ref="S113">IF(M113="Control",INDEX(IC!A:A,1+BIN2DEC(MID($B113,21,4))),"")</f>
        <v/>
      </c>
      <c r="T113" t="str" cm="1">
        <f t="array" ref="T113">IF(M113="Control",INDEX(EC!A:A,1+BIN2DEC(MID($B113,25,3))),"")</f>
        <v/>
      </c>
      <c r="U113" t="str" cm="1">
        <f t="array" ref="U113">IF(M113="Control",INDEX(SR!A:A,1+BIN2DEC(MID($B113,28,2))),"")</f>
        <v/>
      </c>
    </row>
    <row r="114" spans="1:30" x14ac:dyDescent="0.25">
      <c r="A114" s="4" t="str">
        <f t="shared" si="8"/>
        <v>070</v>
      </c>
      <c r="B114" s="2" t="s">
        <v>118</v>
      </c>
      <c r="C114" s="2" t="s">
        <v>119</v>
      </c>
      <c r="D114" s="2" t="s">
        <v>928</v>
      </c>
      <c r="E114" s="2" t="s">
        <v>929</v>
      </c>
      <c r="F114" s="27" t="str" cm="1">
        <f t="array" ref="F114">INDEX(Sources!A:A, 1 + BIN2DEC(LEFT($B114,5)))</f>
        <v>--</v>
      </c>
      <c r="G114" s="27" t="str" cm="1">
        <f t="array" ref="G114">INDEX(Dest1!A:A,1+BIN2DEC(MID($B114,6,5)))</f>
        <v>--</v>
      </c>
      <c r="H114" s="27" t="str" cm="1">
        <f t="array" ref="H114">INDEX(Source2!A:A,1+BIN2DEC(MID($B114,11,4)))</f>
        <v>--</v>
      </c>
      <c r="I114" s="23" cm="1">
        <f t="array" ref="I114">INDEX('D2'!A:A,1+BIN2DEC(MID($B114,16,2)))</f>
        <v>0</v>
      </c>
      <c r="J114" s="6">
        <f t="shared" si="11"/>
        <v>0</v>
      </c>
      <c r="K114" s="6">
        <f t="shared" si="12"/>
        <v>0</v>
      </c>
      <c r="L114" s="6">
        <f t="shared" si="13"/>
        <v>0</v>
      </c>
      <c r="M114" s="3" t="str" cm="1">
        <f t="array" ref="M114">INDEX(Types!A:A,1+BIN2DEC(MID($B114,20,2)))</f>
        <v>Jump</v>
      </c>
      <c r="N114" s="3" t="str" cm="1">
        <f t="array" ref="N114">IF(M114="ALU",INDEX(ALUOps!A:A,1+BIN2DEC(MID($B114,22,5))),"")</f>
        <v/>
      </c>
      <c r="O114" s="3" t="str" cm="1">
        <f t="array" ref="O114">IF(M114="ALU",INDEX(TMP!A:A,1+BIN2DEC(MID($B114,27,2))),"")</f>
        <v/>
      </c>
      <c r="P114" s="6" t="str">
        <f t="shared" si="9"/>
        <v/>
      </c>
      <c r="Q114">
        <f t="shared" si="10"/>
        <v>7</v>
      </c>
      <c r="R114">
        <f t="shared" si="14"/>
        <v>0</v>
      </c>
      <c r="S114" t="str" cm="1">
        <f t="array" ref="S114">IF(M114="Control",INDEX(IC!A:A,1+BIN2DEC(MID($B114,21,4))),"")</f>
        <v/>
      </c>
      <c r="T114" t="str" cm="1">
        <f t="array" ref="T114">IF(M114="Control",INDEX(EC!A:A,1+BIN2DEC(MID($B114,25,3))),"")</f>
        <v/>
      </c>
      <c r="U114" t="str" cm="1">
        <f t="array" ref="U114">IF(M114="Control",INDEX(SR!A:A,1+BIN2DEC(MID($B114,28,2))),"")</f>
        <v/>
      </c>
      <c r="AC114" s="1" t="s">
        <v>115</v>
      </c>
      <c r="AD114" s="1" t="s">
        <v>115</v>
      </c>
    </row>
    <row r="115" spans="1:30" x14ac:dyDescent="0.25">
      <c r="A115" s="4" t="str">
        <f t="shared" si="8"/>
        <v>071</v>
      </c>
      <c r="B115" s="2" t="s">
        <v>120</v>
      </c>
      <c r="C115" s="3"/>
      <c r="D115" s="3"/>
      <c r="E115" s="3"/>
      <c r="F115" s="27" t="str" cm="1">
        <f t="array" ref="F115">INDEX(Sources!A:A, 1 + BIN2DEC(LEFT($B115,5)))</f>
        <v>--</v>
      </c>
      <c r="G115" s="27" t="str" cm="1">
        <f t="array" ref="G115">INDEX(Dest1!A:A,1+BIN2DEC(MID($B115,6,5)))</f>
        <v>--</v>
      </c>
      <c r="H115" s="27" t="str" cm="1">
        <f t="array" ref="H115">INDEX(Source2!A:A,1+BIN2DEC(MID($B115,11,4)))</f>
        <v>--</v>
      </c>
      <c r="I115" s="23" cm="1">
        <f t="array" ref="I115">INDEX('D2'!A:A,1+BIN2DEC(MID($B115,16,2)))</f>
        <v>0</v>
      </c>
      <c r="J115" s="6">
        <f t="shared" si="11"/>
        <v>0</v>
      </c>
      <c r="K115" s="6">
        <f t="shared" si="12"/>
        <v>0</v>
      </c>
      <c r="L115" s="6">
        <f t="shared" si="13"/>
        <v>0</v>
      </c>
      <c r="M115" s="3" t="str" cm="1">
        <f t="array" ref="M115">INDEX(Types!A:A,1+BIN2DEC(MID($B115,20,2)))</f>
        <v>Control</v>
      </c>
      <c r="N115" s="3" t="str" cm="1">
        <f t="array" ref="N115">IF(M115="ALU",INDEX(ALUOps!A:A,1+BIN2DEC(MID($B115,22,5))),"")</f>
        <v/>
      </c>
      <c r="O115" s="3" t="str" cm="1">
        <f t="array" ref="O115">IF(M115="ALU",INDEX(TMP!A:A,1+BIN2DEC(MID($B115,27,2))),"")</f>
        <v/>
      </c>
      <c r="P115" s="6" t="str">
        <f t="shared" si="9"/>
        <v/>
      </c>
      <c r="Q115" t="str">
        <f t="shared" si="10"/>
        <v/>
      </c>
      <c r="R115" t="str">
        <f t="shared" si="14"/>
        <v/>
      </c>
      <c r="S115" cm="1">
        <f t="array" ref="S115">IF(M115="Control",INDEX(IC!A:A,1+BIN2DEC(MID($B115,21,4))),"")</f>
        <v>7</v>
      </c>
      <c r="T115" cm="1">
        <f t="array" ref="T115">IF(M115="Control",INDEX(EC!A:A,1+BIN2DEC(MID($B115,25,3))),"")</f>
        <v>0</v>
      </c>
      <c r="U115" cm="1">
        <f t="array" ref="U115">IF(M115="Control",INDEX(SR!A:A,1+BIN2DEC(MID($B115,28,2))),"")</f>
        <v>0</v>
      </c>
    </row>
    <row r="116" spans="1:30" x14ac:dyDescent="0.25">
      <c r="A116" s="4" t="str">
        <f t="shared" si="8"/>
        <v>072</v>
      </c>
      <c r="B116" s="2" t="s">
        <v>121</v>
      </c>
      <c r="C116" s="3"/>
      <c r="D116" s="3"/>
      <c r="E116" s="3"/>
      <c r="F116" s="27" t="str" cm="1">
        <f t="array" ref="F116">INDEX(Sources!A:A, 1 + BIN2DEC(LEFT($B116,5)))</f>
        <v>UNK27</v>
      </c>
      <c r="G116" s="27" t="str" cm="1">
        <f t="array" ref="G116">INDEX(Dest1!A:A,1+BIN2DEC(MID($B116,6,5)))</f>
        <v>TMPA</v>
      </c>
      <c r="H116" s="27" t="str" cm="1">
        <f t="array" ref="H116">INDEX(Source2!A:A,1+BIN2DEC(MID($B116,11,4)))</f>
        <v>--</v>
      </c>
      <c r="I116" s="23" cm="1">
        <f t="array" ref="I116">INDEX('D2'!A:A,1+BIN2DEC(MID($B116,16,2)))</f>
        <v>0</v>
      </c>
      <c r="J116" s="6">
        <f t="shared" si="11"/>
        <v>0</v>
      </c>
      <c r="K116" s="6">
        <f t="shared" si="12"/>
        <v>0</v>
      </c>
      <c r="L116" s="6">
        <f t="shared" si="13"/>
        <v>0</v>
      </c>
      <c r="M116" s="3" t="str" cm="1">
        <f t="array" ref="M116">INDEX(Types!A:A,1+BIN2DEC(MID($B116,20,2)))</f>
        <v>ALU</v>
      </c>
      <c r="N116" s="3" cm="1">
        <f t="array" ref="N116">IF(M116="ALU",INDEX(ALUOps!A:A,1+BIN2DEC(MID($B116,22,5))),"")</f>
        <v>6</v>
      </c>
      <c r="O116" s="3" cm="1">
        <f t="array" ref="O116">IF(M116="ALU",INDEX(TMP!A:A,1+BIN2DEC(MID($B116,27,2))),"")</f>
        <v>2</v>
      </c>
      <c r="P116" s="6">
        <f t="shared" si="9"/>
        <v>1</v>
      </c>
      <c r="Q116" t="str">
        <f t="shared" si="10"/>
        <v/>
      </c>
      <c r="R116" t="str">
        <f t="shared" si="14"/>
        <v/>
      </c>
      <c r="S116" t="str" cm="1">
        <f t="array" ref="S116">IF(M116="Control",INDEX(IC!A:A,1+BIN2DEC(MID($B116,21,4))),"")</f>
        <v/>
      </c>
      <c r="T116" t="str" cm="1">
        <f t="array" ref="T116">IF(M116="Control",INDEX(EC!A:A,1+BIN2DEC(MID($B116,25,3))),"")</f>
        <v/>
      </c>
      <c r="U116" t="str" cm="1">
        <f t="array" ref="U116">IF(M116="Control",INDEX(SR!A:A,1+BIN2DEC(MID($B116,28,2))),"")</f>
        <v/>
      </c>
    </row>
    <row r="117" spans="1:30" s="9" customFormat="1" ht="15.75" thickBot="1" x14ac:dyDescent="0.3">
      <c r="A117" s="7" t="str">
        <f t="shared" si="8"/>
        <v>073</v>
      </c>
      <c r="B117" s="8" t="s">
        <v>62</v>
      </c>
      <c r="C117" s="10"/>
      <c r="D117" s="10"/>
      <c r="E117" s="10"/>
      <c r="F117" s="30" t="str" cm="1">
        <f t="array" ref="F117">INDEX(Sources!A:A, 1 + BIN2DEC(LEFT($B117,5)))</f>
        <v>SIGMA</v>
      </c>
      <c r="G117" s="30" t="str" cm="1">
        <f t="array" ref="G117">INDEX(Dest1!A:A,1+BIN2DEC(MID($B117,6,5)))</f>
        <v>PC</v>
      </c>
      <c r="H117" s="30" t="str" cm="1">
        <f t="array" ref="H117">INDEX(Source2!A:A,1+BIN2DEC(MID($B117,11,4)))</f>
        <v>--</v>
      </c>
      <c r="I117" s="26" cm="1">
        <f t="array" ref="I117">INDEX('D2'!A:A,1+BIN2DEC(MID($B117,16,2)))</f>
        <v>0</v>
      </c>
      <c r="J117" s="11">
        <f t="shared" si="11"/>
        <v>0</v>
      </c>
      <c r="K117" s="11">
        <f t="shared" si="12"/>
        <v>0</v>
      </c>
      <c r="L117" s="11">
        <f t="shared" si="13"/>
        <v>1</v>
      </c>
      <c r="M117" s="10" t="str" cm="1">
        <f t="array" ref="M117">INDEX(Types!A:A,1+BIN2DEC(MID($B117,20,2)))</f>
        <v>Control</v>
      </c>
      <c r="N117" s="10" t="str" cm="1">
        <f t="array" ref="N117">IF(M117="ALU",INDEX(ALUOps!A:A,1+BIN2DEC(MID($B117,22,5))),"")</f>
        <v/>
      </c>
      <c r="O117" s="10" t="str" cm="1">
        <f t="array" ref="O117">IF(M117="ALU",INDEX(TMP!A:A,1+BIN2DEC(MID($B117,27,2))),"")</f>
        <v/>
      </c>
      <c r="P117" s="11" t="str">
        <f t="shared" si="9"/>
        <v/>
      </c>
      <c r="Q117" s="9" t="str">
        <f t="shared" si="10"/>
        <v/>
      </c>
      <c r="R117" s="9" t="str">
        <f t="shared" si="14"/>
        <v/>
      </c>
      <c r="S117" s="9" cm="1">
        <f t="array" ref="S117">IF(M117="Control",INDEX(IC!A:A,1+BIN2DEC(MID($B117,21,4))),"")</f>
        <v>6</v>
      </c>
      <c r="T117" s="9" cm="1">
        <f t="array" ref="T117">IF(M117="Control",INDEX(EC!A:A,1+BIN2DEC(MID($B117,25,3))),"")</f>
        <v>0</v>
      </c>
      <c r="U117" s="9" cm="1">
        <f t="array" ref="U117">IF(M117="Control",INDEX(SR!A:A,1+BIN2DEC(MID($B117,28,2))),"")</f>
        <v>0</v>
      </c>
    </row>
    <row r="118" spans="1:30" x14ac:dyDescent="0.25">
      <c r="A118" s="4" t="str">
        <f t="shared" si="8"/>
        <v>074</v>
      </c>
      <c r="B118" s="2" t="s">
        <v>17</v>
      </c>
      <c r="C118" s="2" t="s">
        <v>122</v>
      </c>
      <c r="D118" s="2" t="s">
        <v>928</v>
      </c>
      <c r="E118" s="2" t="s">
        <v>462</v>
      </c>
      <c r="F118" s="27" t="str" cm="1">
        <f t="array" ref="F118">INDEX(Sources!A:A, 1 + BIN2DEC(LEFT($B118,5)))</f>
        <v>SP</v>
      </c>
      <c r="G118" s="27" t="str" cm="1">
        <f t="array" ref="G118">INDEX(Dest1!A:A,1+BIN2DEC(MID($B118,6,5)))</f>
        <v>TMPA</v>
      </c>
      <c r="H118" s="27" t="str" cm="1">
        <f t="array" ref="H118">INDEX(Source2!A:A,1+BIN2DEC(MID($B118,11,4)))</f>
        <v>--</v>
      </c>
      <c r="I118" s="23" cm="1">
        <f t="array" ref="I118">INDEX('D2'!A:A,1+BIN2DEC(MID($B118,16,2)))</f>
        <v>0</v>
      </c>
      <c r="J118" s="6">
        <f t="shared" si="11"/>
        <v>0</v>
      </c>
      <c r="K118" s="6">
        <f t="shared" si="12"/>
        <v>0</v>
      </c>
      <c r="L118" s="6">
        <f t="shared" si="13"/>
        <v>0</v>
      </c>
      <c r="M118" s="3" t="str" cm="1">
        <f t="array" ref="M118">INDEX(Types!A:A,1+BIN2DEC(MID($B118,20,2)))</f>
        <v>ALU</v>
      </c>
      <c r="N118" s="3" cm="1">
        <f t="array" ref="N118">IF(M118="ALU",INDEX(ALUOps!A:A,1+BIN2DEC(MID($B118,22,5))),"")</f>
        <v>2</v>
      </c>
      <c r="O118" s="3" cm="1">
        <f t="array" ref="O118">IF(M118="ALU",INDEX(TMP!A:A,1+BIN2DEC(MID($B118,27,2))),"")</f>
        <v>2</v>
      </c>
      <c r="P118" s="6">
        <f t="shared" si="9"/>
        <v>1</v>
      </c>
      <c r="Q118" t="str">
        <f t="shared" si="10"/>
        <v/>
      </c>
      <c r="R118" t="str">
        <f t="shared" si="14"/>
        <v/>
      </c>
      <c r="S118" t="str" cm="1">
        <f t="array" ref="S118">IF(M118="Control",INDEX(IC!A:A,1+BIN2DEC(MID($B118,21,4))),"")</f>
        <v/>
      </c>
      <c r="T118" t="str" cm="1">
        <f t="array" ref="T118">IF(M118="Control",INDEX(EC!A:A,1+BIN2DEC(MID($B118,25,3))),"")</f>
        <v/>
      </c>
      <c r="U118" t="str" cm="1">
        <f t="array" ref="U118">IF(M118="Control",INDEX(SR!A:A,1+BIN2DEC(MID($B118,28,2))),"")</f>
        <v/>
      </c>
      <c r="X118" t="s">
        <v>1001</v>
      </c>
      <c r="AC118" s="1" t="s">
        <v>123</v>
      </c>
      <c r="AD118" s="1" t="s">
        <v>123</v>
      </c>
    </row>
    <row r="119" spans="1:30" x14ac:dyDescent="0.25">
      <c r="A119" s="4" t="str">
        <f t="shared" si="8"/>
        <v>075</v>
      </c>
      <c r="B119" s="2" t="s">
        <v>124</v>
      </c>
      <c r="C119" s="3"/>
      <c r="D119" s="3"/>
      <c r="E119" s="3"/>
      <c r="F119" s="27" t="str" cm="1">
        <f t="array" ref="F119">INDEX(Sources!A:A, 1 + BIN2DEC(LEFT($B119,5)))</f>
        <v>FLAGS</v>
      </c>
      <c r="G119" s="27" t="str" cm="1">
        <f t="array" ref="G119">INDEX(Dest1!A:A,1+BIN2DEC(MID($B119,6,5)))</f>
        <v>OUT</v>
      </c>
      <c r="H119" s="27" t="str" cm="1">
        <f t="array" ref="H119">INDEX(Source2!A:A,1+BIN2DEC(MID($B119,11,4)))</f>
        <v>11</v>
      </c>
      <c r="I119" s="23" t="str" cm="1">
        <f t="array" ref="I119">INDEX('D2'!A:A,1+BIN2DEC(MID($B119,16,2)))</f>
        <v>TMPB</v>
      </c>
      <c r="J119" s="6">
        <f t="shared" si="11"/>
        <v>0</v>
      </c>
      <c r="K119" s="6">
        <f t="shared" si="12"/>
        <v>0</v>
      </c>
      <c r="L119" s="6">
        <f t="shared" si="13"/>
        <v>1</v>
      </c>
      <c r="M119" s="3" t="str" cm="1">
        <f t="array" ref="M119">INDEX(Types!A:A,1+BIN2DEC(MID($B119,20,2)))</f>
        <v>Control</v>
      </c>
      <c r="N119" s="3" t="str" cm="1">
        <f t="array" ref="N119">IF(M119="ALU",INDEX(ALUOps!A:A,1+BIN2DEC(MID($B119,22,5))),"")</f>
        <v/>
      </c>
      <c r="O119" s="3" t="str" cm="1">
        <f t="array" ref="O119">IF(M119="ALU",INDEX(TMP!A:A,1+BIN2DEC(MID($B119,27,2))),"")</f>
        <v/>
      </c>
      <c r="P119" s="6" t="str">
        <f t="shared" si="9"/>
        <v/>
      </c>
      <c r="Q119" t="str">
        <f t="shared" si="10"/>
        <v/>
      </c>
      <c r="R119" t="str">
        <f t="shared" si="14"/>
        <v/>
      </c>
      <c r="S119" cm="1">
        <f t="array" ref="S119">IF(M119="Control",INDEX(IC!A:A,1+BIN2DEC(MID($B119,21,4))),"")</f>
        <v>0</v>
      </c>
      <c r="T119" cm="1">
        <f t="array" ref="T119">IF(M119="Control",INDEX(EC!A:A,1+BIN2DEC(MID($B119,25,3))),"")</f>
        <v>5</v>
      </c>
      <c r="U119" cm="1">
        <f t="array" ref="U119">IF(M119="Control",INDEX(SR!A:A,1+BIN2DEC(MID($B119,28,2))),"")</f>
        <v>1</v>
      </c>
    </row>
    <row r="120" spans="1:30" x14ac:dyDescent="0.25">
      <c r="A120" s="4" t="str">
        <f t="shared" si="8"/>
        <v>076</v>
      </c>
      <c r="B120" s="2" t="s">
        <v>15</v>
      </c>
      <c r="C120" s="3"/>
      <c r="D120" s="3"/>
      <c r="E120" s="3"/>
      <c r="F120" s="27" t="str" cm="1">
        <f t="array" ref="F120">INDEX(Sources!A:A, 1 + BIN2DEC(LEFT($B120,5)))</f>
        <v>SIGMA</v>
      </c>
      <c r="G120" s="27" t="str" cm="1">
        <f t="array" ref="G120">INDEX(Dest1!A:A,1+BIN2DEC(MID($B120,6,5)))</f>
        <v>SP</v>
      </c>
      <c r="H120" s="27" t="str" cm="1">
        <f t="array" ref="H120">INDEX(Source2!A:A,1+BIN2DEC(MID($B120,11,4)))</f>
        <v>--</v>
      </c>
      <c r="I120" s="23" cm="1">
        <f t="array" ref="I120">INDEX('D2'!A:A,1+BIN2DEC(MID($B120,16,2)))</f>
        <v>0</v>
      </c>
      <c r="J120" s="6">
        <f t="shared" si="11"/>
        <v>0</v>
      </c>
      <c r="K120" s="6">
        <f t="shared" si="12"/>
        <v>0</v>
      </c>
      <c r="L120" s="6">
        <f t="shared" si="13"/>
        <v>0</v>
      </c>
      <c r="M120" s="3" t="str" cm="1">
        <f t="array" ref="M120">INDEX(Types!A:A,1+BIN2DEC(MID($B120,20,2)))</f>
        <v>Control</v>
      </c>
      <c r="N120" s="3" t="str" cm="1">
        <f t="array" ref="N120">IF(M120="ALU",INDEX(ALUOps!A:A,1+BIN2DEC(MID($B120,22,5))),"")</f>
        <v/>
      </c>
      <c r="O120" s="3" t="str" cm="1">
        <f t="array" ref="O120">IF(M120="ALU",INDEX(TMP!A:A,1+BIN2DEC(MID($B120,27,2))),"")</f>
        <v/>
      </c>
      <c r="P120" s="6" t="str">
        <f t="shared" si="9"/>
        <v/>
      </c>
      <c r="Q120" t="str">
        <f t="shared" si="10"/>
        <v/>
      </c>
      <c r="R120" t="str">
        <f t="shared" si="14"/>
        <v/>
      </c>
      <c r="S120" cm="1">
        <f t="array" ref="S120">IF(M120="Control",INDEX(IC!A:A,1+BIN2DEC(MID($B120,21,4))),"")</f>
        <v>0</v>
      </c>
      <c r="T120" cm="1">
        <f t="array" ref="T120">IF(M120="Control",INDEX(EC!A:A,1+BIN2DEC(MID($B120,25,3))),"")</f>
        <v>0</v>
      </c>
      <c r="U120" cm="1">
        <f t="array" ref="U120">IF(M120="Control",INDEX(SR!A:A,1+BIN2DEC(MID($B120,28,2))),"")</f>
        <v>0</v>
      </c>
    </row>
    <row r="121" spans="1:30" s="20" customFormat="1" ht="15.75" thickBot="1" x14ac:dyDescent="0.3">
      <c r="A121" s="17" t="str">
        <f t="shared" si="8"/>
        <v>077</v>
      </c>
      <c r="B121" s="18" t="s">
        <v>4</v>
      </c>
      <c r="C121" s="19"/>
      <c r="D121" s="19"/>
      <c r="E121" s="19"/>
      <c r="F121" s="29"/>
      <c r="G121" s="29" t="str" cm="1">
        <f t="array" ref="G121">INDEX(Dest1!A:A,1+BIN2DEC(MID($B121,6,5)))</f>
        <v>--</v>
      </c>
      <c r="H121" s="29" t="str" cm="1">
        <f t="array" ref="H121">INDEX(Source2!A:A,1+BIN2DEC(MID($B121,11,4)))</f>
        <v>--</v>
      </c>
      <c r="I121" s="25"/>
      <c r="J121" s="21"/>
      <c r="K121" s="21"/>
      <c r="L121" s="21"/>
      <c r="M121" s="19"/>
      <c r="N121" s="19" t="str" cm="1">
        <f t="array" ref="N121">IF(M121="ALU",INDEX(ALUOps!A:A,1+BIN2DEC(MID($B121,22,5))),"")</f>
        <v/>
      </c>
      <c r="O121" s="19" t="str" cm="1">
        <f t="array" ref="O121">IF(M121="ALU",INDEX(TMP!A:A,1+BIN2DEC(MID($B121,27,2))),"")</f>
        <v/>
      </c>
      <c r="P121" s="21" t="str">
        <f t="shared" si="9"/>
        <v/>
      </c>
      <c r="Q121" s="20" t="str">
        <f t="shared" si="10"/>
        <v/>
      </c>
      <c r="R121" s="20" t="str">
        <f t="shared" si="14"/>
        <v/>
      </c>
      <c r="S121" s="20" t="str" cm="1">
        <f t="array" ref="S121">IF(M121="Control",INDEX(IC!A:A,1+BIN2DEC(MID($B121,21,4))),"")</f>
        <v/>
      </c>
      <c r="T121" s="20" t="str" cm="1">
        <f t="array" ref="T121">IF(M121="Control",INDEX(EC!A:A,1+BIN2DEC(MID($B121,25,3))),"")</f>
        <v/>
      </c>
      <c r="U121" s="20" t="str" cm="1">
        <f t="array" ref="U121">IF(M121="Control",INDEX(SR!A:A,1+BIN2DEC(MID($B121,28,2))),"")</f>
        <v/>
      </c>
    </row>
    <row r="122" spans="1:30" x14ac:dyDescent="0.25">
      <c r="A122" s="4" t="str">
        <f t="shared" si="8"/>
        <v>078</v>
      </c>
      <c r="B122" s="2" t="s">
        <v>11</v>
      </c>
      <c r="C122" s="2" t="s">
        <v>125</v>
      </c>
      <c r="D122" s="2" t="s">
        <v>928</v>
      </c>
      <c r="E122" s="2" t="s">
        <v>462</v>
      </c>
      <c r="F122" s="27" t="str" cm="1">
        <f t="array" ref="F122">INDEX(Sources!A:A, 1 + BIN2DEC(LEFT($B122,5)))</f>
        <v>SP</v>
      </c>
      <c r="G122" s="27" t="str" cm="1">
        <f t="array" ref="G122">INDEX(Dest1!A:A,1+BIN2DEC(MID($B122,6,5)))</f>
        <v>UNK26</v>
      </c>
      <c r="H122" s="27" t="str" cm="1">
        <f t="array" ref="H122">INDEX(Source2!A:A,1+BIN2DEC(MID($B122,11,4)))</f>
        <v>--</v>
      </c>
      <c r="I122" s="23" cm="1">
        <f t="array" ref="I122">INDEX('D2'!A:A,1+BIN2DEC(MID($B122,16,2)))</f>
        <v>0</v>
      </c>
      <c r="J122" s="6">
        <f t="shared" si="11"/>
        <v>0</v>
      </c>
      <c r="K122" s="6">
        <f t="shared" si="12"/>
        <v>0</v>
      </c>
      <c r="L122" s="6">
        <f t="shared" si="13"/>
        <v>0</v>
      </c>
      <c r="M122" s="3" t="str" cm="1">
        <f t="array" ref="M122">INDEX(Types!A:A,1+BIN2DEC(MID($B122,20,2)))</f>
        <v>Control</v>
      </c>
      <c r="N122" s="3" t="str" cm="1">
        <f t="array" ref="N122">IF(M122="ALU",INDEX(ALUOps!A:A,1+BIN2DEC(MID($B122,22,5))),"")</f>
        <v/>
      </c>
      <c r="O122" s="3" t="str" cm="1">
        <f t="array" ref="O122">IF(M122="ALU",INDEX(TMP!A:A,1+BIN2DEC(MID($B122,27,2))),"")</f>
        <v/>
      </c>
      <c r="P122" s="6" t="str">
        <f t="shared" si="9"/>
        <v/>
      </c>
      <c r="Q122" t="str">
        <f t="shared" si="10"/>
        <v/>
      </c>
      <c r="R122" t="str">
        <f t="shared" si="14"/>
        <v/>
      </c>
      <c r="S122" cm="1">
        <f t="array" ref="S122">IF(M122="Control",INDEX(IC!A:A,1+BIN2DEC(MID($B122,21,4))),"")</f>
        <v>0</v>
      </c>
      <c r="T122" cm="1">
        <f t="array" ref="T122">IF(M122="Control",INDEX(EC!A:A,1+BIN2DEC(MID($B122,25,3))),"")</f>
        <v>6</v>
      </c>
      <c r="U122" cm="1">
        <f t="array" ref="U122">IF(M122="Control",INDEX(SR!A:A,1+BIN2DEC(MID($B122,28,2))),"")</f>
        <v>1</v>
      </c>
      <c r="X122" t="s">
        <v>1002</v>
      </c>
      <c r="AC122" s="1" t="s">
        <v>126</v>
      </c>
      <c r="AD122" s="1" t="s">
        <v>126</v>
      </c>
    </row>
    <row r="123" spans="1:30" x14ac:dyDescent="0.25">
      <c r="A123" s="4" t="str">
        <f t="shared" si="8"/>
        <v>079</v>
      </c>
      <c r="B123" s="2" t="s">
        <v>14</v>
      </c>
      <c r="C123" s="3"/>
      <c r="D123" s="3"/>
      <c r="E123" s="3"/>
      <c r="F123" s="27" t="str" cm="1">
        <f t="array" ref="F123">INDEX(Sources!A:A, 1 + BIN2DEC(LEFT($B123,5)))</f>
        <v>SP</v>
      </c>
      <c r="G123" s="27" t="str" cm="1">
        <f t="array" ref="G123">INDEX(Dest1!A:A,1+BIN2DEC(MID($B123,6,5)))</f>
        <v>TMPA</v>
      </c>
      <c r="H123" s="27" t="str" cm="1">
        <f t="array" ref="H123">INDEX(Source2!A:A,1+BIN2DEC(MID($B123,11,4)))</f>
        <v>--</v>
      </c>
      <c r="I123" s="23" cm="1">
        <f t="array" ref="I123">INDEX('D2'!A:A,1+BIN2DEC(MID($B123,16,2)))</f>
        <v>0</v>
      </c>
      <c r="J123" s="6">
        <f t="shared" si="11"/>
        <v>0</v>
      </c>
      <c r="K123" s="6">
        <f t="shared" si="12"/>
        <v>0</v>
      </c>
      <c r="L123" s="6">
        <f t="shared" si="13"/>
        <v>0</v>
      </c>
      <c r="M123" s="3" t="str" cm="1">
        <f t="array" ref="M123">INDEX(Types!A:A,1+BIN2DEC(MID($B123,20,2)))</f>
        <v>ALU</v>
      </c>
      <c r="N123" s="3" cm="1">
        <f t="array" ref="N123">IF(M123="ALU",INDEX(ALUOps!A:A,1+BIN2DEC(MID($B123,22,5))),"")</f>
        <v>3</v>
      </c>
      <c r="O123" s="3" cm="1">
        <f t="array" ref="O123">IF(M123="ALU",INDEX(TMP!A:A,1+BIN2DEC(MID($B123,27,2))),"")</f>
        <v>2</v>
      </c>
      <c r="P123" s="6">
        <f t="shared" si="9"/>
        <v>1</v>
      </c>
      <c r="Q123" t="str">
        <f t="shared" si="10"/>
        <v/>
      </c>
      <c r="R123" t="str">
        <f t="shared" si="14"/>
        <v/>
      </c>
      <c r="S123" t="str" cm="1">
        <f t="array" ref="S123">IF(M123="Control",INDEX(IC!A:A,1+BIN2DEC(MID($B123,21,4))),"")</f>
        <v/>
      </c>
      <c r="T123" t="str" cm="1">
        <f t="array" ref="T123">IF(M123="Control",INDEX(EC!A:A,1+BIN2DEC(MID($B123,25,3))),"")</f>
        <v/>
      </c>
      <c r="U123" t="str" cm="1">
        <f t="array" ref="U123">IF(M123="Control",INDEX(SR!A:A,1+BIN2DEC(MID($B123,28,2))),"")</f>
        <v/>
      </c>
    </row>
    <row r="124" spans="1:30" x14ac:dyDescent="0.25">
      <c r="A124" s="4" t="str">
        <f t="shared" si="8"/>
        <v>07A</v>
      </c>
      <c r="B124" s="2" t="s">
        <v>127</v>
      </c>
      <c r="C124" s="3"/>
      <c r="D124" s="3"/>
      <c r="E124" s="3"/>
      <c r="F124" s="27" t="str" cm="1">
        <f t="array" ref="F124">INDEX(Sources!A:A, 1 + BIN2DEC(LEFT($B124,5)))</f>
        <v>OUT</v>
      </c>
      <c r="G124" s="27" t="str" cm="1">
        <f t="array" ref="G124">INDEX(Dest1!A:A,1+BIN2DEC(MID($B124,6,5)))</f>
        <v>FLAGS</v>
      </c>
      <c r="H124" s="27" t="str" cm="1">
        <f t="array" ref="H124">INDEX(Source2!A:A,1+BIN2DEC(MID($B124,11,4)))</f>
        <v>--</v>
      </c>
      <c r="I124" s="23" cm="1">
        <f t="array" ref="I124">INDEX('D2'!A:A,1+BIN2DEC(MID($B124,16,2)))</f>
        <v>1</v>
      </c>
      <c r="J124" s="6">
        <f t="shared" si="11"/>
        <v>1</v>
      </c>
      <c r="K124" s="6">
        <f t="shared" si="12"/>
        <v>0</v>
      </c>
      <c r="L124" s="6">
        <f t="shared" si="13"/>
        <v>1</v>
      </c>
      <c r="M124" s="3" t="str" cm="1">
        <f t="array" ref="M124">INDEX(Types!A:A,1+BIN2DEC(MID($B124,20,2)))</f>
        <v>Control</v>
      </c>
      <c r="N124" s="3" t="str" cm="1">
        <f t="array" ref="N124">IF(M124="ALU",INDEX(ALUOps!A:A,1+BIN2DEC(MID($B124,22,5))),"")</f>
        <v/>
      </c>
      <c r="O124" s="3" t="str" cm="1">
        <f t="array" ref="O124">IF(M124="ALU",INDEX(TMP!A:A,1+BIN2DEC(MID($B124,27,2))),"")</f>
        <v/>
      </c>
      <c r="P124" s="6" t="str">
        <f t="shared" si="9"/>
        <v/>
      </c>
      <c r="Q124" t="str">
        <f t="shared" si="10"/>
        <v/>
      </c>
      <c r="R124" t="str">
        <f t="shared" si="14"/>
        <v/>
      </c>
      <c r="S124" cm="1">
        <f t="array" ref="S124">IF(M124="Control",INDEX(IC!A:A,1+BIN2DEC(MID($B124,21,4))),"")</f>
        <v>0</v>
      </c>
      <c r="T124" cm="1">
        <f t="array" ref="T124">IF(M124="Control",INDEX(EC!A:A,1+BIN2DEC(MID($B124,25,3))),"")</f>
        <v>0</v>
      </c>
      <c r="U124" cm="1">
        <f t="array" ref="U124">IF(M124="Control",INDEX(SR!A:A,1+BIN2DEC(MID($B124,28,2))),"")</f>
        <v>0</v>
      </c>
    </row>
    <row r="125" spans="1:30" s="9" customFormat="1" ht="15.75" thickBot="1" x14ac:dyDescent="0.3">
      <c r="A125" s="7" t="str">
        <f t="shared" si="8"/>
        <v>07B</v>
      </c>
      <c r="B125" s="8" t="s">
        <v>15</v>
      </c>
      <c r="C125" s="10"/>
      <c r="D125" s="10"/>
      <c r="E125" s="10"/>
      <c r="F125" s="30" t="str" cm="1">
        <f t="array" ref="F125">INDEX(Sources!A:A, 1 + BIN2DEC(LEFT($B125,5)))</f>
        <v>SIGMA</v>
      </c>
      <c r="G125" s="30" t="str" cm="1">
        <f t="array" ref="G125">INDEX(Dest1!A:A,1+BIN2DEC(MID($B125,6,5)))</f>
        <v>SP</v>
      </c>
      <c r="H125" s="30" t="str" cm="1">
        <f t="array" ref="H125">INDEX(Source2!A:A,1+BIN2DEC(MID($B125,11,4)))</f>
        <v>--</v>
      </c>
      <c r="I125" s="26" cm="1">
        <f t="array" ref="I125">INDEX('D2'!A:A,1+BIN2DEC(MID($B125,16,2)))</f>
        <v>0</v>
      </c>
      <c r="J125" s="11">
        <f t="shared" si="11"/>
        <v>0</v>
      </c>
      <c r="K125" s="11">
        <f t="shared" si="12"/>
        <v>0</v>
      </c>
      <c r="L125" s="11">
        <f t="shared" si="13"/>
        <v>0</v>
      </c>
      <c r="M125" s="10" t="str" cm="1">
        <f t="array" ref="M125">INDEX(Types!A:A,1+BIN2DEC(MID($B125,20,2)))</f>
        <v>Control</v>
      </c>
      <c r="N125" s="10" t="str" cm="1">
        <f t="array" ref="N125">IF(M125="ALU",INDEX(ALUOps!A:A,1+BIN2DEC(MID($B125,22,5))),"")</f>
        <v/>
      </c>
      <c r="O125" s="10" t="str" cm="1">
        <f t="array" ref="O125">IF(M125="ALU",INDEX(TMP!A:A,1+BIN2DEC(MID($B125,27,2))),"")</f>
        <v/>
      </c>
      <c r="P125" s="11" t="str">
        <f t="shared" si="9"/>
        <v/>
      </c>
      <c r="Q125" s="9" t="str">
        <f t="shared" si="10"/>
        <v/>
      </c>
      <c r="R125" s="9" t="str">
        <f t="shared" si="14"/>
        <v/>
      </c>
      <c r="S125" s="9" cm="1">
        <f t="array" ref="S125">IF(M125="Control",INDEX(IC!A:A,1+BIN2DEC(MID($B125,21,4))),"")</f>
        <v>0</v>
      </c>
      <c r="T125" s="9" cm="1">
        <f t="array" ref="T125">IF(M125="Control",INDEX(EC!A:A,1+BIN2DEC(MID($B125,25,3))),"")</f>
        <v>0</v>
      </c>
      <c r="U125" s="9" cm="1">
        <f t="array" ref="U125">IF(M125="Control",INDEX(SR!A:A,1+BIN2DEC(MID($B125,28,2))),"")</f>
        <v>0</v>
      </c>
    </row>
    <row r="126" spans="1:30" x14ac:dyDescent="0.25">
      <c r="A126" s="4" t="str">
        <f t="shared" si="8"/>
        <v>07C</v>
      </c>
      <c r="B126" s="2" t="s">
        <v>128</v>
      </c>
      <c r="C126" s="2" t="s">
        <v>129</v>
      </c>
      <c r="D126" s="2" t="s">
        <v>928</v>
      </c>
      <c r="E126" s="2" t="s">
        <v>462</v>
      </c>
      <c r="F126" s="27" t="str" cm="1">
        <f t="array" ref="F126">INDEX(Sources!A:A, 1 + BIN2DEC(LEFT($B126,5)))</f>
        <v>AH</v>
      </c>
      <c r="G126" s="27" t="str" cm="1">
        <f t="array" ref="G126">INDEX(Dest1!A:A,1+BIN2DEC(MID($B126,6,5)))</f>
        <v>UNK11</v>
      </c>
      <c r="H126" s="27" t="str" cm="1">
        <f t="array" ref="H126">INDEX(Source2!A:A,1+BIN2DEC(MID($B126,11,4)))</f>
        <v>--</v>
      </c>
      <c r="I126" s="23" cm="1">
        <f t="array" ref="I126">INDEX('D2'!A:A,1+BIN2DEC(MID($B126,16,2)))</f>
        <v>0</v>
      </c>
      <c r="J126" s="6">
        <f t="shared" si="11"/>
        <v>0</v>
      </c>
      <c r="K126" s="6">
        <f t="shared" si="12"/>
        <v>0</v>
      </c>
      <c r="L126" s="6">
        <f t="shared" si="13"/>
        <v>0</v>
      </c>
      <c r="M126" s="3" t="str" cm="1">
        <f t="array" ref="M126">INDEX(Types!A:A,1+BIN2DEC(MID($B126,20,2)))</f>
        <v>Control</v>
      </c>
      <c r="N126" s="3" t="str" cm="1">
        <f t="array" ref="N126">IF(M126="ALU",INDEX(ALUOps!A:A,1+BIN2DEC(MID($B126,22,5))),"")</f>
        <v/>
      </c>
      <c r="O126" s="3" t="str" cm="1">
        <f t="array" ref="O126">IF(M126="ALU",INDEX(TMP!A:A,1+BIN2DEC(MID($B126,27,2))),"")</f>
        <v/>
      </c>
      <c r="P126" s="6" t="str">
        <f t="shared" si="9"/>
        <v/>
      </c>
      <c r="Q126" t="str">
        <f t="shared" si="10"/>
        <v/>
      </c>
      <c r="R126" t="str">
        <f t="shared" si="14"/>
        <v/>
      </c>
      <c r="S126" cm="1">
        <f t="array" ref="S126">IF(M126="Control",INDEX(IC!A:A,1+BIN2DEC(MID($B126,21,4))),"")</f>
        <v>0</v>
      </c>
      <c r="T126" cm="1">
        <f t="array" ref="T126">IF(M126="Control",INDEX(EC!A:A,1+BIN2DEC(MID($B126,25,3))),"")</f>
        <v>0</v>
      </c>
      <c r="U126" cm="1">
        <f t="array" ref="U126">IF(M126="Control",INDEX(SR!A:A,1+BIN2DEC(MID($B126,28,2))),"")</f>
        <v>0</v>
      </c>
      <c r="X126" t="s">
        <v>1003</v>
      </c>
      <c r="AC126" s="1" t="s">
        <v>130</v>
      </c>
      <c r="AD126" s="1" t="s">
        <v>130</v>
      </c>
    </row>
    <row r="127" spans="1:30" x14ac:dyDescent="0.25">
      <c r="A127" s="4" t="str">
        <f t="shared" si="8"/>
        <v>07D</v>
      </c>
      <c r="B127" s="2" t="s">
        <v>131</v>
      </c>
      <c r="C127" s="3"/>
      <c r="D127" s="3"/>
      <c r="E127" s="3"/>
      <c r="F127" s="27" t="str" cm="1">
        <f t="array" ref="F127">INDEX(Sources!A:A, 1 + BIN2DEC(LEFT($B127,5)))</f>
        <v>FLAGS</v>
      </c>
      <c r="G127" s="27" t="str" cm="1">
        <f t="array" ref="G127">INDEX(Dest1!A:A,1+BIN2DEC(MID($B127,6,5)))</f>
        <v>UNK9</v>
      </c>
      <c r="H127" s="27" t="str" cm="1">
        <f t="array" ref="H127">INDEX(Source2!A:A,1+BIN2DEC(MID($B127,11,4)))</f>
        <v>--</v>
      </c>
      <c r="I127" s="23" cm="1">
        <f t="array" ref="I127">INDEX('D2'!A:A,1+BIN2DEC(MID($B127,16,2)))</f>
        <v>0</v>
      </c>
      <c r="J127" s="6">
        <f t="shared" si="11"/>
        <v>0</v>
      </c>
      <c r="K127" s="6">
        <f t="shared" si="12"/>
        <v>0</v>
      </c>
      <c r="L127" s="6">
        <f t="shared" si="13"/>
        <v>1</v>
      </c>
      <c r="M127" s="3" t="str" cm="1">
        <f t="array" ref="M127">INDEX(Types!A:A,1+BIN2DEC(MID($B127,20,2)))</f>
        <v>Control</v>
      </c>
      <c r="N127" s="3" t="str" cm="1">
        <f t="array" ref="N127">IF(M127="ALU",INDEX(ALUOps!A:A,1+BIN2DEC(MID($B127,22,5))),"")</f>
        <v/>
      </c>
      <c r="O127" s="3" t="str" cm="1">
        <f t="array" ref="O127">IF(M127="ALU",INDEX(TMP!A:A,1+BIN2DEC(MID($B127,27,2))),"")</f>
        <v/>
      </c>
      <c r="P127" s="6" t="str">
        <f t="shared" si="9"/>
        <v/>
      </c>
      <c r="Q127" t="str">
        <f t="shared" si="10"/>
        <v/>
      </c>
      <c r="R127" t="str">
        <f t="shared" si="14"/>
        <v/>
      </c>
      <c r="S127" cm="1">
        <f t="array" ref="S127">IF(M127="Control",INDEX(IC!A:A,1+BIN2DEC(MID($B127,21,4))),"")</f>
        <v>0</v>
      </c>
      <c r="T127" cm="1">
        <f t="array" ref="T127">IF(M127="Control",INDEX(EC!A:A,1+BIN2DEC(MID($B127,25,3))),"")</f>
        <v>0</v>
      </c>
      <c r="U127" cm="1">
        <f t="array" ref="U127">IF(M127="Control",INDEX(SR!A:A,1+BIN2DEC(MID($B127,28,2))),"")</f>
        <v>0</v>
      </c>
    </row>
    <row r="128" spans="1:30" x14ac:dyDescent="0.25">
      <c r="A128" s="4" t="str">
        <f t="shared" si="8"/>
        <v>07E</v>
      </c>
      <c r="B128" s="2" t="s">
        <v>132</v>
      </c>
      <c r="C128" s="3"/>
      <c r="D128" s="3"/>
      <c r="E128" s="3"/>
      <c r="F128" s="27" t="str" cm="1">
        <f t="array" ref="F128">INDEX(Sources!A:A, 1 + BIN2DEC(LEFT($B128,5)))</f>
        <v>TMPB</v>
      </c>
      <c r="G128" s="27" t="str" cm="1">
        <f t="array" ref="G128">INDEX(Dest1!A:A,1+BIN2DEC(MID($B128,6,5)))</f>
        <v>FLAGS</v>
      </c>
      <c r="H128" s="27" t="str" cm="1">
        <f t="array" ref="H128">INDEX(Source2!A:A,1+BIN2DEC(MID($B128,11,4)))</f>
        <v>--</v>
      </c>
      <c r="I128" s="23" cm="1">
        <f t="array" ref="I128">INDEX('D2'!A:A,1+BIN2DEC(MID($B128,16,2)))</f>
        <v>0</v>
      </c>
      <c r="J128" s="6">
        <f t="shared" si="11"/>
        <v>0</v>
      </c>
      <c r="K128" s="6">
        <f t="shared" si="12"/>
        <v>0</v>
      </c>
      <c r="L128" s="6">
        <f t="shared" si="13"/>
        <v>0</v>
      </c>
      <c r="M128" s="3" t="str" cm="1">
        <f t="array" ref="M128">INDEX(Types!A:A,1+BIN2DEC(MID($B128,20,2)))</f>
        <v>Control</v>
      </c>
      <c r="N128" s="3" t="str" cm="1">
        <f t="array" ref="N128">IF(M128="ALU",INDEX(ALUOps!A:A,1+BIN2DEC(MID($B128,22,5))),"")</f>
        <v/>
      </c>
      <c r="O128" s="3" t="str" cm="1">
        <f t="array" ref="O128">IF(M128="ALU",INDEX(TMP!A:A,1+BIN2DEC(MID($B128,27,2))),"")</f>
        <v/>
      </c>
      <c r="P128" s="6" t="str">
        <f t="shared" si="9"/>
        <v/>
      </c>
      <c r="Q128" t="str">
        <f t="shared" si="10"/>
        <v/>
      </c>
      <c r="R128" t="str">
        <f t="shared" si="14"/>
        <v/>
      </c>
      <c r="S128" cm="1">
        <f t="array" ref="S128">IF(M128="Control",INDEX(IC!A:A,1+BIN2DEC(MID($B128,21,4))),"")</f>
        <v>0</v>
      </c>
      <c r="T128" cm="1">
        <f t="array" ref="T128">IF(M128="Control",INDEX(EC!A:A,1+BIN2DEC(MID($B128,25,3))),"")</f>
        <v>0</v>
      </c>
      <c r="U128" cm="1">
        <f t="array" ref="U128">IF(M128="Control",INDEX(SR!A:A,1+BIN2DEC(MID($B128,28,2))),"")</f>
        <v>0</v>
      </c>
    </row>
    <row r="129" spans="1:30" s="20" customFormat="1" ht="15.75" thickBot="1" x14ac:dyDescent="0.3">
      <c r="A129" s="17" t="str">
        <f t="shared" si="8"/>
        <v>07F</v>
      </c>
      <c r="B129" s="18" t="s">
        <v>4</v>
      </c>
      <c r="C129" s="19"/>
      <c r="D129" s="19"/>
      <c r="E129" s="19"/>
      <c r="F129" s="29"/>
      <c r="G129" s="29" t="str" cm="1">
        <f t="array" ref="G129">INDEX(Dest1!A:A,1+BIN2DEC(MID($B129,6,5)))</f>
        <v>--</v>
      </c>
      <c r="H129" s="29" t="str" cm="1">
        <f t="array" ref="H129">INDEX(Source2!A:A,1+BIN2DEC(MID($B129,11,4)))</f>
        <v>--</v>
      </c>
      <c r="I129" s="25"/>
      <c r="J129" s="21"/>
      <c r="K129" s="21"/>
      <c r="L129" s="21"/>
      <c r="M129" s="19"/>
      <c r="N129" s="19" t="str" cm="1">
        <f t="array" ref="N129">IF(M129="ALU",INDEX(ALUOps!A:A,1+BIN2DEC(MID($B129,22,5))),"")</f>
        <v/>
      </c>
      <c r="O129" s="19" t="str" cm="1">
        <f t="array" ref="O129">IF(M129="ALU",INDEX(TMP!A:A,1+BIN2DEC(MID($B129,27,2))),"")</f>
        <v/>
      </c>
      <c r="P129" s="21" t="str">
        <f t="shared" si="9"/>
        <v/>
      </c>
      <c r="Q129" s="20" t="str">
        <f t="shared" si="10"/>
        <v/>
      </c>
      <c r="R129" s="20" t="str">
        <f t="shared" si="14"/>
        <v/>
      </c>
      <c r="S129" s="20" t="str" cm="1">
        <f t="array" ref="S129">IF(M129="Control",INDEX(IC!A:A,1+BIN2DEC(MID($B129,21,4))),"")</f>
        <v/>
      </c>
      <c r="T129" s="20" t="str" cm="1">
        <f t="array" ref="T129">IF(M129="Control",INDEX(EC!A:A,1+BIN2DEC(MID($B129,25,3))),"")</f>
        <v/>
      </c>
      <c r="U129" s="20" t="str" cm="1">
        <f t="array" ref="U129">IF(M129="Control",INDEX(SR!A:A,1+BIN2DEC(MID($B129,28,2))),"")</f>
        <v/>
      </c>
    </row>
    <row r="130" spans="1:30" x14ac:dyDescent="0.25">
      <c r="A130" s="4" t="str">
        <f t="shared" si="8"/>
        <v>080</v>
      </c>
      <c r="B130" s="2" t="s">
        <v>133</v>
      </c>
      <c r="C130" s="2" t="s">
        <v>134</v>
      </c>
      <c r="D130" s="2" t="s">
        <v>928</v>
      </c>
      <c r="E130" s="2" t="s">
        <v>462</v>
      </c>
      <c r="F130" s="27" t="str" cm="1">
        <f t="array" ref="F130">INDEX(Sources!A:A, 1 + BIN2DEC(LEFT($B130,5)))</f>
        <v>FLAGS</v>
      </c>
      <c r="G130" s="27" t="str" cm="1">
        <f t="array" ref="G130">INDEX(Dest1!A:A,1+BIN2DEC(MID($B130,6,5)))</f>
        <v>AH</v>
      </c>
      <c r="H130" s="27" t="str" cm="1">
        <f t="array" ref="H130">INDEX(Source2!A:A,1+BIN2DEC(MID($B130,11,4)))</f>
        <v>--</v>
      </c>
      <c r="I130" s="23" cm="1">
        <f t="array" ref="I130">INDEX('D2'!A:A,1+BIN2DEC(MID($B130,16,2)))</f>
        <v>0</v>
      </c>
      <c r="J130" s="6">
        <f t="shared" si="11"/>
        <v>0</v>
      </c>
      <c r="K130" s="6">
        <f t="shared" si="12"/>
        <v>0</v>
      </c>
      <c r="L130" s="6">
        <f t="shared" si="13"/>
        <v>1</v>
      </c>
      <c r="M130" s="3" t="str" cm="1">
        <f t="array" ref="M130">INDEX(Types!A:A,1+BIN2DEC(MID($B130,20,2)))</f>
        <v>Control</v>
      </c>
      <c r="N130" s="3" t="str" cm="1">
        <f t="array" ref="N130">IF(M130="ALU",INDEX(ALUOps!A:A,1+BIN2DEC(MID($B130,22,5))),"")</f>
        <v/>
      </c>
      <c r="O130" s="3" t="str" cm="1">
        <f t="array" ref="O130">IF(M130="ALU",INDEX(TMP!A:A,1+BIN2DEC(MID($B130,27,2))),"")</f>
        <v/>
      </c>
      <c r="P130" s="6" t="str">
        <f t="shared" si="9"/>
        <v/>
      </c>
      <c r="Q130" t="str">
        <f t="shared" si="10"/>
        <v/>
      </c>
      <c r="R130" t="str">
        <f t="shared" si="14"/>
        <v/>
      </c>
      <c r="S130" cm="1">
        <f t="array" ref="S130">IF(M130="Control",INDEX(IC!A:A,1+BIN2DEC(MID($B130,21,4))),"")</f>
        <v>0</v>
      </c>
      <c r="T130" cm="1">
        <f t="array" ref="T130">IF(M130="Control",INDEX(EC!A:A,1+BIN2DEC(MID($B130,25,3))),"")</f>
        <v>0</v>
      </c>
      <c r="U130" cm="1">
        <f t="array" ref="U130">IF(M130="Control",INDEX(SR!A:A,1+BIN2DEC(MID($B130,28,2))),"")</f>
        <v>0</v>
      </c>
      <c r="X130" t="s">
        <v>1004</v>
      </c>
      <c r="AC130" s="1" t="s">
        <v>135</v>
      </c>
      <c r="AD130" s="1" t="s">
        <v>135</v>
      </c>
    </row>
    <row r="131" spans="1:30" s="15" customFormat="1" x14ac:dyDescent="0.25">
      <c r="A131" s="12" t="str">
        <f t="shared" ref="A131:A194" si="15">DEC2HEX(ROW(A130)-ROW($A$1),3)</f>
        <v>081</v>
      </c>
      <c r="B131" s="13" t="s">
        <v>4</v>
      </c>
      <c r="C131" s="14"/>
      <c r="D131" s="14"/>
      <c r="E131" s="14"/>
      <c r="F131" s="28"/>
      <c r="G131" s="28" t="str" cm="1">
        <f t="array" ref="G131">INDEX(Dest1!A:A,1+BIN2DEC(MID($B131,6,5)))</f>
        <v>--</v>
      </c>
      <c r="H131" s="28" t="str" cm="1">
        <f t="array" ref="H131">INDEX(Source2!A:A,1+BIN2DEC(MID($B131,11,4)))</f>
        <v>--</v>
      </c>
      <c r="I131" s="24"/>
      <c r="J131" s="16"/>
      <c r="K131" s="16"/>
      <c r="L131" s="16"/>
      <c r="M131" s="14"/>
      <c r="N131" s="14" t="str" cm="1">
        <f t="array" ref="N131">IF(M131="ALU",INDEX(ALUOps!A:A,1+BIN2DEC(MID($B131,22,5))),"")</f>
        <v/>
      </c>
      <c r="O131" s="14" t="str" cm="1">
        <f t="array" ref="O131">IF(M131="ALU",INDEX(TMP!A:A,1+BIN2DEC(MID($B131,27,2))),"")</f>
        <v/>
      </c>
      <c r="P131" s="16" t="str">
        <f t="shared" ref="P131:P194" si="16">IF(M131="ALU",BIN2DEC(MID($B131,29,1)),"")</f>
        <v/>
      </c>
      <c r="Q131" s="15" t="str">
        <f t="shared" ref="Q131:Q194" si="17">IF(M131="Jump",BIN2DEC(MID($B131,22,4)),"")</f>
        <v/>
      </c>
      <c r="R131" s="15" t="str">
        <f t="shared" si="14"/>
        <v/>
      </c>
      <c r="S131" s="15" t="str" cm="1">
        <f t="array" ref="S131">IF(M131="Control",INDEX(IC!A:A,1+BIN2DEC(MID($B131,21,4))),"")</f>
        <v/>
      </c>
      <c r="T131" s="15" t="str" cm="1">
        <f t="array" ref="T131">IF(M131="Control",INDEX(EC!A:A,1+BIN2DEC(MID($B131,25,3))),"")</f>
        <v/>
      </c>
      <c r="U131" s="15" t="str" cm="1">
        <f t="array" ref="U131">IF(M131="Control",INDEX(SR!A:A,1+BIN2DEC(MID($B131,28,2))),"")</f>
        <v/>
      </c>
    </row>
    <row r="132" spans="1:30" s="15" customFormat="1" x14ac:dyDescent="0.25">
      <c r="A132" s="12" t="str">
        <f t="shared" si="15"/>
        <v>082</v>
      </c>
      <c r="B132" s="13" t="s">
        <v>4</v>
      </c>
      <c r="C132" s="14"/>
      <c r="D132" s="14"/>
      <c r="E132" s="14"/>
      <c r="F132" s="28"/>
      <c r="G132" s="28" t="str" cm="1">
        <f t="array" ref="G132">INDEX(Dest1!A:A,1+BIN2DEC(MID($B132,6,5)))</f>
        <v>--</v>
      </c>
      <c r="H132" s="28" t="str" cm="1">
        <f t="array" ref="H132">INDEX(Source2!A:A,1+BIN2DEC(MID($B132,11,4)))</f>
        <v>--</v>
      </c>
      <c r="I132" s="24"/>
      <c r="J132" s="16"/>
      <c r="K132" s="16"/>
      <c r="L132" s="16"/>
      <c r="M132" s="14"/>
      <c r="N132" s="14" t="str" cm="1">
        <f t="array" ref="N132">IF(M132="ALU",INDEX(ALUOps!A:A,1+BIN2DEC(MID($B132,22,5))),"")</f>
        <v/>
      </c>
      <c r="O132" s="14" t="str" cm="1">
        <f t="array" ref="O132">IF(M132="ALU",INDEX(TMP!A:A,1+BIN2DEC(MID($B132,27,2))),"")</f>
        <v/>
      </c>
      <c r="P132" s="16" t="str">
        <f t="shared" si="16"/>
        <v/>
      </c>
      <c r="Q132" s="15" t="str">
        <f t="shared" si="17"/>
        <v/>
      </c>
      <c r="R132" s="15" t="str">
        <f t="shared" si="14"/>
        <v/>
      </c>
      <c r="S132" s="15" t="str" cm="1">
        <f t="array" ref="S132">IF(M132="Control",INDEX(IC!A:A,1+BIN2DEC(MID($B132,21,4))),"")</f>
        <v/>
      </c>
      <c r="T132" s="15" t="str" cm="1">
        <f t="array" ref="T132">IF(M132="Control",INDEX(EC!A:A,1+BIN2DEC(MID($B132,25,3))),"")</f>
        <v/>
      </c>
      <c r="U132" s="15" t="str" cm="1">
        <f t="array" ref="U132">IF(M132="Control",INDEX(SR!A:A,1+BIN2DEC(MID($B132,28,2))),"")</f>
        <v/>
      </c>
    </row>
    <row r="133" spans="1:30" s="20" customFormat="1" ht="15.75" thickBot="1" x14ac:dyDescent="0.3">
      <c r="A133" s="17" t="str">
        <f t="shared" si="15"/>
        <v>083</v>
      </c>
      <c r="B133" s="18" t="s">
        <v>4</v>
      </c>
      <c r="C133" s="19"/>
      <c r="D133" s="19"/>
      <c r="E133" s="19"/>
      <c r="F133" s="29"/>
      <c r="G133" s="29" t="str" cm="1">
        <f t="array" ref="G133">INDEX(Dest1!A:A,1+BIN2DEC(MID($B133,6,5)))</f>
        <v>--</v>
      </c>
      <c r="H133" s="29" t="str" cm="1">
        <f t="array" ref="H133">INDEX(Source2!A:A,1+BIN2DEC(MID($B133,11,4)))</f>
        <v>--</v>
      </c>
      <c r="I133" s="25"/>
      <c r="J133" s="21"/>
      <c r="K133" s="21"/>
      <c r="L133" s="21"/>
      <c r="M133" s="19"/>
      <c r="N133" s="19" t="str" cm="1">
        <f t="array" ref="N133">IF(M133="ALU",INDEX(ALUOps!A:A,1+BIN2DEC(MID($B133,22,5))),"")</f>
        <v/>
      </c>
      <c r="O133" s="19" t="str" cm="1">
        <f t="array" ref="O133">IF(M133="ALU",INDEX(TMP!A:A,1+BIN2DEC(MID($B133,27,2))),"")</f>
        <v/>
      </c>
      <c r="P133" s="21" t="str">
        <f t="shared" si="16"/>
        <v/>
      </c>
      <c r="Q133" s="20" t="str">
        <f t="shared" si="17"/>
        <v/>
      </c>
      <c r="R133" s="20" t="str">
        <f t="shared" si="14"/>
        <v/>
      </c>
      <c r="S133" s="20" t="str" cm="1">
        <f t="array" ref="S133">IF(M133="Control",INDEX(IC!A:A,1+BIN2DEC(MID($B133,21,4))),"")</f>
        <v/>
      </c>
      <c r="T133" s="20" t="str" cm="1">
        <f t="array" ref="T133">IF(M133="Control",INDEX(EC!A:A,1+BIN2DEC(MID($B133,25,3))),"")</f>
        <v/>
      </c>
      <c r="U133" s="20" t="str" cm="1">
        <f t="array" ref="U133">IF(M133="Control",INDEX(SR!A:A,1+BIN2DEC(MID($B133,28,2))),"")</f>
        <v/>
      </c>
    </row>
    <row r="134" spans="1:30" x14ac:dyDescent="0.25">
      <c r="A134" s="4" t="str">
        <f t="shared" si="15"/>
        <v>084</v>
      </c>
      <c r="B134" s="2" t="s">
        <v>111</v>
      </c>
      <c r="C134" s="2" t="s">
        <v>136</v>
      </c>
      <c r="D134" s="2" t="s">
        <v>928</v>
      </c>
      <c r="E134" s="2" t="s">
        <v>462</v>
      </c>
      <c r="F134" s="27" t="str" cm="1">
        <f t="array" ref="F134">INDEX(Sources!A:A, 1 + BIN2DEC(LEFT($B134,5)))</f>
        <v>Q</v>
      </c>
      <c r="G134" s="27" t="str" cm="1">
        <f t="array" ref="G134">INDEX(Dest1!A:A,1+BIN2DEC(MID($B134,6,5)))</f>
        <v>UNK10</v>
      </c>
      <c r="H134" s="27" t="str" cm="1">
        <f t="array" ref="H134">INDEX(Source2!A:A,1+BIN2DEC(MID($B134,11,4)))</f>
        <v>--</v>
      </c>
      <c r="I134" s="23" cm="1">
        <f t="array" ref="I134">INDEX('D2'!A:A,1+BIN2DEC(MID($B134,16,2)))</f>
        <v>0</v>
      </c>
      <c r="J134" s="6">
        <f t="shared" ref="J134:J195" si="18">BIN2DEC(MID($B134,17,1))</f>
        <v>0</v>
      </c>
      <c r="K134" s="6">
        <f t="shared" ref="K134:K194" si="19">BIN2DEC(MID($B134,18,1))</f>
        <v>0</v>
      </c>
      <c r="L134" s="6">
        <f t="shared" ref="L134:L194" si="20">BIN2DEC(MID($B134,19,1))</f>
        <v>0</v>
      </c>
      <c r="M134" s="3" t="str" cm="1">
        <f t="array" ref="M134">INDEX(Types!A:A,1+BIN2DEC(MID($B134,20,2)))</f>
        <v>Control</v>
      </c>
      <c r="N134" s="3" t="str" cm="1">
        <f t="array" ref="N134">IF(M134="ALU",INDEX(ALUOps!A:A,1+BIN2DEC(MID($B134,22,5))),"")</f>
        <v/>
      </c>
      <c r="O134" s="3" t="str" cm="1">
        <f t="array" ref="O134">IF(M134="ALU",INDEX(TMP!A:A,1+BIN2DEC(MID($B134,27,2))),"")</f>
        <v/>
      </c>
      <c r="P134" s="6" t="str">
        <f t="shared" si="16"/>
        <v/>
      </c>
      <c r="Q134" t="str">
        <f t="shared" si="17"/>
        <v/>
      </c>
      <c r="R134" t="str">
        <f t="shared" si="14"/>
        <v/>
      </c>
      <c r="S134" cm="1">
        <f t="array" ref="S134">IF(M134="Control",INDEX(IC!A:A,1+BIN2DEC(MID($B134,21,4))),"")</f>
        <v>0</v>
      </c>
      <c r="T134" cm="1">
        <f t="array" ref="T134">IF(M134="Control",INDEX(EC!A:A,1+BIN2DEC(MID($B134,25,3))),"")</f>
        <v>0</v>
      </c>
      <c r="U134" cm="1">
        <f t="array" ref="U134">IF(M134="Control",INDEX(SR!A:A,1+BIN2DEC(MID($B134,28,2))),"")</f>
        <v>0</v>
      </c>
      <c r="X134" t="s">
        <v>1007</v>
      </c>
      <c r="AC134" s="1" t="s">
        <v>137</v>
      </c>
      <c r="AD134" s="1" t="s">
        <v>137</v>
      </c>
    </row>
    <row r="135" spans="1:30" x14ac:dyDescent="0.25">
      <c r="A135" s="4" t="str">
        <f t="shared" si="15"/>
        <v>085</v>
      </c>
      <c r="B135" s="2" t="s">
        <v>66</v>
      </c>
      <c r="C135" s="3"/>
      <c r="D135" s="3"/>
      <c r="E135" s="3"/>
      <c r="F135" s="27" t="str" cm="1">
        <f t="array" ref="F135">INDEX(Sources!A:A, 1 + BIN2DEC(LEFT($B135,5)))</f>
        <v>Q</v>
      </c>
      <c r="G135" s="27" t="str" cm="1">
        <f t="array" ref="G135">INDEX(Dest1!A:A,1+BIN2DEC(MID($B135,6,5)))</f>
        <v>UNK8</v>
      </c>
      <c r="H135" s="27" t="str" cm="1">
        <f t="array" ref="H135">INDEX(Source2!A:A,1+BIN2DEC(MID($B135,11,4)))</f>
        <v>--</v>
      </c>
      <c r="I135" s="23" cm="1">
        <f t="array" ref="I135">INDEX('D2'!A:A,1+BIN2DEC(MID($B135,16,2)))</f>
        <v>0</v>
      </c>
      <c r="J135" s="6">
        <f t="shared" si="18"/>
        <v>0</v>
      </c>
      <c r="K135" s="6">
        <f t="shared" si="19"/>
        <v>0</v>
      </c>
      <c r="L135" s="6">
        <f t="shared" si="20"/>
        <v>0</v>
      </c>
      <c r="M135" s="3" t="str" cm="1">
        <f t="array" ref="M135">INDEX(Types!A:A,1+BIN2DEC(MID($B135,20,2)))</f>
        <v>Control</v>
      </c>
      <c r="N135" s="3" t="str" cm="1">
        <f t="array" ref="N135">IF(M135="ALU",INDEX(ALUOps!A:A,1+BIN2DEC(MID($B135,22,5))),"")</f>
        <v/>
      </c>
      <c r="O135" s="3" t="str" cm="1">
        <f t="array" ref="O135">IF(M135="ALU",INDEX(TMP!A:A,1+BIN2DEC(MID($B135,27,2))),"")</f>
        <v/>
      </c>
      <c r="P135" s="6" t="str">
        <f t="shared" si="16"/>
        <v/>
      </c>
      <c r="Q135" t="str">
        <f t="shared" si="17"/>
        <v/>
      </c>
      <c r="R135" t="str">
        <f t="shared" ref="R135:R198" si="21">IF(M135="Jump",15-BIN2DEC(MID($B135,26,4)),"")</f>
        <v/>
      </c>
      <c r="S135" cm="1">
        <f t="array" ref="S135">IF(M135="Control",INDEX(IC!A:A,1+BIN2DEC(MID($B135,21,4))),"")</f>
        <v>0</v>
      </c>
      <c r="T135" cm="1">
        <f t="array" ref="T135">IF(M135="Control",INDEX(EC!A:A,1+BIN2DEC(MID($B135,25,3))),"")</f>
        <v>0</v>
      </c>
      <c r="U135" cm="1">
        <f t="array" ref="U135">IF(M135="Control",INDEX(SR!A:A,1+BIN2DEC(MID($B135,28,2))),"")</f>
        <v>0</v>
      </c>
    </row>
    <row r="136" spans="1:30" x14ac:dyDescent="0.25">
      <c r="A136" s="4" t="str">
        <f t="shared" si="15"/>
        <v>086</v>
      </c>
      <c r="B136" s="2" t="s">
        <v>138</v>
      </c>
      <c r="C136" s="3"/>
      <c r="D136" s="3"/>
      <c r="E136" s="3"/>
      <c r="F136" s="27" t="str" cm="1">
        <f t="array" ref="F136">INDEX(Sources!A:A, 1 + BIN2DEC(LEFT($B136,5)))</f>
        <v>TMPA</v>
      </c>
      <c r="G136" s="27" t="str" cm="1">
        <f t="array" ref="G136">INDEX(Dest1!A:A,1+BIN2DEC(MID($B136,6,5)))</f>
        <v>UNK26</v>
      </c>
      <c r="H136" s="27" t="str" cm="1">
        <f t="array" ref="H136">INDEX(Source2!A:A,1+BIN2DEC(MID($B136,11,4)))</f>
        <v>--</v>
      </c>
      <c r="I136" s="23" cm="1">
        <f t="array" ref="I136">INDEX('D2'!A:A,1+BIN2DEC(MID($B136,16,2)))</f>
        <v>0</v>
      </c>
      <c r="J136" s="6">
        <f t="shared" si="18"/>
        <v>0</v>
      </c>
      <c r="K136" s="6">
        <f t="shared" si="19"/>
        <v>0</v>
      </c>
      <c r="L136" s="6">
        <f t="shared" si="20"/>
        <v>0</v>
      </c>
      <c r="M136" s="3" t="str" cm="1">
        <f t="array" ref="M136">INDEX(Types!A:A,1+BIN2DEC(MID($B136,20,2)))</f>
        <v>Control</v>
      </c>
      <c r="N136" s="3" t="str" cm="1">
        <f t="array" ref="N136">IF(M136="ALU",INDEX(ALUOps!A:A,1+BIN2DEC(MID($B136,22,5))),"")</f>
        <v/>
      </c>
      <c r="O136" s="3" t="str" cm="1">
        <f t="array" ref="O136">IF(M136="ALU",INDEX(TMP!A:A,1+BIN2DEC(MID($B136,27,2))),"")</f>
        <v/>
      </c>
      <c r="P136" s="6" t="str">
        <f t="shared" si="16"/>
        <v/>
      </c>
      <c r="Q136" t="str">
        <f t="shared" si="17"/>
        <v/>
      </c>
      <c r="R136" t="str">
        <f t="shared" si="21"/>
        <v/>
      </c>
      <c r="S136" cm="1">
        <f t="array" ref="S136">IF(M136="Control",INDEX(IC!A:A,1+BIN2DEC(MID($B136,21,4))),"")</f>
        <v>0</v>
      </c>
      <c r="T136" cm="1">
        <f t="array" ref="T136">IF(M136="Control",INDEX(EC!A:A,1+BIN2DEC(MID($B136,25,3))),"")</f>
        <v>6</v>
      </c>
      <c r="U136" cm="1">
        <f t="array" ref="U136">IF(M136="Control",INDEX(SR!A:A,1+BIN2DEC(MID($B136,28,2))),"")</f>
        <v>0</v>
      </c>
    </row>
    <row r="137" spans="1:30" s="9" customFormat="1" ht="15.75" thickBot="1" x14ac:dyDescent="0.3">
      <c r="A137" s="7" t="str">
        <f t="shared" si="15"/>
        <v>087</v>
      </c>
      <c r="B137" s="8" t="s">
        <v>53</v>
      </c>
      <c r="C137" s="10"/>
      <c r="D137" s="10"/>
      <c r="E137" s="10"/>
      <c r="F137" s="30" t="str" cm="1">
        <f t="array" ref="F137">INDEX(Sources!A:A, 1 + BIN2DEC(LEFT($B137,5)))</f>
        <v>OUT</v>
      </c>
      <c r="G137" s="30" t="str" cm="1">
        <f t="array" ref="G137">INDEX(Dest1!A:A,1+BIN2DEC(MID($B137,6,5)))</f>
        <v>OPR</v>
      </c>
      <c r="H137" s="30" t="str" cm="1">
        <f t="array" ref="H137">INDEX(Source2!A:A,1+BIN2DEC(MID($B137,11,4)))</f>
        <v>--</v>
      </c>
      <c r="I137" s="26" cm="1">
        <f t="array" ref="I137">INDEX('D2'!A:A,1+BIN2DEC(MID($B137,16,2)))</f>
        <v>1</v>
      </c>
      <c r="J137" s="11">
        <f t="shared" si="18"/>
        <v>1</v>
      </c>
      <c r="K137" s="11">
        <f t="shared" si="19"/>
        <v>0</v>
      </c>
      <c r="L137" s="11">
        <f t="shared" si="20"/>
        <v>1</v>
      </c>
      <c r="M137" s="10" t="str" cm="1">
        <f t="array" ref="M137">INDEX(Types!A:A,1+BIN2DEC(MID($B137,20,2)))</f>
        <v>Control</v>
      </c>
      <c r="N137" s="10" t="str" cm="1">
        <f t="array" ref="N137">IF(M137="ALU",INDEX(ALUOps!A:A,1+BIN2DEC(MID($B137,22,5))),"")</f>
        <v/>
      </c>
      <c r="O137" s="10" t="str" cm="1">
        <f t="array" ref="O137">IF(M137="ALU",INDEX(TMP!A:A,1+BIN2DEC(MID($B137,27,2))),"")</f>
        <v/>
      </c>
      <c r="P137" s="11" t="str">
        <f t="shared" si="16"/>
        <v/>
      </c>
      <c r="Q137" s="9" t="str">
        <f t="shared" si="17"/>
        <v/>
      </c>
      <c r="R137" s="9" t="str">
        <f t="shared" si="21"/>
        <v/>
      </c>
      <c r="S137" s="9" cm="1">
        <f t="array" ref="S137">IF(M137="Control",INDEX(IC!A:A,1+BIN2DEC(MID($B137,21,4))),"")</f>
        <v>0</v>
      </c>
      <c r="T137" s="9" cm="1">
        <f t="array" ref="T137">IF(M137="Control",INDEX(EC!A:A,1+BIN2DEC(MID($B137,25,3))),"")</f>
        <v>0</v>
      </c>
      <c r="U137" s="9" cm="1">
        <f t="array" ref="U137">IF(M137="Control",INDEX(SR!A:A,1+BIN2DEC(MID($B137,28,2))),"")</f>
        <v>0</v>
      </c>
    </row>
    <row r="138" spans="1:30" x14ac:dyDescent="0.25">
      <c r="A138" s="4" t="str">
        <f t="shared" si="15"/>
        <v>088</v>
      </c>
      <c r="B138" s="2" t="s">
        <v>111</v>
      </c>
      <c r="C138" s="2" t="s">
        <v>139</v>
      </c>
      <c r="D138" s="2" t="s">
        <v>928</v>
      </c>
      <c r="E138" s="2" t="s">
        <v>462</v>
      </c>
      <c r="F138" s="27" t="str" cm="1">
        <f t="array" ref="F138">INDEX(Sources!A:A, 1 + BIN2DEC(LEFT($B138,5)))</f>
        <v>Q</v>
      </c>
      <c r="G138" s="27" t="str" cm="1">
        <f t="array" ref="G138">INDEX(Dest1!A:A,1+BIN2DEC(MID($B138,6,5)))</f>
        <v>UNK10</v>
      </c>
      <c r="H138" s="27" t="str" cm="1">
        <f t="array" ref="H138">INDEX(Source2!A:A,1+BIN2DEC(MID($B138,11,4)))</f>
        <v>--</v>
      </c>
      <c r="I138" s="23" cm="1">
        <f t="array" ref="I138">INDEX('D2'!A:A,1+BIN2DEC(MID($B138,16,2)))</f>
        <v>0</v>
      </c>
      <c r="J138" s="6">
        <f t="shared" si="18"/>
        <v>0</v>
      </c>
      <c r="K138" s="6">
        <f t="shared" si="19"/>
        <v>0</v>
      </c>
      <c r="L138" s="6">
        <f t="shared" si="20"/>
        <v>0</v>
      </c>
      <c r="M138" s="3" t="str" cm="1">
        <f t="array" ref="M138">INDEX(Types!A:A,1+BIN2DEC(MID($B138,20,2)))</f>
        <v>Control</v>
      </c>
      <c r="N138" s="3" t="str" cm="1">
        <f t="array" ref="N138">IF(M138="ALU",INDEX(ALUOps!A:A,1+BIN2DEC(MID($B138,22,5))),"")</f>
        <v/>
      </c>
      <c r="O138" s="3" t="str" cm="1">
        <f t="array" ref="O138">IF(M138="ALU",INDEX(TMP!A:A,1+BIN2DEC(MID($B138,27,2))),"")</f>
        <v/>
      </c>
      <c r="P138" s="6" t="str">
        <f t="shared" si="16"/>
        <v/>
      </c>
      <c r="Q138" t="str">
        <f t="shared" si="17"/>
        <v/>
      </c>
      <c r="R138" t="str">
        <f t="shared" si="21"/>
        <v/>
      </c>
      <c r="S138" cm="1">
        <f t="array" ref="S138">IF(M138="Control",INDEX(IC!A:A,1+BIN2DEC(MID($B138,21,4))),"")</f>
        <v>0</v>
      </c>
      <c r="T138" cm="1">
        <f t="array" ref="T138">IF(M138="Control",INDEX(EC!A:A,1+BIN2DEC(MID($B138,25,3))),"")</f>
        <v>0</v>
      </c>
      <c r="U138" cm="1">
        <f t="array" ref="U138">IF(M138="Control",INDEX(SR!A:A,1+BIN2DEC(MID($B138,28,2))),"")</f>
        <v>0</v>
      </c>
      <c r="X138" t="s">
        <v>1008</v>
      </c>
      <c r="AD138" s="1" t="s">
        <v>140</v>
      </c>
    </row>
    <row r="139" spans="1:30" x14ac:dyDescent="0.25">
      <c r="A139" s="4" t="str">
        <f t="shared" si="15"/>
        <v>089</v>
      </c>
      <c r="B139" s="2" t="s">
        <v>66</v>
      </c>
      <c r="C139" s="3"/>
      <c r="D139" s="3"/>
      <c r="E139" s="3"/>
      <c r="F139" s="27" t="str" cm="1">
        <f t="array" ref="F139">INDEX(Sources!A:A, 1 + BIN2DEC(LEFT($B139,5)))</f>
        <v>Q</v>
      </c>
      <c r="G139" s="27" t="str" cm="1">
        <f t="array" ref="G139">INDEX(Dest1!A:A,1+BIN2DEC(MID($B139,6,5)))</f>
        <v>UNK8</v>
      </c>
      <c r="H139" s="27" t="str" cm="1">
        <f t="array" ref="H139">INDEX(Source2!A:A,1+BIN2DEC(MID($B139,11,4)))</f>
        <v>--</v>
      </c>
      <c r="I139" s="23" cm="1">
        <f t="array" ref="I139">INDEX('D2'!A:A,1+BIN2DEC(MID($B139,16,2)))</f>
        <v>0</v>
      </c>
      <c r="J139" s="6">
        <f t="shared" si="18"/>
        <v>0</v>
      </c>
      <c r="K139" s="6">
        <f t="shared" si="19"/>
        <v>0</v>
      </c>
      <c r="L139" s="6">
        <f t="shared" si="20"/>
        <v>0</v>
      </c>
      <c r="M139" s="3" t="str" cm="1">
        <f t="array" ref="M139">INDEX(Types!A:A,1+BIN2DEC(MID($B139,20,2)))</f>
        <v>Control</v>
      </c>
      <c r="N139" s="3" t="str" cm="1">
        <f t="array" ref="N139">IF(M139="ALU",INDEX(ALUOps!A:A,1+BIN2DEC(MID($B139,22,5))),"")</f>
        <v/>
      </c>
      <c r="O139" s="3" t="str" cm="1">
        <f t="array" ref="O139">IF(M139="ALU",INDEX(TMP!A:A,1+BIN2DEC(MID($B139,27,2))),"")</f>
        <v/>
      </c>
      <c r="P139" s="6" t="str">
        <f t="shared" si="16"/>
        <v/>
      </c>
      <c r="Q139" t="str">
        <f t="shared" si="17"/>
        <v/>
      </c>
      <c r="R139" t="str">
        <f t="shared" si="21"/>
        <v/>
      </c>
      <c r="S139" cm="1">
        <f t="array" ref="S139">IF(M139="Control",INDEX(IC!A:A,1+BIN2DEC(MID($B139,21,4))),"")</f>
        <v>0</v>
      </c>
      <c r="T139" cm="1">
        <f t="array" ref="T139">IF(M139="Control",INDEX(EC!A:A,1+BIN2DEC(MID($B139,25,3))),"")</f>
        <v>0</v>
      </c>
      <c r="U139" cm="1">
        <f t="array" ref="U139">IF(M139="Control",INDEX(SR!A:A,1+BIN2DEC(MID($B139,28,2))),"")</f>
        <v>0</v>
      </c>
    </row>
    <row r="140" spans="1:30" x14ac:dyDescent="0.25">
      <c r="A140" s="4" t="str">
        <f t="shared" si="15"/>
        <v>08A</v>
      </c>
      <c r="B140" s="2" t="s">
        <v>141</v>
      </c>
      <c r="C140" s="3"/>
      <c r="D140" s="3"/>
      <c r="E140" s="3"/>
      <c r="F140" s="27" t="str" cm="1">
        <f t="array" ref="F140">INDEX(Sources!A:A, 1 + BIN2DEC(LEFT($B140,5)))</f>
        <v>TMPA</v>
      </c>
      <c r="G140" s="27" t="str" cm="1">
        <f t="array" ref="G140">INDEX(Dest1!A:A,1+BIN2DEC(MID($B140,6,5)))</f>
        <v>UNK26</v>
      </c>
      <c r="H140" s="27" t="str" cm="1">
        <f t="array" ref="H140">INDEX(Source2!A:A,1+BIN2DEC(MID($B140,11,4)))</f>
        <v>--</v>
      </c>
      <c r="I140" s="23" cm="1">
        <f t="array" ref="I140">INDEX('D2'!A:A,1+BIN2DEC(MID($B140,16,2)))</f>
        <v>0</v>
      </c>
      <c r="J140" s="6">
        <f t="shared" si="18"/>
        <v>0</v>
      </c>
      <c r="K140" s="6">
        <f t="shared" si="19"/>
        <v>0</v>
      </c>
      <c r="L140" s="6">
        <f t="shared" si="20"/>
        <v>1</v>
      </c>
      <c r="M140" s="3" t="str" cm="1">
        <f t="array" ref="M140">INDEX(Types!A:A,1+BIN2DEC(MID($B140,20,2)))</f>
        <v>Control</v>
      </c>
      <c r="N140" s="3" t="str" cm="1">
        <f t="array" ref="N140">IF(M140="ALU",INDEX(ALUOps!A:A,1+BIN2DEC(MID($B140,22,5))),"")</f>
        <v/>
      </c>
      <c r="O140" s="3" t="str" cm="1">
        <f t="array" ref="O140">IF(M140="ALU",INDEX(TMP!A:A,1+BIN2DEC(MID($B140,27,2))),"")</f>
        <v/>
      </c>
      <c r="P140" s="6" t="str">
        <f t="shared" si="16"/>
        <v/>
      </c>
      <c r="Q140" t="str">
        <f t="shared" si="17"/>
        <v/>
      </c>
      <c r="R140" t="str">
        <f t="shared" si="21"/>
        <v/>
      </c>
      <c r="S140" cm="1">
        <f t="array" ref="S140">IF(M140="Control",INDEX(IC!A:A,1+BIN2DEC(MID($B140,21,4))),"")</f>
        <v>0</v>
      </c>
      <c r="T140" cm="1">
        <f t="array" ref="T140">IF(M140="Control",INDEX(EC!A:A,1+BIN2DEC(MID($B140,25,3))),"")</f>
        <v>5</v>
      </c>
      <c r="U140" cm="1">
        <f t="array" ref="U140">IF(M140="Control",INDEX(SR!A:A,1+BIN2DEC(MID($B140,28,2))),"")</f>
        <v>0</v>
      </c>
    </row>
    <row r="141" spans="1:30" s="9" customFormat="1" ht="15.75" thickBot="1" x14ac:dyDescent="0.3">
      <c r="A141" s="7" t="str">
        <f t="shared" si="15"/>
        <v>08B</v>
      </c>
      <c r="B141" s="8" t="s">
        <v>50</v>
      </c>
      <c r="C141" s="10"/>
      <c r="D141" s="10"/>
      <c r="E141" s="10"/>
      <c r="F141" s="30" t="str" cm="1">
        <f t="array" ref="F141">INDEX(Sources!A:A, 1 + BIN2DEC(LEFT($B141,5)))</f>
        <v>OPR</v>
      </c>
      <c r="G141" s="30" t="str" cm="1">
        <f t="array" ref="G141">INDEX(Dest1!A:A,1+BIN2DEC(MID($B141,6,5)))</f>
        <v>OUT</v>
      </c>
      <c r="H141" s="30" t="str" cm="1">
        <f t="array" ref="H141">INDEX(Source2!A:A,1+BIN2DEC(MID($B141,11,4)))</f>
        <v>--</v>
      </c>
      <c r="I141" s="26" cm="1">
        <f t="array" ref="I141">INDEX('D2'!A:A,1+BIN2DEC(MID($B141,16,2)))</f>
        <v>0</v>
      </c>
      <c r="J141" s="11">
        <f t="shared" si="18"/>
        <v>0</v>
      </c>
      <c r="K141" s="11">
        <f t="shared" si="19"/>
        <v>0</v>
      </c>
      <c r="L141" s="11">
        <f t="shared" si="20"/>
        <v>0</v>
      </c>
      <c r="M141" s="10" t="str" cm="1">
        <f t="array" ref="M141">INDEX(Types!A:A,1+BIN2DEC(MID($B141,20,2)))</f>
        <v>Control</v>
      </c>
      <c r="N141" s="10" t="str" cm="1">
        <f t="array" ref="N141">IF(M141="ALU",INDEX(ALUOps!A:A,1+BIN2DEC(MID($B141,22,5))),"")</f>
        <v/>
      </c>
      <c r="O141" s="10" t="str" cm="1">
        <f t="array" ref="O141">IF(M141="ALU",INDEX(TMP!A:A,1+BIN2DEC(MID($B141,27,2))),"")</f>
        <v/>
      </c>
      <c r="P141" s="11" t="str">
        <f t="shared" si="16"/>
        <v/>
      </c>
      <c r="Q141" s="9" t="str">
        <f t="shared" si="17"/>
        <v/>
      </c>
      <c r="R141" s="9" t="str">
        <f t="shared" si="21"/>
        <v/>
      </c>
      <c r="S141" s="9" cm="1">
        <f t="array" ref="S141">IF(M141="Control",INDEX(IC!A:A,1+BIN2DEC(MID($B141,21,4))),"")</f>
        <v>0</v>
      </c>
      <c r="T141" s="9" cm="1">
        <f t="array" ref="T141">IF(M141="Control",INDEX(EC!A:A,1+BIN2DEC(MID($B141,25,3))),"")</f>
        <v>0</v>
      </c>
      <c r="U141" s="9" cm="1">
        <f t="array" ref="U141">IF(M141="Control",INDEX(SR!A:A,1+BIN2DEC(MID($B141,28,2))),"")</f>
        <v>0</v>
      </c>
    </row>
    <row r="142" spans="1:30" x14ac:dyDescent="0.25">
      <c r="A142" s="4" t="str">
        <f t="shared" si="15"/>
        <v>08C</v>
      </c>
      <c r="B142" s="2" t="s">
        <v>142</v>
      </c>
      <c r="C142" s="2" t="s">
        <v>143</v>
      </c>
      <c r="D142" s="2" t="s">
        <v>930</v>
      </c>
      <c r="E142" s="2" t="s">
        <v>462</v>
      </c>
      <c r="F142" s="27" t="str" cm="1">
        <f t="array" ref="F142">INDEX(Sources!A:A, 1 + BIN2DEC(LEFT($B142,5)))</f>
        <v>UNK23</v>
      </c>
      <c r="G142" s="27" t="str" cm="1">
        <f t="array" ref="G142">INDEX(Dest1!A:A,1+BIN2DEC(MID($B142,6,5)))</f>
        <v>UNK17</v>
      </c>
      <c r="H142" s="27" t="str" cm="1">
        <f t="array" ref="H142">INDEX(Source2!A:A,1+BIN2DEC(MID($B142,11,4)))</f>
        <v>1</v>
      </c>
      <c r="I142" s="23" cm="1">
        <f t="array" ref="I142">INDEX('D2'!A:A,1+BIN2DEC(MID($B142,16,2)))</f>
        <v>0</v>
      </c>
      <c r="J142" s="6">
        <f t="shared" si="18"/>
        <v>0</v>
      </c>
      <c r="K142" s="6">
        <f t="shared" si="19"/>
        <v>0</v>
      </c>
      <c r="L142" s="6">
        <f t="shared" si="20"/>
        <v>0</v>
      </c>
      <c r="M142" s="3" t="str" cm="1">
        <f t="array" ref="M142">INDEX(Types!A:A,1+BIN2DEC(MID($B142,20,2)))</f>
        <v>ALU</v>
      </c>
      <c r="N142" s="3" cm="1">
        <f t="array" ref="N142">IF(M142="ALU",INDEX(ALUOps!A:A,1+BIN2DEC(MID($B142,22,5))),"")</f>
        <v>31</v>
      </c>
      <c r="O142" s="3" cm="1">
        <f t="array" ref="O142">IF(M142="ALU",INDEX(TMP!A:A,1+BIN2DEC(MID($B142,27,2))),"")</f>
        <v>1</v>
      </c>
      <c r="P142" s="6">
        <f t="shared" si="16"/>
        <v>1</v>
      </c>
      <c r="Q142" t="str">
        <f t="shared" si="17"/>
        <v/>
      </c>
      <c r="R142" t="str">
        <f t="shared" si="21"/>
        <v/>
      </c>
      <c r="S142" t="str" cm="1">
        <f t="array" ref="S142">IF(M142="Control",INDEX(IC!A:A,1+BIN2DEC(MID($B142,21,4))),"")</f>
        <v/>
      </c>
      <c r="T142" t="str" cm="1">
        <f t="array" ref="T142">IF(M142="Control",INDEX(EC!A:A,1+BIN2DEC(MID($B142,25,3))),"")</f>
        <v/>
      </c>
      <c r="U142" t="str" cm="1">
        <f t="array" ref="U142">IF(M142="Control",INDEX(SR!A:A,1+BIN2DEC(MID($B142,28,2))),"")</f>
        <v/>
      </c>
      <c r="X142" t="s">
        <v>1009</v>
      </c>
      <c r="AD142" s="1" t="s">
        <v>144</v>
      </c>
    </row>
    <row r="143" spans="1:30" x14ac:dyDescent="0.25">
      <c r="A143" s="4" t="str">
        <f t="shared" si="15"/>
        <v>08D</v>
      </c>
      <c r="B143" s="2" t="s">
        <v>145</v>
      </c>
      <c r="C143" s="3"/>
      <c r="D143" s="3"/>
      <c r="E143" s="3"/>
      <c r="F143" s="27" t="str" cm="1">
        <f t="array" ref="F143">INDEX(Sources!A:A, 1 + BIN2DEC(LEFT($B143,5)))</f>
        <v>UNK1</v>
      </c>
      <c r="G143" s="27" t="str" cm="1">
        <f t="array" ref="G143">INDEX(Dest1!A:A,1+BIN2DEC(MID($B143,6,5)))</f>
        <v>UNK26</v>
      </c>
      <c r="H143" s="27" t="str" cm="1">
        <f t="array" ref="H143">INDEX(Source2!A:A,1+BIN2DEC(MID($B143,11,4)))</f>
        <v>--</v>
      </c>
      <c r="I143" s="23" cm="1">
        <f t="array" ref="I143">INDEX('D2'!A:A,1+BIN2DEC(MID($B143,16,2)))</f>
        <v>0</v>
      </c>
      <c r="J143" s="6">
        <f t="shared" si="18"/>
        <v>0</v>
      </c>
      <c r="K143" s="6">
        <f t="shared" si="19"/>
        <v>0</v>
      </c>
      <c r="L143" s="6">
        <f t="shared" si="20"/>
        <v>0</v>
      </c>
      <c r="M143" s="3" t="str" cm="1">
        <f t="array" ref="M143">INDEX(Types!A:A,1+BIN2DEC(MID($B143,20,2)))</f>
        <v>Control</v>
      </c>
      <c r="N143" s="3" t="str" cm="1">
        <f t="array" ref="N143">IF(M143="ALU",INDEX(ALUOps!A:A,1+BIN2DEC(MID($B143,22,5))),"")</f>
        <v/>
      </c>
      <c r="O143" s="3" t="str" cm="1">
        <f t="array" ref="O143">IF(M143="ALU",INDEX(TMP!A:A,1+BIN2DEC(MID($B143,27,2))),"")</f>
        <v/>
      </c>
      <c r="P143" s="6" t="str">
        <f t="shared" si="16"/>
        <v/>
      </c>
      <c r="Q143" t="str">
        <f t="shared" si="17"/>
        <v/>
      </c>
      <c r="R143" t="str">
        <f t="shared" si="21"/>
        <v/>
      </c>
      <c r="S143" cm="1">
        <f t="array" ref="S143">IF(M143="Control",INDEX(IC!A:A,1+BIN2DEC(MID($B143,21,4))),"")</f>
        <v>0</v>
      </c>
      <c r="T143" cm="1">
        <f t="array" ref="T143">IF(M143="Control",INDEX(EC!A:A,1+BIN2DEC(MID($B143,25,3))),"")</f>
        <v>6</v>
      </c>
      <c r="U143" cm="1">
        <f t="array" ref="U143">IF(M143="Control",INDEX(SR!A:A,1+BIN2DEC(MID($B143,28,2))),"")</f>
        <v>0</v>
      </c>
    </row>
    <row r="144" spans="1:30" x14ac:dyDescent="0.25">
      <c r="A144" s="4" t="str">
        <f t="shared" si="15"/>
        <v>08E</v>
      </c>
      <c r="B144" s="2" t="s">
        <v>146</v>
      </c>
      <c r="C144" s="3"/>
      <c r="D144" s="3"/>
      <c r="E144" s="3"/>
      <c r="F144" s="27" t="str" cm="1">
        <f t="array" ref="F144">INDEX(Sources!A:A, 1 + BIN2DEC(LEFT($B144,5)))</f>
        <v>SIGMA</v>
      </c>
      <c r="G144" s="27" t="str" cm="1">
        <f t="array" ref="G144">INDEX(Dest1!A:A,1+BIN2DEC(MID($B144,6,5)))</f>
        <v>UNK1</v>
      </c>
      <c r="H144" s="27" t="str" cm="1">
        <f t="array" ref="H144">INDEX(Source2!A:A,1+BIN2DEC(MID($B144,11,4)))</f>
        <v>--</v>
      </c>
      <c r="I144" s="23" cm="1">
        <f t="array" ref="I144">INDEX('D2'!A:A,1+BIN2DEC(MID($B144,16,2)))</f>
        <v>0</v>
      </c>
      <c r="J144" s="6">
        <f t="shared" si="18"/>
        <v>0</v>
      </c>
      <c r="K144" s="6">
        <f t="shared" si="19"/>
        <v>0</v>
      </c>
      <c r="L144" s="6">
        <f t="shared" si="20"/>
        <v>0</v>
      </c>
      <c r="M144" s="3" t="str" cm="1">
        <f t="array" ref="M144">INDEX(Types!A:A,1+BIN2DEC(MID($B144,20,2)))</f>
        <v>ALU</v>
      </c>
      <c r="N144" s="3" cm="1">
        <f t="array" ref="N144">IF(M144="ALU",INDEX(ALUOps!A:A,1+BIN2DEC(MID($B144,22,5))),"")</f>
        <v>31</v>
      </c>
      <c r="O144" s="3" cm="1">
        <f t="array" ref="O144">IF(M144="ALU",INDEX(TMP!A:A,1+BIN2DEC(MID($B144,27,2))),"")</f>
        <v>1</v>
      </c>
      <c r="P144" s="6">
        <f t="shared" si="16"/>
        <v>1</v>
      </c>
      <c r="Q144" t="str">
        <f t="shared" si="17"/>
        <v/>
      </c>
      <c r="R144" t="str">
        <f t="shared" si="21"/>
        <v/>
      </c>
      <c r="S144" t="str" cm="1">
        <f t="array" ref="S144">IF(M144="Control",INDEX(IC!A:A,1+BIN2DEC(MID($B144,21,4))),"")</f>
        <v/>
      </c>
      <c r="T144" t="str" cm="1">
        <f t="array" ref="T144">IF(M144="Control",INDEX(EC!A:A,1+BIN2DEC(MID($B144,25,3))),"")</f>
        <v/>
      </c>
      <c r="U144" t="str" cm="1">
        <f t="array" ref="U144">IF(M144="Control",INDEX(SR!A:A,1+BIN2DEC(MID($B144,28,2))),"")</f>
        <v/>
      </c>
    </row>
    <row r="145" spans="1:30" s="9" customFormat="1" ht="15.75" thickBot="1" x14ac:dyDescent="0.3">
      <c r="A145" s="7" t="str">
        <f t="shared" si="15"/>
        <v>08F</v>
      </c>
      <c r="B145" s="8" t="s">
        <v>147</v>
      </c>
      <c r="C145" s="10"/>
      <c r="D145" s="10"/>
      <c r="E145" s="10"/>
      <c r="F145" s="30" t="str" cm="1">
        <f t="array" ref="F145">INDEX(Sources!A:A, 1 + BIN2DEC(LEFT($B145,5)))</f>
        <v>--</v>
      </c>
      <c r="G145" s="30" t="str" cm="1">
        <f t="array" ref="G145">INDEX(Dest1!A:A,1+BIN2DEC(MID($B145,6,5)))</f>
        <v>UNK26</v>
      </c>
      <c r="H145" s="30" t="str" cm="1">
        <f t="array" ref="H145">INDEX(Source2!A:A,1+BIN2DEC(MID($B145,11,4)))</f>
        <v>--</v>
      </c>
      <c r="I145" s="26" cm="1">
        <f t="array" ref="I145">INDEX('D2'!A:A,1+BIN2DEC(MID($B145,16,2)))</f>
        <v>0</v>
      </c>
      <c r="J145" s="11">
        <f t="shared" si="18"/>
        <v>0</v>
      </c>
      <c r="K145" s="11">
        <f t="shared" si="19"/>
        <v>0</v>
      </c>
      <c r="L145" s="11">
        <f t="shared" si="20"/>
        <v>1</v>
      </c>
      <c r="M145" s="10" t="str" cm="1">
        <f t="array" ref="M145">INDEX(Types!A:A,1+BIN2DEC(MID($B145,20,2)))</f>
        <v>Control</v>
      </c>
      <c r="N145" s="10" t="str" cm="1">
        <f t="array" ref="N145">IF(M145="ALU",INDEX(ALUOps!A:A,1+BIN2DEC(MID($B145,22,5))),"")</f>
        <v/>
      </c>
      <c r="O145" s="10" t="str" cm="1">
        <f t="array" ref="O145">IF(M145="ALU",INDEX(TMP!A:A,1+BIN2DEC(MID($B145,27,2))),"")</f>
        <v/>
      </c>
      <c r="P145" s="11" t="str">
        <f t="shared" si="16"/>
        <v/>
      </c>
      <c r="Q145" s="9" t="str">
        <f t="shared" si="17"/>
        <v/>
      </c>
      <c r="R145" s="9" t="str">
        <f t="shared" si="21"/>
        <v/>
      </c>
      <c r="S145" s="9" cm="1">
        <f t="array" ref="S145">IF(M145="Control",INDEX(IC!A:A,1+BIN2DEC(MID($B145,21,4))),"")</f>
        <v>0</v>
      </c>
      <c r="T145" s="9" cm="1">
        <f t="array" ref="T145">IF(M145="Control",INDEX(EC!A:A,1+BIN2DEC(MID($B145,25,3))),"")</f>
        <v>5</v>
      </c>
      <c r="U145" s="9" cm="1">
        <f t="array" ref="U145">IF(M145="Control",INDEX(SR!A:A,1+BIN2DEC(MID($B145,28,2))),"")</f>
        <v>3</v>
      </c>
    </row>
    <row r="146" spans="1:30" x14ac:dyDescent="0.25">
      <c r="A146" s="4" t="str">
        <f t="shared" si="15"/>
        <v>090</v>
      </c>
      <c r="B146" s="2" t="s">
        <v>148</v>
      </c>
      <c r="C146" s="2" t="s">
        <v>149</v>
      </c>
      <c r="D146" s="2" t="s">
        <v>931</v>
      </c>
      <c r="E146" s="2" t="s">
        <v>488</v>
      </c>
      <c r="F146" s="27" t="str" cm="1">
        <f t="array" ref="F146">INDEX(Sources!A:A, 1 + BIN2DEC(LEFT($B146,5)))</f>
        <v>FLAGS</v>
      </c>
      <c r="G146" s="27" t="str" cm="1">
        <f t="array" ref="G146">INDEX(Dest1!A:A,1+BIN2DEC(MID($B146,6,5)))</f>
        <v>OUT</v>
      </c>
      <c r="H146" s="27" t="str" cm="1">
        <f t="array" ref="H146">INDEX(Source2!A:A,1+BIN2DEC(MID($B146,11,4)))</f>
        <v>--</v>
      </c>
      <c r="I146" s="23" cm="1">
        <f t="array" ref="I146">INDEX('D2'!A:A,1+BIN2DEC(MID($B146,16,2)))</f>
        <v>1</v>
      </c>
      <c r="J146" s="6">
        <f t="shared" si="18"/>
        <v>1</v>
      </c>
      <c r="K146" s="6">
        <f t="shared" si="19"/>
        <v>0</v>
      </c>
      <c r="L146" s="6">
        <f t="shared" si="20"/>
        <v>0</v>
      </c>
      <c r="M146" s="3" t="str" cm="1">
        <f t="array" ref="M146">INDEX(Types!A:A,1+BIN2DEC(MID($B146,20,2)))</f>
        <v>Control</v>
      </c>
      <c r="N146" s="3" t="str" cm="1">
        <f t="array" ref="N146">IF(M146="ALU",INDEX(ALUOps!A:A,1+BIN2DEC(MID($B146,22,5))),"")</f>
        <v/>
      </c>
      <c r="O146" s="3" t="str" cm="1">
        <f t="array" ref="O146">IF(M146="ALU",INDEX(TMP!A:A,1+BIN2DEC(MID($B146,27,2))),"")</f>
        <v/>
      </c>
      <c r="P146" s="6" t="str">
        <f t="shared" si="16"/>
        <v/>
      </c>
      <c r="Q146" t="str">
        <f t="shared" si="17"/>
        <v/>
      </c>
      <c r="R146" t="str">
        <f t="shared" si="21"/>
        <v/>
      </c>
      <c r="S146" cm="1">
        <f t="array" ref="S146">IF(M146="Control",INDEX(IC!A:A,1+BIN2DEC(MID($B146,21,4))),"")</f>
        <v>0</v>
      </c>
      <c r="T146" cm="1">
        <f t="array" ref="T146">IF(M146="Control",INDEX(EC!A:A,1+BIN2DEC(MID($B146,25,3))),"")</f>
        <v>0</v>
      </c>
      <c r="U146" cm="1">
        <f t="array" ref="U146">IF(M146="Control",INDEX(SR!A:A,1+BIN2DEC(MID($B146,28,2))),"")</f>
        <v>0</v>
      </c>
      <c r="AD146" s="1" t="s">
        <v>150</v>
      </c>
    </row>
    <row r="147" spans="1:30" x14ac:dyDescent="0.25">
      <c r="A147" s="4" t="str">
        <f t="shared" si="15"/>
        <v>091</v>
      </c>
      <c r="B147" s="2" t="s">
        <v>151</v>
      </c>
      <c r="C147" s="3"/>
      <c r="D147" s="3"/>
      <c r="E147" s="3"/>
      <c r="F147" s="27" t="str" cm="1">
        <f t="array" ref="F147">INDEX(Sources!A:A, 1 + BIN2DEC(LEFT($B147,5)))</f>
        <v>SIGMA</v>
      </c>
      <c r="G147" s="27" t="str" cm="1">
        <f t="array" ref="G147">INDEX(Dest1!A:A,1+BIN2DEC(MID($B147,6,5)))</f>
        <v>TMPA</v>
      </c>
      <c r="H147" s="27" t="str" cm="1">
        <f t="array" ref="H147">INDEX(Source2!A:A,1+BIN2DEC(MID($B147,11,4)))</f>
        <v>11</v>
      </c>
      <c r="I147" s="23" t="str" cm="1">
        <f t="array" ref="I147">INDEX('D2'!A:A,1+BIN2DEC(MID($B147,16,2)))</f>
        <v>TMPB</v>
      </c>
      <c r="J147" s="6">
        <f t="shared" si="18"/>
        <v>0</v>
      </c>
      <c r="K147" s="6">
        <f t="shared" si="19"/>
        <v>0</v>
      </c>
      <c r="L147" s="6">
        <f t="shared" si="20"/>
        <v>0</v>
      </c>
      <c r="M147" s="3" t="str" cm="1">
        <f t="array" ref="M147">INDEX(Types!A:A,1+BIN2DEC(MID($B147,20,2)))</f>
        <v>Control</v>
      </c>
      <c r="N147" s="3" t="str" cm="1">
        <f t="array" ref="N147">IF(M147="ALU",INDEX(ALUOps!A:A,1+BIN2DEC(MID($B147,22,5))),"")</f>
        <v/>
      </c>
      <c r="O147" s="3" t="str" cm="1">
        <f t="array" ref="O147">IF(M147="ALU",INDEX(TMP!A:A,1+BIN2DEC(MID($B147,27,2))),"")</f>
        <v/>
      </c>
      <c r="P147" s="6" t="str">
        <f t="shared" si="16"/>
        <v/>
      </c>
      <c r="Q147" t="str">
        <f t="shared" si="17"/>
        <v/>
      </c>
      <c r="R147" t="str">
        <f t="shared" si="21"/>
        <v/>
      </c>
      <c r="S147" cm="1">
        <f t="array" ref="S147">IF(M147="Control",INDEX(IC!A:A,1+BIN2DEC(MID($B147,21,4))),"")</f>
        <v>12</v>
      </c>
      <c r="T147" cm="1">
        <f t="array" ref="T147">IF(M147="Control",INDEX(EC!A:A,1+BIN2DEC(MID($B147,25,3))),"")</f>
        <v>5</v>
      </c>
      <c r="U147" cm="1">
        <f t="array" ref="U147">IF(M147="Control",INDEX(SR!A:A,1+BIN2DEC(MID($B147,28,2))),"")</f>
        <v>1</v>
      </c>
    </row>
    <row r="148" spans="1:30" x14ac:dyDescent="0.25">
      <c r="A148" s="4" t="str">
        <f t="shared" si="15"/>
        <v>092</v>
      </c>
      <c r="B148" s="2" t="s">
        <v>152</v>
      </c>
      <c r="C148" s="3"/>
      <c r="D148" s="3"/>
      <c r="E148" s="3"/>
      <c r="F148" s="27" t="str" cm="1">
        <f t="array" ref="F148">INDEX(Sources!A:A, 1 + BIN2DEC(LEFT($B148,5)))</f>
        <v>UNK30</v>
      </c>
      <c r="G148" s="27" t="str" cm="1">
        <f t="array" ref="G148">INDEX(Dest1!A:A,1+BIN2DEC(MID($B148,6,5)))</f>
        <v>OUT</v>
      </c>
      <c r="H148" s="27" t="str" cm="1">
        <f t="array" ref="H148">INDEX(Source2!A:A,1+BIN2DEC(MID($B148,11,4)))</f>
        <v>11</v>
      </c>
      <c r="I148" s="23" cm="1">
        <f t="array" ref="I148">INDEX('D2'!A:A,1+BIN2DEC(MID($B148,16,2)))</f>
        <v>3</v>
      </c>
      <c r="J148" s="6">
        <f t="shared" si="18"/>
        <v>1</v>
      </c>
      <c r="K148" s="6">
        <f t="shared" si="19"/>
        <v>0</v>
      </c>
      <c r="L148" s="6">
        <f t="shared" si="20"/>
        <v>0</v>
      </c>
      <c r="M148" s="3" t="str" cm="1">
        <f t="array" ref="M148">INDEX(Types!A:A,1+BIN2DEC(MID($B148,20,2)))</f>
        <v>Jump</v>
      </c>
      <c r="N148" s="3" t="str" cm="1">
        <f t="array" ref="N148">IF(M148="ALU",INDEX(ALUOps!A:A,1+BIN2DEC(MID($B148,22,5))),"")</f>
        <v/>
      </c>
      <c r="O148" s="3" t="str" cm="1">
        <f t="array" ref="O148">IF(M148="ALU",INDEX(TMP!A:A,1+BIN2DEC(MID($B148,27,2))),"")</f>
        <v/>
      </c>
      <c r="P148" s="6" t="str">
        <f t="shared" si="16"/>
        <v/>
      </c>
      <c r="Q148">
        <f t="shared" si="17"/>
        <v>10</v>
      </c>
      <c r="R148">
        <f t="shared" si="21"/>
        <v>12</v>
      </c>
      <c r="S148" t="str" cm="1">
        <f t="array" ref="S148">IF(M148="Control",INDEX(IC!A:A,1+BIN2DEC(MID($B148,21,4))),"")</f>
        <v/>
      </c>
      <c r="T148" t="str" cm="1">
        <f t="array" ref="T148">IF(M148="Control",INDEX(EC!A:A,1+BIN2DEC(MID($B148,25,3))),"")</f>
        <v/>
      </c>
      <c r="U148" t="str" cm="1">
        <f t="array" ref="U148">IF(M148="Control",INDEX(SR!A:A,1+BIN2DEC(MID($B148,28,2))),"")</f>
        <v/>
      </c>
    </row>
    <row r="149" spans="1:30" s="9" customFormat="1" ht="15.75" thickBot="1" x14ac:dyDescent="0.3">
      <c r="A149" s="7" t="str">
        <f t="shared" si="15"/>
        <v>093</v>
      </c>
      <c r="B149" s="8" t="s">
        <v>153</v>
      </c>
      <c r="C149" s="10"/>
      <c r="D149" s="10"/>
      <c r="E149" s="10"/>
      <c r="F149" s="30" t="str" cm="1">
        <f t="array" ref="F149">INDEX(Sources!A:A, 1 + BIN2DEC(LEFT($B149,5)))</f>
        <v>--</v>
      </c>
      <c r="G149" s="30" t="str" cm="1">
        <f t="array" ref="G149">INDEX(Dest1!A:A,1+BIN2DEC(MID($B149,6,5)))</f>
        <v>--</v>
      </c>
      <c r="H149" s="30" t="str" cm="1">
        <f t="array" ref="H149">INDEX(Source2!A:A,1+BIN2DEC(MID($B149,11,4)))</f>
        <v>--</v>
      </c>
      <c r="I149" s="26" cm="1">
        <f t="array" ref="I149">INDEX('D2'!A:A,1+BIN2DEC(MID($B149,16,2)))</f>
        <v>0</v>
      </c>
      <c r="J149" s="11">
        <f t="shared" si="18"/>
        <v>0</v>
      </c>
      <c r="K149" s="11">
        <f t="shared" si="19"/>
        <v>0</v>
      </c>
      <c r="L149" s="11">
        <f t="shared" si="20"/>
        <v>0</v>
      </c>
      <c r="M149" s="10" t="str" cm="1">
        <f t="array" ref="M149">INDEX(Types!A:A,1+BIN2DEC(MID($B149,20,2)))</f>
        <v>Control</v>
      </c>
      <c r="N149" s="10" t="str" cm="1">
        <f t="array" ref="N149">IF(M149="ALU",INDEX(ALUOps!A:A,1+BIN2DEC(MID($B149,22,5))),"")</f>
        <v/>
      </c>
      <c r="O149" s="10" t="str" cm="1">
        <f t="array" ref="O149">IF(M149="ALU",INDEX(TMP!A:A,1+BIN2DEC(MID($B149,27,2))),"")</f>
        <v/>
      </c>
      <c r="P149" s="11" t="str">
        <f t="shared" si="16"/>
        <v/>
      </c>
      <c r="Q149" s="9" t="str">
        <f t="shared" si="17"/>
        <v/>
      </c>
      <c r="R149" s="9" t="str">
        <f t="shared" si="21"/>
        <v/>
      </c>
      <c r="S149" s="9" cm="1">
        <f t="array" ref="S149">IF(M149="Control",INDEX(IC!A:A,1+BIN2DEC(MID($B149,21,4))),"")</f>
        <v>13</v>
      </c>
      <c r="T149" s="9" cm="1">
        <f t="array" ref="T149">IF(M149="Control",INDEX(EC!A:A,1+BIN2DEC(MID($B149,25,3))),"")</f>
        <v>0</v>
      </c>
      <c r="U149" s="9" cm="1">
        <f t="array" ref="U149">IF(M149="Control",INDEX(SR!A:A,1+BIN2DEC(MID($B149,28,2))),"")</f>
        <v>0</v>
      </c>
    </row>
    <row r="150" spans="1:30" x14ac:dyDescent="0.25">
      <c r="A150" s="4" t="str">
        <f t="shared" si="15"/>
        <v>094</v>
      </c>
      <c r="B150" s="2" t="s">
        <v>154</v>
      </c>
      <c r="C150" s="2" t="s">
        <v>155</v>
      </c>
      <c r="D150" s="2" t="s">
        <v>932</v>
      </c>
      <c r="E150" s="2" t="s">
        <v>462</v>
      </c>
      <c r="F150" s="27" t="str" cm="1">
        <f t="array" ref="F150">INDEX(Sources!A:A, 1 + BIN2DEC(LEFT($B150,5)))</f>
        <v>C</v>
      </c>
      <c r="G150" s="27" t="str" cm="1">
        <f t="array" ref="G150">INDEX(Dest1!A:A,1+BIN2DEC(MID($B150,6,5)))</f>
        <v>LC</v>
      </c>
      <c r="H150" s="27" t="str" cm="1">
        <f t="array" ref="H150">INDEX(Source2!A:A,1+BIN2DEC(MID($B150,11,4)))</f>
        <v>6</v>
      </c>
      <c r="I150" s="23" cm="1">
        <f t="array" ref="I150">INDEX('D2'!A:A,1+BIN2DEC(MID($B150,16,2)))</f>
        <v>0</v>
      </c>
      <c r="J150" s="6">
        <f t="shared" si="18"/>
        <v>0</v>
      </c>
      <c r="K150" s="6">
        <f t="shared" si="19"/>
        <v>0</v>
      </c>
      <c r="L150" s="6">
        <f t="shared" si="20"/>
        <v>0</v>
      </c>
      <c r="M150" s="3" t="str" cm="1">
        <f t="array" ref="M150">INDEX(Types!A:A,1+BIN2DEC(MID($B150,20,2)))</f>
        <v>ALU</v>
      </c>
      <c r="N150" s="3" cm="1">
        <f t="array" ref="N150">IF(M150="ALU",INDEX(ALUOps!A:A,1+BIN2DEC(MID($B150,22,5))),"")</f>
        <v>0</v>
      </c>
      <c r="O150" s="3" cm="1">
        <f t="array" ref="O150">IF(M150="ALU",INDEX(TMP!A:A,1+BIN2DEC(MID($B150,27,2))),"")</f>
        <v>2</v>
      </c>
      <c r="P150" s="6">
        <f t="shared" si="16"/>
        <v>1</v>
      </c>
      <c r="Q150" t="str">
        <f t="shared" si="17"/>
        <v/>
      </c>
      <c r="R150" t="str">
        <f t="shared" si="21"/>
        <v/>
      </c>
      <c r="S150" t="str" cm="1">
        <f t="array" ref="S150">IF(M150="Control",INDEX(IC!A:A,1+BIN2DEC(MID($B150,21,4))),"")</f>
        <v/>
      </c>
      <c r="T150" t="str" cm="1">
        <f t="array" ref="T150">IF(M150="Control",INDEX(EC!A:A,1+BIN2DEC(MID($B150,25,3))),"")</f>
        <v/>
      </c>
      <c r="U150" t="str" cm="1">
        <f t="array" ref="U150">IF(M150="Control",INDEX(SR!A:A,1+BIN2DEC(MID($B150,28,2))),"")</f>
        <v/>
      </c>
      <c r="X150" t="s">
        <v>1009</v>
      </c>
      <c r="AD150" s="1" t="s">
        <v>144</v>
      </c>
    </row>
    <row r="151" spans="1:30" x14ac:dyDescent="0.25">
      <c r="A151" s="4" t="str">
        <f t="shared" si="15"/>
        <v>095</v>
      </c>
      <c r="B151" s="2" t="s">
        <v>156</v>
      </c>
      <c r="C151" s="3"/>
      <c r="D151" s="3"/>
      <c r="E151" s="3"/>
      <c r="F151" s="27" t="str" cm="1">
        <f t="array" ref="F151">INDEX(Sources!A:A, 1 + BIN2DEC(LEFT($B151,5)))</f>
        <v>SIGMA</v>
      </c>
      <c r="G151" s="27" t="str" cm="1">
        <f t="array" ref="G151">INDEX(Dest1!A:A,1+BIN2DEC(MID($B151,6,5)))</f>
        <v>UNK24</v>
      </c>
      <c r="H151" s="27" t="str" cm="1">
        <f t="array" ref="H151">INDEX(Source2!A:A,1+BIN2DEC(MID($B151,11,4)))</f>
        <v>--</v>
      </c>
      <c r="I151" s="23" cm="1">
        <f t="array" ref="I151">INDEX('D2'!A:A,1+BIN2DEC(MID($B151,16,2)))</f>
        <v>0</v>
      </c>
      <c r="J151" s="6">
        <f t="shared" si="18"/>
        <v>0</v>
      </c>
      <c r="K151" s="6">
        <f t="shared" si="19"/>
        <v>0</v>
      </c>
      <c r="L151" s="6">
        <f t="shared" si="20"/>
        <v>0</v>
      </c>
      <c r="M151" s="3" t="str" cm="1">
        <f t="array" ref="M151">INDEX(Types!A:A,1+BIN2DEC(MID($B151,20,2)))</f>
        <v>ALU</v>
      </c>
      <c r="N151" s="3" cm="1">
        <f t="array" ref="N151">IF(M151="ALU",INDEX(ALUOps!A:A,1+BIN2DEC(MID($B151,22,5))),"")</f>
        <v>31</v>
      </c>
      <c r="O151" s="3" cm="1">
        <f t="array" ref="O151">IF(M151="ALU",INDEX(TMP!A:A,1+BIN2DEC(MID($B151,27,2))),"")</f>
        <v>1</v>
      </c>
      <c r="P151" s="6">
        <f t="shared" si="16"/>
        <v>1</v>
      </c>
      <c r="Q151" t="str">
        <f t="shared" si="17"/>
        <v/>
      </c>
      <c r="R151" t="str">
        <f t="shared" si="21"/>
        <v/>
      </c>
      <c r="S151" t="str" cm="1">
        <f t="array" ref="S151">IF(M151="Control",INDEX(IC!A:A,1+BIN2DEC(MID($B151,21,4))),"")</f>
        <v/>
      </c>
      <c r="T151" t="str" cm="1">
        <f t="array" ref="T151">IF(M151="Control",INDEX(EC!A:A,1+BIN2DEC(MID($B151,25,3))),"")</f>
        <v/>
      </c>
      <c r="U151" t="str" cm="1">
        <f t="array" ref="U151">IF(M151="Control",INDEX(SR!A:A,1+BIN2DEC(MID($B151,28,2))),"")</f>
        <v/>
      </c>
    </row>
    <row r="152" spans="1:30" x14ac:dyDescent="0.25">
      <c r="A152" s="4" t="str">
        <f t="shared" si="15"/>
        <v>096</v>
      </c>
      <c r="B152" s="2" t="s">
        <v>157</v>
      </c>
      <c r="C152" s="3"/>
      <c r="D152" s="3"/>
      <c r="E152" s="3"/>
      <c r="F152" s="27" t="str" cm="1">
        <f t="array" ref="F152">INDEX(Sources!A:A, 1 + BIN2DEC(LEFT($B152,5)))</f>
        <v>UNK23</v>
      </c>
      <c r="G152" s="27" t="str" cm="1">
        <f t="array" ref="G152">INDEX(Dest1!A:A,1+BIN2DEC(MID($B152,6,5)))</f>
        <v>UNK17</v>
      </c>
      <c r="H152" s="27" t="str" cm="1">
        <f t="array" ref="H152">INDEX(Source2!A:A,1+BIN2DEC(MID($B152,11,4)))</f>
        <v>--</v>
      </c>
      <c r="I152" s="23" cm="1">
        <f t="array" ref="I152">INDEX('D2'!A:A,1+BIN2DEC(MID($B152,16,2)))</f>
        <v>0</v>
      </c>
      <c r="J152" s="6">
        <f t="shared" si="18"/>
        <v>0</v>
      </c>
      <c r="K152" s="6">
        <f t="shared" si="19"/>
        <v>0</v>
      </c>
      <c r="L152" s="6">
        <f t="shared" si="20"/>
        <v>0</v>
      </c>
      <c r="M152" s="3" t="str" cm="1">
        <f t="array" ref="M152">INDEX(Types!A:A,1+BIN2DEC(MID($B152,20,2)))</f>
        <v>Jump</v>
      </c>
      <c r="N152" s="3" t="str" cm="1">
        <f t="array" ref="N152">IF(M152="ALU",INDEX(ALUOps!A:A,1+BIN2DEC(MID($B152,22,5))),"")</f>
        <v/>
      </c>
      <c r="O152" s="3" t="str" cm="1">
        <f t="array" ref="O152">IF(M152="ALU",INDEX(TMP!A:A,1+BIN2DEC(MID($B152,27,2))),"")</f>
        <v/>
      </c>
      <c r="P152" s="6" t="str">
        <f t="shared" si="16"/>
        <v/>
      </c>
      <c r="Q152">
        <f t="shared" si="17"/>
        <v>13</v>
      </c>
      <c r="R152">
        <f t="shared" si="21"/>
        <v>7</v>
      </c>
      <c r="S152" t="str" cm="1">
        <f t="array" ref="S152">IF(M152="Control",INDEX(IC!A:A,1+BIN2DEC(MID($B152,21,4))),"")</f>
        <v/>
      </c>
      <c r="T152" t="str" cm="1">
        <f t="array" ref="T152">IF(M152="Control",INDEX(EC!A:A,1+BIN2DEC(MID($B152,25,3))),"")</f>
        <v/>
      </c>
      <c r="U152" t="str" cm="1">
        <f t="array" ref="U152">IF(M152="Control",INDEX(SR!A:A,1+BIN2DEC(MID($B152,28,2))),"")</f>
        <v/>
      </c>
    </row>
    <row r="153" spans="1:30" x14ac:dyDescent="0.25">
      <c r="A153" s="4" t="str">
        <f t="shared" si="15"/>
        <v>097</v>
      </c>
      <c r="B153" s="2" t="s">
        <v>158</v>
      </c>
      <c r="C153" s="3"/>
      <c r="D153" s="3"/>
      <c r="E153" s="3"/>
      <c r="F153" s="27" t="str" cm="1">
        <f t="array" ref="F153">INDEX(Sources!A:A, 1 + BIN2DEC(LEFT($B153,5)))</f>
        <v>UNK1</v>
      </c>
      <c r="G153" s="27" t="str" cm="1">
        <f t="array" ref="G153">INDEX(Dest1!A:A,1+BIN2DEC(MID($B153,6,5)))</f>
        <v>UNK26</v>
      </c>
      <c r="H153" s="27" t="str" cm="1">
        <f t="array" ref="H153">INDEX(Source2!A:A,1+BIN2DEC(MID($B153,11,4)))</f>
        <v>--</v>
      </c>
      <c r="I153" s="23" cm="1">
        <f t="array" ref="I153">INDEX('D2'!A:A,1+BIN2DEC(MID($B153,16,2)))</f>
        <v>0</v>
      </c>
      <c r="J153" s="6">
        <f t="shared" si="18"/>
        <v>0</v>
      </c>
      <c r="K153" s="6">
        <f t="shared" si="19"/>
        <v>0</v>
      </c>
      <c r="L153" s="6">
        <f t="shared" si="20"/>
        <v>0</v>
      </c>
      <c r="M153" s="3" t="str" cm="1">
        <f t="array" ref="M153">INDEX(Types!A:A,1+BIN2DEC(MID($B153,20,2)))</f>
        <v>Control</v>
      </c>
      <c r="N153" s="3" t="str" cm="1">
        <f t="array" ref="N153">IF(M153="ALU",INDEX(ALUOps!A:A,1+BIN2DEC(MID($B153,22,5))),"")</f>
        <v/>
      </c>
      <c r="O153" s="3" t="str" cm="1">
        <f t="array" ref="O153">IF(M153="ALU",INDEX(TMP!A:A,1+BIN2DEC(MID($B153,27,2))),"")</f>
        <v/>
      </c>
      <c r="P153" s="6" t="str">
        <f t="shared" si="16"/>
        <v/>
      </c>
      <c r="Q153" t="str">
        <f t="shared" si="17"/>
        <v/>
      </c>
      <c r="R153" t="str">
        <f t="shared" si="21"/>
        <v/>
      </c>
      <c r="S153" cm="1">
        <f t="array" ref="S153">IF(M153="Control",INDEX(IC!A:A,1+BIN2DEC(MID($B153,21,4))),"")</f>
        <v>0</v>
      </c>
      <c r="T153" cm="1">
        <f t="array" ref="T153">IF(M153="Control",INDEX(EC!A:A,1+BIN2DEC(MID($B153,25,3))),"")</f>
        <v>6</v>
      </c>
      <c r="U153" cm="1">
        <f t="array" ref="U153">IF(M153="Control",INDEX(SR!A:A,1+BIN2DEC(MID($B153,28,2))),"")</f>
        <v>0</v>
      </c>
    </row>
    <row r="154" spans="1:30" x14ac:dyDescent="0.25">
      <c r="A154" s="4" t="str">
        <f t="shared" si="15"/>
        <v>098</v>
      </c>
      <c r="B154" s="2" t="s">
        <v>159</v>
      </c>
      <c r="C154" s="2" t="s">
        <v>160</v>
      </c>
      <c r="D154" s="2" t="s">
        <v>928</v>
      </c>
      <c r="E154" s="2" t="s">
        <v>929</v>
      </c>
      <c r="F154" s="27" t="str" cm="1">
        <f t="array" ref="F154">INDEX(Sources!A:A, 1 + BIN2DEC(LEFT($B154,5)))</f>
        <v>SIGMA</v>
      </c>
      <c r="G154" s="27" t="str" cm="1">
        <f t="array" ref="G154">INDEX(Dest1!A:A,1+BIN2DEC(MID($B154,6,5)))</f>
        <v>--</v>
      </c>
      <c r="H154" s="27" t="str" cm="1">
        <f t="array" ref="H154">INDEX(Source2!A:A,1+BIN2DEC(MID($B154,11,4)))</f>
        <v>--</v>
      </c>
      <c r="I154" s="23" cm="1">
        <f t="array" ref="I154">INDEX('D2'!A:A,1+BIN2DEC(MID($B154,16,2)))</f>
        <v>0</v>
      </c>
      <c r="J154" s="6">
        <f t="shared" si="18"/>
        <v>0</v>
      </c>
      <c r="K154" s="6">
        <f t="shared" si="19"/>
        <v>0</v>
      </c>
      <c r="L154" s="6">
        <f t="shared" si="20"/>
        <v>0</v>
      </c>
      <c r="M154" s="3" t="str" cm="1">
        <f t="array" ref="M154">INDEX(Types!A:A,1+BIN2DEC(MID($B154,20,2)))</f>
        <v>Control</v>
      </c>
      <c r="N154" s="3" t="str" cm="1">
        <f t="array" ref="N154">IF(M154="ALU",INDEX(ALUOps!A:A,1+BIN2DEC(MID($B154,22,5))),"")</f>
        <v/>
      </c>
      <c r="O154" s="3" t="str" cm="1">
        <f t="array" ref="O154">IF(M154="ALU",INDEX(TMP!A:A,1+BIN2DEC(MID($B154,27,2))),"")</f>
        <v/>
      </c>
      <c r="P154" s="6" t="str">
        <f t="shared" si="16"/>
        <v/>
      </c>
      <c r="Q154" t="str">
        <f t="shared" si="17"/>
        <v/>
      </c>
      <c r="R154" t="str">
        <f t="shared" si="21"/>
        <v/>
      </c>
      <c r="S154" cm="1">
        <f t="array" ref="S154">IF(M154="Control",INDEX(IC!A:A,1+BIN2DEC(MID($B154,21,4))),"")</f>
        <v>0</v>
      </c>
      <c r="T154" cm="1">
        <f t="array" ref="T154">IF(M154="Control",INDEX(EC!A:A,1+BIN2DEC(MID($B154,25,3))),"")</f>
        <v>0</v>
      </c>
      <c r="U154" cm="1">
        <f t="array" ref="U154">IF(M154="Control",INDEX(SR!A:A,1+BIN2DEC(MID($B154,28,2))),"")</f>
        <v>0</v>
      </c>
      <c r="AD154" s="1" t="s">
        <v>144</v>
      </c>
    </row>
    <row r="155" spans="1:30" x14ac:dyDescent="0.25">
      <c r="A155" s="4" t="str">
        <f t="shared" si="15"/>
        <v>099</v>
      </c>
      <c r="B155" s="2" t="s">
        <v>161</v>
      </c>
      <c r="C155" s="3"/>
      <c r="D155" s="3"/>
      <c r="E155" s="3"/>
      <c r="F155" s="27" t="str" cm="1">
        <f t="array" ref="F155">INDEX(Sources!A:A, 1 + BIN2DEC(LEFT($B155,5)))</f>
        <v>TMPA</v>
      </c>
      <c r="G155" s="27" t="str" cm="1">
        <f t="array" ref="G155">INDEX(Dest1!A:A,1+BIN2DEC(MID($B155,6,5)))</f>
        <v>UNK26</v>
      </c>
      <c r="H155" s="27" t="str" cm="1">
        <f t="array" ref="H155">INDEX(Source2!A:A,1+BIN2DEC(MID($B155,11,4)))</f>
        <v>1</v>
      </c>
      <c r="I155" s="23" cm="1">
        <f t="array" ref="I155">INDEX('D2'!A:A,1+BIN2DEC(MID($B155,16,2)))</f>
        <v>0</v>
      </c>
      <c r="J155" s="6">
        <f t="shared" si="18"/>
        <v>0</v>
      </c>
      <c r="K155" s="6">
        <f t="shared" si="19"/>
        <v>0</v>
      </c>
      <c r="L155" s="6">
        <f t="shared" si="20"/>
        <v>0</v>
      </c>
      <c r="M155" s="3" t="str" cm="1">
        <f t="array" ref="M155">INDEX(Types!A:A,1+BIN2DEC(MID($B155,20,2)))</f>
        <v>Control</v>
      </c>
      <c r="N155" s="3" t="str" cm="1">
        <f t="array" ref="N155">IF(M155="ALU",INDEX(ALUOps!A:A,1+BIN2DEC(MID($B155,22,5))),"")</f>
        <v/>
      </c>
      <c r="O155" s="3" t="str" cm="1">
        <f t="array" ref="O155">IF(M155="ALU",INDEX(TMP!A:A,1+BIN2DEC(MID($B155,27,2))),"")</f>
        <v/>
      </c>
      <c r="P155" s="6" t="str">
        <f t="shared" si="16"/>
        <v/>
      </c>
      <c r="Q155" t="str">
        <f t="shared" si="17"/>
        <v/>
      </c>
      <c r="R155" t="str">
        <f t="shared" si="21"/>
        <v/>
      </c>
      <c r="S155" cm="1">
        <f t="array" ref="S155">IF(M155="Control",INDEX(IC!A:A,1+BIN2DEC(MID($B155,21,4))),"")</f>
        <v>0</v>
      </c>
      <c r="T155" cm="1">
        <f t="array" ref="T155">IF(M155="Control",INDEX(EC!A:A,1+BIN2DEC(MID($B155,25,3))),"")</f>
        <v>5</v>
      </c>
      <c r="U155" cm="1">
        <f t="array" ref="U155">IF(M155="Control",INDEX(SR!A:A,1+BIN2DEC(MID($B155,28,2))),"")</f>
        <v>3</v>
      </c>
    </row>
    <row r="156" spans="1:30" x14ac:dyDescent="0.25">
      <c r="A156" s="4" t="str">
        <f t="shared" si="15"/>
        <v>09A</v>
      </c>
      <c r="B156" s="2" t="s">
        <v>162</v>
      </c>
      <c r="C156" s="3"/>
      <c r="D156" s="3"/>
      <c r="E156" s="3"/>
      <c r="F156" s="27" t="str" cm="1">
        <f t="array" ref="F156">INDEX(Sources!A:A, 1 + BIN2DEC(LEFT($B156,5)))</f>
        <v>SIGMA</v>
      </c>
      <c r="G156" s="27" t="str" cm="1">
        <f t="array" ref="G156">INDEX(Dest1!A:A,1+BIN2DEC(MID($B156,6,5)))</f>
        <v>UNK1</v>
      </c>
      <c r="H156" s="27" t="str" cm="1">
        <f t="array" ref="H156">INDEX(Source2!A:A,1+BIN2DEC(MID($B156,11,4)))</f>
        <v>--</v>
      </c>
      <c r="I156" s="23" cm="1">
        <f t="array" ref="I156">INDEX('D2'!A:A,1+BIN2DEC(MID($B156,16,2)))</f>
        <v>0</v>
      </c>
      <c r="J156" s="6">
        <f t="shared" si="18"/>
        <v>0</v>
      </c>
      <c r="K156" s="6">
        <f t="shared" si="19"/>
        <v>0</v>
      </c>
      <c r="L156" s="6">
        <f t="shared" si="20"/>
        <v>0</v>
      </c>
      <c r="M156" s="3" t="str" cm="1">
        <f t="array" ref="M156">INDEX(Types!A:A,1+BIN2DEC(MID($B156,20,2)))</f>
        <v>Jump</v>
      </c>
      <c r="N156" s="3" t="str" cm="1">
        <f t="array" ref="N156">IF(M156="ALU",INDEX(ALUOps!A:A,1+BIN2DEC(MID($B156,22,5))),"")</f>
        <v/>
      </c>
      <c r="O156" s="3" t="str" cm="1">
        <f t="array" ref="O156">IF(M156="ALU",INDEX(TMP!A:A,1+BIN2DEC(MID($B156,27,2))),"")</f>
        <v/>
      </c>
      <c r="P156" s="6" t="str">
        <f t="shared" si="16"/>
        <v/>
      </c>
      <c r="Q156">
        <f t="shared" si="17"/>
        <v>3</v>
      </c>
      <c r="R156">
        <f t="shared" si="21"/>
        <v>3</v>
      </c>
      <c r="S156" t="str" cm="1">
        <f t="array" ref="S156">IF(M156="Control",INDEX(IC!A:A,1+BIN2DEC(MID($B156,21,4))),"")</f>
        <v/>
      </c>
      <c r="T156" t="str" cm="1">
        <f t="array" ref="T156">IF(M156="Control",INDEX(EC!A:A,1+BIN2DEC(MID($B156,25,3))),"")</f>
        <v/>
      </c>
      <c r="U156" t="str" cm="1">
        <f t="array" ref="U156">IF(M156="Control",INDEX(SR!A:A,1+BIN2DEC(MID($B156,28,2))),"")</f>
        <v/>
      </c>
    </row>
    <row r="157" spans="1:30" s="9" customFormat="1" ht="15.75" thickBot="1" x14ac:dyDescent="0.3">
      <c r="A157" s="7" t="str">
        <f t="shared" si="15"/>
        <v>09B</v>
      </c>
      <c r="B157" s="8" t="s">
        <v>163</v>
      </c>
      <c r="C157" s="10"/>
      <c r="D157" s="10"/>
      <c r="E157" s="10"/>
      <c r="F157" s="30" t="str" cm="1">
        <f t="array" ref="F157">INDEX(Sources!A:A, 1 + BIN2DEC(LEFT($B157,5)))</f>
        <v>LC</v>
      </c>
      <c r="G157" s="30" t="str" cm="1">
        <f t="array" ref="G157">INDEX(Dest1!A:A,1+BIN2DEC(MID($B157,6,5)))</f>
        <v>C</v>
      </c>
      <c r="H157" s="30" t="str" cm="1">
        <f t="array" ref="H157">INDEX(Source2!A:A,1+BIN2DEC(MID($B157,11,4)))</f>
        <v>--</v>
      </c>
      <c r="I157" s="26" cm="1">
        <f t="array" ref="I157">INDEX('D2'!A:A,1+BIN2DEC(MID($B157,16,2)))</f>
        <v>0</v>
      </c>
      <c r="J157" s="11">
        <f t="shared" si="18"/>
        <v>0</v>
      </c>
      <c r="K157" s="11">
        <f t="shared" si="19"/>
        <v>0</v>
      </c>
      <c r="L157" s="11">
        <f t="shared" si="20"/>
        <v>0</v>
      </c>
      <c r="M157" s="10" t="str" cm="1">
        <f t="array" ref="M157">INDEX(Types!A:A,1+BIN2DEC(MID($B157,20,2)))</f>
        <v>Control</v>
      </c>
      <c r="N157" s="10" t="str" cm="1">
        <f t="array" ref="N157">IF(M157="ALU",INDEX(ALUOps!A:A,1+BIN2DEC(MID($B157,22,5))),"")</f>
        <v/>
      </c>
      <c r="O157" s="10" t="str" cm="1">
        <f t="array" ref="O157">IF(M157="ALU",INDEX(TMP!A:A,1+BIN2DEC(MID($B157,27,2))),"")</f>
        <v/>
      </c>
      <c r="P157" s="11" t="str">
        <f t="shared" si="16"/>
        <v/>
      </c>
      <c r="Q157" s="9" t="str">
        <f t="shared" si="17"/>
        <v/>
      </c>
      <c r="R157" s="9" t="str">
        <f t="shared" si="21"/>
        <v/>
      </c>
      <c r="S157" s="9" cm="1">
        <f t="array" ref="S157">IF(M157="Control",INDEX(IC!A:A,1+BIN2DEC(MID($B157,21,4))),"")</f>
        <v>1</v>
      </c>
      <c r="T157" s="9" cm="1">
        <f t="array" ref="T157">IF(M157="Control",INDEX(EC!A:A,1+BIN2DEC(MID($B157,25,3))),"")</f>
        <v>5</v>
      </c>
      <c r="U157" s="9" cm="1">
        <f t="array" ref="U157">IF(M157="Control",INDEX(SR!A:A,1+BIN2DEC(MID($B157,28,2))),"")</f>
        <v>3</v>
      </c>
    </row>
    <row r="158" spans="1:30" x14ac:dyDescent="0.25">
      <c r="A158" s="4" t="str">
        <f t="shared" si="15"/>
        <v>09C</v>
      </c>
      <c r="B158" s="2" t="s">
        <v>142</v>
      </c>
      <c r="C158" s="2" t="s">
        <v>164</v>
      </c>
      <c r="D158" s="2" t="s">
        <v>930</v>
      </c>
      <c r="E158" s="2" t="s">
        <v>462</v>
      </c>
      <c r="F158" s="27" t="str" cm="1">
        <f t="array" ref="F158">INDEX(Sources!A:A, 1 + BIN2DEC(LEFT($B158,5)))</f>
        <v>UNK23</v>
      </c>
      <c r="G158" s="27" t="str" cm="1">
        <f t="array" ref="G158">INDEX(Dest1!A:A,1+BIN2DEC(MID($B158,6,5)))</f>
        <v>UNK17</v>
      </c>
      <c r="H158" s="27" t="str" cm="1">
        <f t="array" ref="H158">INDEX(Source2!A:A,1+BIN2DEC(MID($B158,11,4)))</f>
        <v>1</v>
      </c>
      <c r="I158" s="23" cm="1">
        <f t="array" ref="I158">INDEX('D2'!A:A,1+BIN2DEC(MID($B158,16,2)))</f>
        <v>0</v>
      </c>
      <c r="J158" s="6">
        <f t="shared" si="18"/>
        <v>0</v>
      </c>
      <c r="K158" s="6">
        <f t="shared" si="19"/>
        <v>0</v>
      </c>
      <c r="L158" s="6">
        <f t="shared" si="20"/>
        <v>0</v>
      </c>
      <c r="M158" s="3" t="str" cm="1">
        <f t="array" ref="M158">INDEX(Types!A:A,1+BIN2DEC(MID($B158,20,2)))</f>
        <v>ALU</v>
      </c>
      <c r="N158" s="3" cm="1">
        <f t="array" ref="N158">IF(M158="ALU",INDEX(ALUOps!A:A,1+BIN2DEC(MID($B158,22,5))),"")</f>
        <v>31</v>
      </c>
      <c r="O158" s="3" cm="1">
        <f t="array" ref="O158">IF(M158="ALU",INDEX(TMP!A:A,1+BIN2DEC(MID($B158,27,2))),"")</f>
        <v>1</v>
      </c>
      <c r="P158" s="6">
        <f t="shared" si="16"/>
        <v>1</v>
      </c>
      <c r="Q158" t="str">
        <f t="shared" si="17"/>
        <v/>
      </c>
      <c r="R158" t="str">
        <f t="shared" si="21"/>
        <v/>
      </c>
      <c r="S158" t="str" cm="1">
        <f t="array" ref="S158">IF(M158="Control",INDEX(IC!A:A,1+BIN2DEC(MID($B158,21,4))),"")</f>
        <v/>
      </c>
      <c r="T158" t="str" cm="1">
        <f t="array" ref="T158">IF(M158="Control",INDEX(EC!A:A,1+BIN2DEC(MID($B158,25,3))),"")</f>
        <v/>
      </c>
      <c r="U158" t="str" cm="1">
        <f t="array" ref="U158">IF(M158="Control",INDEX(SR!A:A,1+BIN2DEC(MID($B158,28,2))),"")</f>
        <v/>
      </c>
      <c r="X158" t="s">
        <v>1010</v>
      </c>
      <c r="AD158" s="1" t="s">
        <v>165</v>
      </c>
    </row>
    <row r="159" spans="1:30" x14ac:dyDescent="0.25">
      <c r="A159" s="4" t="str">
        <f t="shared" si="15"/>
        <v>09D</v>
      </c>
      <c r="B159" s="2" t="s">
        <v>145</v>
      </c>
      <c r="C159" s="3"/>
      <c r="D159" s="3"/>
      <c r="E159" s="3"/>
      <c r="F159" s="27" t="str" cm="1">
        <f t="array" ref="F159">INDEX(Sources!A:A, 1 + BIN2DEC(LEFT($B159,5)))</f>
        <v>UNK1</v>
      </c>
      <c r="G159" s="27" t="str" cm="1">
        <f t="array" ref="G159">INDEX(Dest1!A:A,1+BIN2DEC(MID($B159,6,5)))</f>
        <v>UNK26</v>
      </c>
      <c r="H159" s="27" t="str" cm="1">
        <f t="array" ref="H159">INDEX(Source2!A:A,1+BIN2DEC(MID($B159,11,4)))</f>
        <v>--</v>
      </c>
      <c r="I159" s="23" cm="1">
        <f t="array" ref="I159">INDEX('D2'!A:A,1+BIN2DEC(MID($B159,16,2)))</f>
        <v>0</v>
      </c>
      <c r="J159" s="6">
        <f t="shared" si="18"/>
        <v>0</v>
      </c>
      <c r="K159" s="6">
        <f t="shared" si="19"/>
        <v>0</v>
      </c>
      <c r="L159" s="6">
        <f t="shared" si="20"/>
        <v>0</v>
      </c>
      <c r="M159" s="3" t="str" cm="1">
        <f t="array" ref="M159">INDEX(Types!A:A,1+BIN2DEC(MID($B159,20,2)))</f>
        <v>Control</v>
      </c>
      <c r="N159" s="3" t="str" cm="1">
        <f t="array" ref="N159">IF(M159="ALU",INDEX(ALUOps!A:A,1+BIN2DEC(MID($B159,22,5))),"")</f>
        <v/>
      </c>
      <c r="O159" s="3" t="str" cm="1">
        <f t="array" ref="O159">IF(M159="ALU",INDEX(TMP!A:A,1+BIN2DEC(MID($B159,27,2))),"")</f>
        <v/>
      </c>
      <c r="P159" s="6" t="str">
        <f t="shared" si="16"/>
        <v/>
      </c>
      <c r="Q159" t="str">
        <f t="shared" si="17"/>
        <v/>
      </c>
      <c r="R159" t="str">
        <f t="shared" si="21"/>
        <v/>
      </c>
      <c r="S159" cm="1">
        <f t="array" ref="S159">IF(M159="Control",INDEX(IC!A:A,1+BIN2DEC(MID($B159,21,4))),"")</f>
        <v>0</v>
      </c>
      <c r="T159" cm="1">
        <f t="array" ref="T159">IF(M159="Control",INDEX(EC!A:A,1+BIN2DEC(MID($B159,25,3))),"")</f>
        <v>6</v>
      </c>
      <c r="U159" cm="1">
        <f t="array" ref="U159">IF(M159="Control",INDEX(SR!A:A,1+BIN2DEC(MID($B159,28,2))),"")</f>
        <v>0</v>
      </c>
    </row>
    <row r="160" spans="1:30" x14ac:dyDescent="0.25">
      <c r="A160" s="4" t="str">
        <f t="shared" si="15"/>
        <v>09E</v>
      </c>
      <c r="B160" s="2" t="s">
        <v>166</v>
      </c>
      <c r="C160" s="3"/>
      <c r="D160" s="3"/>
      <c r="E160" s="3"/>
      <c r="F160" s="27" t="str" cm="1">
        <f t="array" ref="F160">INDEX(Sources!A:A, 1 + BIN2DEC(LEFT($B160,5)))</f>
        <v>SIGMA</v>
      </c>
      <c r="G160" s="27" t="str" cm="1">
        <f t="array" ref="G160">INDEX(Dest1!A:A,1+BIN2DEC(MID($B160,6,5)))</f>
        <v>UNK1</v>
      </c>
      <c r="H160" s="27" t="str" cm="1">
        <f t="array" ref="H160">INDEX(Source2!A:A,1+BIN2DEC(MID($B160,11,4)))</f>
        <v>--</v>
      </c>
      <c r="I160" s="23" cm="1">
        <f t="array" ref="I160">INDEX('D2'!A:A,1+BIN2DEC(MID($B160,16,2)))</f>
        <v>0</v>
      </c>
      <c r="J160" s="6">
        <f t="shared" si="18"/>
        <v>0</v>
      </c>
      <c r="K160" s="6">
        <f t="shared" si="19"/>
        <v>0</v>
      </c>
      <c r="L160" s="6">
        <f t="shared" si="20"/>
        <v>0</v>
      </c>
      <c r="M160" s="3" t="str" cm="1">
        <f t="array" ref="M160">INDEX(Types!A:A,1+BIN2DEC(MID($B160,20,2)))</f>
        <v>Control</v>
      </c>
      <c r="N160" s="3" t="str" cm="1">
        <f t="array" ref="N160">IF(M160="ALU",INDEX(ALUOps!A:A,1+BIN2DEC(MID($B160,22,5))),"")</f>
        <v/>
      </c>
      <c r="O160" s="3" t="str" cm="1">
        <f t="array" ref="O160">IF(M160="ALU",INDEX(TMP!A:A,1+BIN2DEC(MID($B160,27,2))),"")</f>
        <v/>
      </c>
      <c r="P160" s="6" t="str">
        <f t="shared" si="16"/>
        <v/>
      </c>
      <c r="Q160" t="str">
        <f t="shared" si="17"/>
        <v/>
      </c>
      <c r="R160" t="str">
        <f t="shared" si="21"/>
        <v/>
      </c>
      <c r="S160" cm="1">
        <f t="array" ref="S160">IF(M160="Control",INDEX(IC!A:A,1+BIN2DEC(MID($B160,21,4))),"")</f>
        <v>0</v>
      </c>
      <c r="T160" cm="1">
        <f t="array" ref="T160">IF(M160="Control",INDEX(EC!A:A,1+BIN2DEC(MID($B160,25,3))),"")</f>
        <v>0</v>
      </c>
      <c r="U160" cm="1">
        <f t="array" ref="U160">IF(M160="Control",INDEX(SR!A:A,1+BIN2DEC(MID($B160,28,2))),"")</f>
        <v>0</v>
      </c>
    </row>
    <row r="161" spans="1:30" x14ac:dyDescent="0.25">
      <c r="A161" s="4" t="str">
        <f t="shared" si="15"/>
        <v>09F</v>
      </c>
      <c r="B161" s="2" t="s">
        <v>167</v>
      </c>
      <c r="C161" s="3"/>
      <c r="D161" s="3"/>
      <c r="E161" s="3"/>
      <c r="F161" s="27" t="str" cm="1">
        <f t="array" ref="F161">INDEX(Sources!A:A, 1 + BIN2DEC(LEFT($B161,5)))</f>
        <v>--</v>
      </c>
      <c r="G161" s="27" t="str" cm="1">
        <f t="array" ref="G161">INDEX(Dest1!A:A,1+BIN2DEC(MID($B161,6,5)))</f>
        <v>UNK26</v>
      </c>
      <c r="H161" s="27" t="str" cm="1">
        <f t="array" ref="H161">INDEX(Source2!A:A,1+BIN2DEC(MID($B161,11,4)))</f>
        <v>11</v>
      </c>
      <c r="I161" s="23" t="str" cm="1">
        <f t="array" ref="I161">INDEX('D2'!A:A,1+BIN2DEC(MID($B161,16,2)))</f>
        <v>TMPB</v>
      </c>
      <c r="J161" s="6">
        <f t="shared" si="18"/>
        <v>0</v>
      </c>
      <c r="K161" s="6">
        <f t="shared" si="19"/>
        <v>0</v>
      </c>
      <c r="L161" s="6">
        <f t="shared" si="20"/>
        <v>0</v>
      </c>
      <c r="M161" s="3" t="str" cm="1">
        <f t="array" ref="M161">INDEX(Types!A:A,1+BIN2DEC(MID($B161,20,2)))</f>
        <v>Control</v>
      </c>
      <c r="N161" s="3" t="str" cm="1">
        <f t="array" ref="N161">IF(M161="ALU",INDEX(ALUOps!A:A,1+BIN2DEC(MID($B161,22,5))),"")</f>
        <v/>
      </c>
      <c r="O161" s="3" t="str" cm="1">
        <f t="array" ref="O161">IF(M161="ALU",INDEX(TMP!A:A,1+BIN2DEC(MID($B161,27,2))),"")</f>
        <v/>
      </c>
      <c r="P161" s="6" t="str">
        <f t="shared" si="16"/>
        <v/>
      </c>
      <c r="Q161" t="str">
        <f t="shared" si="17"/>
        <v/>
      </c>
      <c r="R161" t="str">
        <f t="shared" si="21"/>
        <v/>
      </c>
      <c r="S161" cm="1">
        <f t="array" ref="S161">IF(M161="Control",INDEX(IC!A:A,1+BIN2DEC(MID($B161,21,4))),"")</f>
        <v>0</v>
      </c>
      <c r="T161" cm="1">
        <f t="array" ref="T161">IF(M161="Control",INDEX(EC!A:A,1+BIN2DEC(MID($B161,25,3))),"")</f>
        <v>6</v>
      </c>
      <c r="U161" cm="1">
        <f t="array" ref="U161">IF(M161="Control",INDEX(SR!A:A,1+BIN2DEC(MID($B161,28,2))),"")</f>
        <v>3</v>
      </c>
    </row>
    <row r="162" spans="1:30" x14ac:dyDescent="0.25">
      <c r="A162" s="4" t="str">
        <f t="shared" si="15"/>
        <v>0A0</v>
      </c>
      <c r="B162" s="2" t="s">
        <v>168</v>
      </c>
      <c r="C162" s="2" t="s">
        <v>169</v>
      </c>
      <c r="D162" s="2" t="s">
        <v>930</v>
      </c>
      <c r="E162" s="2" t="s">
        <v>929</v>
      </c>
      <c r="F162" s="27" t="str" cm="1">
        <f t="array" ref="F162">INDEX(Sources!A:A, 1 + BIN2DEC(LEFT($B162,5)))</f>
        <v>OUT</v>
      </c>
      <c r="G162" s="27" t="str" cm="1">
        <f t="array" ref="G162">INDEX(Dest1!A:A,1+BIN2DEC(MID($B162,6,5)))</f>
        <v>TMPA</v>
      </c>
      <c r="H162" s="27" t="str" cm="1">
        <f t="array" ref="H162">INDEX(Source2!A:A,1+BIN2DEC(MID($B162,11,4)))</f>
        <v>--</v>
      </c>
      <c r="I162" s="23" cm="1">
        <f t="array" ref="I162">INDEX('D2'!A:A,1+BIN2DEC(MID($B162,16,2)))</f>
        <v>1</v>
      </c>
      <c r="J162" s="6">
        <f t="shared" si="18"/>
        <v>1</v>
      </c>
      <c r="K162" s="6">
        <f t="shared" si="19"/>
        <v>0</v>
      </c>
      <c r="L162" s="6">
        <f t="shared" si="20"/>
        <v>0</v>
      </c>
      <c r="M162" s="3" t="str" cm="1">
        <f t="array" ref="M162">INDEX(Types!A:A,1+BIN2DEC(MID($B162,20,2)))</f>
        <v>Control</v>
      </c>
      <c r="N162" s="3" t="str" cm="1">
        <f t="array" ref="N162">IF(M162="ALU",INDEX(ALUOps!A:A,1+BIN2DEC(MID($B162,22,5))),"")</f>
        <v/>
      </c>
      <c r="O162" s="3" t="str" cm="1">
        <f t="array" ref="O162">IF(M162="ALU",INDEX(TMP!A:A,1+BIN2DEC(MID($B162,27,2))),"")</f>
        <v/>
      </c>
      <c r="P162" s="6" t="str">
        <f t="shared" si="16"/>
        <v/>
      </c>
      <c r="Q162" t="str">
        <f t="shared" si="17"/>
        <v/>
      </c>
      <c r="R162" t="str">
        <f t="shared" si="21"/>
        <v/>
      </c>
      <c r="S162" cm="1">
        <f t="array" ref="S162">IF(M162="Control",INDEX(IC!A:A,1+BIN2DEC(MID($B162,21,4))),"")</f>
        <v>0</v>
      </c>
      <c r="T162" cm="1">
        <f t="array" ref="T162">IF(M162="Control",INDEX(EC!A:A,1+BIN2DEC(MID($B162,25,3))),"")</f>
        <v>0</v>
      </c>
      <c r="U162" cm="1">
        <f t="array" ref="U162">IF(M162="Control",INDEX(SR!A:A,1+BIN2DEC(MID($B162,28,2))),"")</f>
        <v>0</v>
      </c>
      <c r="AD162" s="1" t="s">
        <v>165</v>
      </c>
    </row>
    <row r="163" spans="1:30" x14ac:dyDescent="0.25">
      <c r="A163" s="4" t="str">
        <f t="shared" si="15"/>
        <v>0A1</v>
      </c>
      <c r="B163" s="2" t="s">
        <v>170</v>
      </c>
      <c r="C163" s="3"/>
      <c r="D163" s="3"/>
      <c r="E163" s="3"/>
      <c r="F163" s="27" t="str" cm="1">
        <f t="array" ref="F163">INDEX(Sources!A:A, 1 + BIN2DEC(LEFT($B163,5)))</f>
        <v>TMPB</v>
      </c>
      <c r="G163" s="27" t="str" cm="1">
        <f t="array" ref="G163">INDEX(Dest1!A:A,1+BIN2DEC(MID($B163,6,5)))</f>
        <v>--</v>
      </c>
      <c r="H163" s="27" t="str" cm="1">
        <f t="array" ref="H163">INDEX(Source2!A:A,1+BIN2DEC(MID($B163,11,4)))</f>
        <v>--</v>
      </c>
      <c r="I163" s="23" cm="1">
        <f t="array" ref="I163">INDEX('D2'!A:A,1+BIN2DEC(MID($B163,16,2)))</f>
        <v>0</v>
      </c>
      <c r="J163" s="6">
        <f t="shared" si="18"/>
        <v>0</v>
      </c>
      <c r="K163" s="6">
        <f t="shared" si="19"/>
        <v>0</v>
      </c>
      <c r="L163" s="6">
        <f t="shared" si="20"/>
        <v>0</v>
      </c>
      <c r="M163" s="3" t="str" cm="1">
        <f t="array" ref="M163">INDEX(Types!A:A,1+BIN2DEC(MID($B163,20,2)))</f>
        <v>ALU</v>
      </c>
      <c r="N163" s="3" cm="1">
        <f t="array" ref="N163">IF(M163="ALU",INDEX(ALUOps!A:A,1+BIN2DEC(MID($B163,22,5))),"")</f>
        <v>26</v>
      </c>
      <c r="O163" s="3" cm="1">
        <f t="array" ref="O163">IF(M163="ALU",INDEX(TMP!A:A,1+BIN2DEC(MID($B163,27,2))),"")</f>
        <v>3</v>
      </c>
      <c r="P163" s="6">
        <f t="shared" si="16"/>
        <v>1</v>
      </c>
      <c r="Q163" t="str">
        <f t="shared" si="17"/>
        <v/>
      </c>
      <c r="R163" t="str">
        <f t="shared" si="21"/>
        <v/>
      </c>
      <c r="S163" t="str" cm="1">
        <f t="array" ref="S163">IF(M163="Control",INDEX(IC!A:A,1+BIN2DEC(MID($B163,21,4))),"")</f>
        <v/>
      </c>
      <c r="T163" t="str" cm="1">
        <f t="array" ref="T163">IF(M163="Control",INDEX(EC!A:A,1+BIN2DEC(MID($B163,25,3))),"")</f>
        <v/>
      </c>
      <c r="U163" t="str" cm="1">
        <f t="array" ref="U163">IF(M163="Control",INDEX(SR!A:A,1+BIN2DEC(MID($B163,28,2))),"")</f>
        <v/>
      </c>
    </row>
    <row r="164" spans="1:30" x14ac:dyDescent="0.25">
      <c r="A164" s="4" t="str">
        <f t="shared" si="15"/>
        <v>0A2</v>
      </c>
      <c r="B164" s="2" t="s">
        <v>171</v>
      </c>
      <c r="C164" s="3"/>
      <c r="D164" s="3"/>
      <c r="E164" s="3"/>
      <c r="F164" s="27" t="str" cm="1">
        <f t="array" ref="F164">INDEX(Sources!A:A, 1 + BIN2DEC(LEFT($B164,5)))</f>
        <v>OUT</v>
      </c>
      <c r="G164" s="27" t="str" cm="1">
        <f t="array" ref="G164">INDEX(Dest1!A:A,1+BIN2DEC(MID($B164,6,5)))</f>
        <v>TMPB</v>
      </c>
      <c r="H164" s="27" t="str" cm="1">
        <f t="array" ref="H164">INDEX(Source2!A:A,1+BIN2DEC(MID($B164,11,4)))</f>
        <v>--</v>
      </c>
      <c r="I164" s="23" cm="1">
        <f t="array" ref="I164">INDEX('D2'!A:A,1+BIN2DEC(MID($B164,16,2)))</f>
        <v>1</v>
      </c>
      <c r="J164" s="6">
        <f t="shared" si="18"/>
        <v>1</v>
      </c>
      <c r="K164" s="6">
        <f t="shared" si="19"/>
        <v>0</v>
      </c>
      <c r="L164" s="6">
        <f t="shared" si="20"/>
        <v>1</v>
      </c>
      <c r="M164" s="3" t="str" cm="1">
        <f t="array" ref="M164">INDEX(Types!A:A,1+BIN2DEC(MID($B164,20,2)))</f>
        <v>Control</v>
      </c>
      <c r="N164" s="3" t="str" cm="1">
        <f t="array" ref="N164">IF(M164="ALU",INDEX(ALUOps!A:A,1+BIN2DEC(MID($B164,22,5))),"")</f>
        <v/>
      </c>
      <c r="O164" s="3" t="str" cm="1">
        <f t="array" ref="O164">IF(M164="ALU",INDEX(TMP!A:A,1+BIN2DEC(MID($B164,27,2))),"")</f>
        <v/>
      </c>
      <c r="P164" s="6" t="str">
        <f t="shared" si="16"/>
        <v/>
      </c>
      <c r="Q164" t="str">
        <f t="shared" si="17"/>
        <v/>
      </c>
      <c r="R164" t="str">
        <f t="shared" si="21"/>
        <v/>
      </c>
      <c r="S164" cm="1">
        <f t="array" ref="S164">IF(M164="Control",INDEX(IC!A:A,1+BIN2DEC(MID($B164,21,4))),"")</f>
        <v>0</v>
      </c>
      <c r="T164" cm="1">
        <f t="array" ref="T164">IF(M164="Control",INDEX(EC!A:A,1+BIN2DEC(MID($B164,25,3))),"")</f>
        <v>0</v>
      </c>
      <c r="U164" cm="1">
        <f t="array" ref="U164">IF(M164="Control",INDEX(SR!A:A,1+BIN2DEC(MID($B164,28,2))),"")</f>
        <v>0</v>
      </c>
    </row>
    <row r="165" spans="1:30" s="9" customFormat="1" ht="15.75" thickBot="1" x14ac:dyDescent="0.3">
      <c r="A165" s="7" t="str">
        <f t="shared" si="15"/>
        <v>0A3</v>
      </c>
      <c r="B165" s="8" t="s">
        <v>73</v>
      </c>
      <c r="C165" s="10"/>
      <c r="D165" s="10"/>
      <c r="E165" s="10"/>
      <c r="F165" s="30" t="str" cm="1">
        <f t="array" ref="F165">INDEX(Sources!A:A, 1 + BIN2DEC(LEFT($B165,5)))</f>
        <v>SIGMA</v>
      </c>
      <c r="G165" s="30" t="str" cm="1">
        <f t="array" ref="G165">INDEX(Dest1!A:A,1+BIN2DEC(MID($B165,6,5)))</f>
        <v>UNK24</v>
      </c>
      <c r="H165" s="30" t="str" cm="1">
        <f t="array" ref="H165">INDEX(Source2!A:A,1+BIN2DEC(MID($B165,11,4)))</f>
        <v>--</v>
      </c>
      <c r="I165" s="26" cm="1">
        <f t="array" ref="I165">INDEX('D2'!A:A,1+BIN2DEC(MID($B165,16,2)))</f>
        <v>0</v>
      </c>
      <c r="J165" s="11">
        <f t="shared" si="18"/>
        <v>0</v>
      </c>
      <c r="K165" s="11">
        <f t="shared" si="19"/>
        <v>1</v>
      </c>
      <c r="L165" s="11">
        <f t="shared" si="20"/>
        <v>0</v>
      </c>
      <c r="M165" s="10" t="str" cm="1">
        <f t="array" ref="M165">INDEX(Types!A:A,1+BIN2DEC(MID($B165,20,2)))</f>
        <v>Control</v>
      </c>
      <c r="N165" s="10" t="str" cm="1">
        <f t="array" ref="N165">IF(M165="ALU",INDEX(ALUOps!A:A,1+BIN2DEC(MID($B165,22,5))),"")</f>
        <v/>
      </c>
      <c r="O165" s="10" t="str" cm="1">
        <f t="array" ref="O165">IF(M165="ALU",INDEX(TMP!A:A,1+BIN2DEC(MID($B165,27,2))),"")</f>
        <v/>
      </c>
      <c r="P165" s="11" t="str">
        <f t="shared" si="16"/>
        <v/>
      </c>
      <c r="Q165" s="9" t="str">
        <f t="shared" si="17"/>
        <v/>
      </c>
      <c r="R165" s="9" t="str">
        <f t="shared" si="21"/>
        <v/>
      </c>
      <c r="S165" s="9" cm="1">
        <f t="array" ref="S165">IF(M165="Control",INDEX(IC!A:A,1+BIN2DEC(MID($B165,21,4))),"")</f>
        <v>0</v>
      </c>
      <c r="T165" s="9" cm="1">
        <f t="array" ref="T165">IF(M165="Control",INDEX(EC!A:A,1+BIN2DEC(MID($B165,25,3))),"")</f>
        <v>0</v>
      </c>
      <c r="U165" s="9" cm="1">
        <f t="array" ref="U165">IF(M165="Control",INDEX(SR!A:A,1+BIN2DEC(MID($B165,28,2))),"")</f>
        <v>0</v>
      </c>
    </row>
    <row r="166" spans="1:30" x14ac:dyDescent="0.25">
      <c r="A166" s="4" t="str">
        <f t="shared" si="15"/>
        <v>0A4</v>
      </c>
      <c r="B166" s="2" t="s">
        <v>154</v>
      </c>
      <c r="C166" s="2" t="s">
        <v>172</v>
      </c>
      <c r="D166" s="2" t="s">
        <v>932</v>
      </c>
      <c r="E166" s="2" t="s">
        <v>462</v>
      </c>
      <c r="F166" s="27" t="str" cm="1">
        <f t="array" ref="F166">INDEX(Sources!A:A, 1 + BIN2DEC(LEFT($B166,5)))</f>
        <v>C</v>
      </c>
      <c r="G166" s="27" t="str" cm="1">
        <f t="array" ref="G166">INDEX(Dest1!A:A,1+BIN2DEC(MID($B166,6,5)))</f>
        <v>LC</v>
      </c>
      <c r="H166" s="27" t="str" cm="1">
        <f t="array" ref="H166">INDEX(Source2!A:A,1+BIN2DEC(MID($B166,11,4)))</f>
        <v>6</v>
      </c>
      <c r="I166" s="23" cm="1">
        <f t="array" ref="I166">INDEX('D2'!A:A,1+BIN2DEC(MID($B166,16,2)))</f>
        <v>0</v>
      </c>
      <c r="J166" s="6">
        <f t="shared" si="18"/>
        <v>0</v>
      </c>
      <c r="K166" s="6">
        <f t="shared" si="19"/>
        <v>0</v>
      </c>
      <c r="L166" s="6">
        <f t="shared" si="20"/>
        <v>0</v>
      </c>
      <c r="M166" s="3" t="str" cm="1">
        <f t="array" ref="M166">INDEX(Types!A:A,1+BIN2DEC(MID($B166,20,2)))</f>
        <v>ALU</v>
      </c>
      <c r="N166" s="3" cm="1">
        <f t="array" ref="N166">IF(M166="ALU",INDEX(ALUOps!A:A,1+BIN2DEC(MID($B166,22,5))),"")</f>
        <v>0</v>
      </c>
      <c r="O166" s="3" cm="1">
        <f t="array" ref="O166">IF(M166="ALU",INDEX(TMP!A:A,1+BIN2DEC(MID($B166,27,2))),"")</f>
        <v>2</v>
      </c>
      <c r="P166" s="6">
        <f t="shared" si="16"/>
        <v>1</v>
      </c>
      <c r="Q166" t="str">
        <f t="shared" si="17"/>
        <v/>
      </c>
      <c r="R166" t="str">
        <f t="shared" si="21"/>
        <v/>
      </c>
      <c r="S166" t="str" cm="1">
        <f t="array" ref="S166">IF(M166="Control",INDEX(IC!A:A,1+BIN2DEC(MID($B166,21,4))),"")</f>
        <v/>
      </c>
      <c r="T166" t="str" cm="1">
        <f t="array" ref="T166">IF(M166="Control",INDEX(EC!A:A,1+BIN2DEC(MID($B166,25,3))),"")</f>
        <v/>
      </c>
      <c r="U166" t="str" cm="1">
        <f t="array" ref="U166">IF(M166="Control",INDEX(SR!A:A,1+BIN2DEC(MID($B166,28,2))),"")</f>
        <v/>
      </c>
      <c r="X166" t="s">
        <v>1011</v>
      </c>
      <c r="AD166" s="1" t="s">
        <v>173</v>
      </c>
    </row>
    <row r="167" spans="1:30" x14ac:dyDescent="0.25">
      <c r="A167" s="4" t="str">
        <f t="shared" si="15"/>
        <v>0A5</v>
      </c>
      <c r="B167" s="2" t="s">
        <v>174</v>
      </c>
      <c r="C167" s="3"/>
      <c r="D167" s="3"/>
      <c r="E167" s="3"/>
      <c r="F167" s="27" t="str" cm="1">
        <f t="array" ref="F167">INDEX(Sources!A:A, 1 + BIN2DEC(LEFT($B167,5)))</f>
        <v>UNK23</v>
      </c>
      <c r="G167" s="27" t="str" cm="1">
        <f t="array" ref="G167">INDEX(Dest1!A:A,1+BIN2DEC(MID($B167,6,5)))</f>
        <v>UNK17</v>
      </c>
      <c r="H167" s="27" t="str" cm="1">
        <f t="array" ref="H167">INDEX(Source2!A:A,1+BIN2DEC(MID($B167,11,4)))</f>
        <v>11</v>
      </c>
      <c r="I167" s="23" cm="1">
        <f t="array" ref="I167">INDEX('D2'!A:A,1+BIN2DEC(MID($B167,16,2)))</f>
        <v>0</v>
      </c>
      <c r="J167" s="6">
        <f t="shared" si="18"/>
        <v>0</v>
      </c>
      <c r="K167" s="6">
        <f t="shared" si="19"/>
        <v>0</v>
      </c>
      <c r="L167" s="6">
        <f t="shared" si="20"/>
        <v>0</v>
      </c>
      <c r="M167" s="3" t="str" cm="1">
        <f t="array" ref="M167">INDEX(Types!A:A,1+BIN2DEC(MID($B167,20,2)))</f>
        <v>ALU</v>
      </c>
      <c r="N167" s="3" cm="1">
        <f t="array" ref="N167">IF(M167="ALU",INDEX(ALUOps!A:A,1+BIN2DEC(MID($B167,22,5))),"")</f>
        <v>31</v>
      </c>
      <c r="O167" s="3" cm="1">
        <f t="array" ref="O167">IF(M167="ALU",INDEX(TMP!A:A,1+BIN2DEC(MID($B167,27,2))),"")</f>
        <v>1</v>
      </c>
      <c r="P167" s="6">
        <f t="shared" si="16"/>
        <v>1</v>
      </c>
      <c r="Q167" t="str">
        <f t="shared" si="17"/>
        <v/>
      </c>
      <c r="R167" t="str">
        <f t="shared" si="21"/>
        <v/>
      </c>
      <c r="S167" t="str" cm="1">
        <f t="array" ref="S167">IF(M167="Control",INDEX(IC!A:A,1+BIN2DEC(MID($B167,21,4))),"")</f>
        <v/>
      </c>
      <c r="T167" t="str" cm="1">
        <f t="array" ref="T167">IF(M167="Control",INDEX(EC!A:A,1+BIN2DEC(MID($B167,25,3))),"")</f>
        <v/>
      </c>
      <c r="U167" t="str" cm="1">
        <f t="array" ref="U167">IF(M167="Control",INDEX(SR!A:A,1+BIN2DEC(MID($B167,28,2))),"")</f>
        <v/>
      </c>
    </row>
    <row r="168" spans="1:30" x14ac:dyDescent="0.25">
      <c r="A168" s="4" t="str">
        <f t="shared" si="15"/>
        <v>0A6</v>
      </c>
      <c r="B168" s="2" t="s">
        <v>175</v>
      </c>
      <c r="C168" s="3"/>
      <c r="D168" s="3"/>
      <c r="E168" s="3"/>
      <c r="F168" s="27" t="str" cm="1">
        <f t="array" ref="F168">INDEX(Sources!A:A, 1 + BIN2DEC(LEFT($B168,5)))</f>
        <v>--</v>
      </c>
      <c r="G168" s="27" t="str" cm="1">
        <f t="array" ref="G168">INDEX(Dest1!A:A,1+BIN2DEC(MID($B168,6,5)))</f>
        <v>--</v>
      </c>
      <c r="H168" s="27" t="str" cm="1">
        <f t="array" ref="H168">INDEX(Source2!A:A,1+BIN2DEC(MID($B168,11,4)))</f>
        <v>--</v>
      </c>
      <c r="I168" s="23" cm="1">
        <f t="array" ref="I168">INDEX('D2'!A:A,1+BIN2DEC(MID($B168,16,2)))</f>
        <v>0</v>
      </c>
      <c r="J168" s="6">
        <f t="shared" si="18"/>
        <v>0</v>
      </c>
      <c r="K168" s="6">
        <f t="shared" si="19"/>
        <v>0</v>
      </c>
      <c r="L168" s="6">
        <f t="shared" si="20"/>
        <v>0</v>
      </c>
      <c r="M168" s="3" t="str" cm="1">
        <f t="array" ref="M168">INDEX(Types!A:A,1+BIN2DEC(MID($B168,20,2)))</f>
        <v>Jump</v>
      </c>
      <c r="N168" s="3" t="str" cm="1">
        <f t="array" ref="N168">IF(M168="ALU",INDEX(ALUOps!A:A,1+BIN2DEC(MID($B168,22,5))),"")</f>
        <v/>
      </c>
      <c r="O168" s="3" t="str" cm="1">
        <f t="array" ref="O168">IF(M168="ALU",INDEX(TMP!A:A,1+BIN2DEC(MID($B168,27,2))),"")</f>
        <v/>
      </c>
      <c r="P168" s="6" t="str">
        <f t="shared" si="16"/>
        <v/>
      </c>
      <c r="Q168">
        <f t="shared" si="17"/>
        <v>13</v>
      </c>
      <c r="R168">
        <f t="shared" si="21"/>
        <v>11</v>
      </c>
      <c r="S168" t="str" cm="1">
        <f t="array" ref="S168">IF(M168="Control",INDEX(IC!A:A,1+BIN2DEC(MID($B168,21,4))),"")</f>
        <v/>
      </c>
      <c r="T168" t="str" cm="1">
        <f t="array" ref="T168">IF(M168="Control",INDEX(EC!A:A,1+BIN2DEC(MID($B168,25,3))),"")</f>
        <v/>
      </c>
      <c r="U168" t="str" cm="1">
        <f t="array" ref="U168">IF(M168="Control",INDEX(SR!A:A,1+BIN2DEC(MID($B168,28,2))),"")</f>
        <v/>
      </c>
    </row>
    <row r="169" spans="1:30" x14ac:dyDescent="0.25">
      <c r="A169" s="4" t="str">
        <f t="shared" si="15"/>
        <v>0A7</v>
      </c>
      <c r="B169" s="2" t="s">
        <v>176</v>
      </c>
      <c r="C169" s="3"/>
      <c r="D169" s="3"/>
      <c r="E169" s="3"/>
      <c r="F169" s="27" t="str" cm="1">
        <f t="array" ref="F169">INDEX(Sources!A:A, 1 + BIN2DEC(LEFT($B169,5)))</f>
        <v>--</v>
      </c>
      <c r="G169" s="27" t="str" cm="1">
        <f t="array" ref="G169">INDEX(Dest1!A:A,1+BIN2DEC(MID($B169,6,5)))</f>
        <v>UNK26</v>
      </c>
      <c r="H169" s="27" t="str" cm="1">
        <f t="array" ref="H169">INDEX(Source2!A:A,1+BIN2DEC(MID($B169,11,4)))</f>
        <v>--</v>
      </c>
      <c r="I169" s="23" cm="1">
        <f t="array" ref="I169">INDEX('D2'!A:A,1+BIN2DEC(MID($B169,16,2)))</f>
        <v>0</v>
      </c>
      <c r="J169" s="6">
        <f t="shared" si="18"/>
        <v>0</v>
      </c>
      <c r="K169" s="6">
        <f t="shared" si="19"/>
        <v>0</v>
      </c>
      <c r="L169" s="6">
        <f t="shared" si="20"/>
        <v>0</v>
      </c>
      <c r="M169" s="3" t="str" cm="1">
        <f t="array" ref="M169">INDEX(Types!A:A,1+BIN2DEC(MID($B169,20,2)))</f>
        <v>Control</v>
      </c>
      <c r="N169" s="3" t="str" cm="1">
        <f t="array" ref="N169">IF(M169="ALU",INDEX(ALUOps!A:A,1+BIN2DEC(MID($B169,22,5))),"")</f>
        <v/>
      </c>
      <c r="O169" s="3" t="str" cm="1">
        <f t="array" ref="O169">IF(M169="ALU",INDEX(TMP!A:A,1+BIN2DEC(MID($B169,27,2))),"")</f>
        <v/>
      </c>
      <c r="P169" s="6" t="str">
        <f t="shared" si="16"/>
        <v/>
      </c>
      <c r="Q169" t="str">
        <f t="shared" si="17"/>
        <v/>
      </c>
      <c r="R169" t="str">
        <f t="shared" si="21"/>
        <v/>
      </c>
      <c r="S169" cm="1">
        <f t="array" ref="S169">IF(M169="Control",INDEX(IC!A:A,1+BIN2DEC(MID($B169,21,4))),"")</f>
        <v>0</v>
      </c>
      <c r="T169" cm="1">
        <f t="array" ref="T169">IF(M169="Control",INDEX(EC!A:A,1+BIN2DEC(MID($B169,25,3))),"")</f>
        <v>6</v>
      </c>
      <c r="U169" cm="1">
        <f t="array" ref="U169">IF(M169="Control",INDEX(SR!A:A,1+BIN2DEC(MID($B169,28,2))),"")</f>
        <v>3</v>
      </c>
    </row>
    <row r="170" spans="1:30" x14ac:dyDescent="0.25">
      <c r="A170" s="4" t="str">
        <f t="shared" si="15"/>
        <v>0A8</v>
      </c>
      <c r="B170" s="2" t="s">
        <v>177</v>
      </c>
      <c r="C170" s="2" t="s">
        <v>178</v>
      </c>
      <c r="D170" s="2" t="s">
        <v>932</v>
      </c>
      <c r="E170" s="2" t="s">
        <v>929</v>
      </c>
      <c r="F170" s="27" t="str" cm="1">
        <f t="array" ref="F170">INDEX(Sources!A:A, 1 + BIN2DEC(LEFT($B170,5)))</f>
        <v>SIGMA</v>
      </c>
      <c r="G170" s="27" t="str" cm="1">
        <f t="array" ref="G170">INDEX(Dest1!A:A,1+BIN2DEC(MID($B170,6,5)))</f>
        <v>--</v>
      </c>
      <c r="H170" s="27" t="str" cm="1">
        <f t="array" ref="H170">INDEX(Source2!A:A,1+BIN2DEC(MID($B170,11,4)))</f>
        <v>1</v>
      </c>
      <c r="I170" s="23" cm="1">
        <f t="array" ref="I170">INDEX('D2'!A:A,1+BIN2DEC(MID($B170,16,2)))</f>
        <v>0</v>
      </c>
      <c r="J170" s="6">
        <f t="shared" si="18"/>
        <v>0</v>
      </c>
      <c r="K170" s="6">
        <f t="shared" si="19"/>
        <v>0</v>
      </c>
      <c r="L170" s="6">
        <f t="shared" si="20"/>
        <v>0</v>
      </c>
      <c r="M170" s="3" t="str" cm="1">
        <f t="array" ref="M170">INDEX(Types!A:A,1+BIN2DEC(MID($B170,20,2)))</f>
        <v>Control</v>
      </c>
      <c r="N170" s="3" t="str" cm="1">
        <f t="array" ref="N170">IF(M170="ALU",INDEX(ALUOps!A:A,1+BIN2DEC(MID($B170,22,5))),"")</f>
        <v/>
      </c>
      <c r="O170" s="3" t="str" cm="1">
        <f t="array" ref="O170">IF(M170="ALU",INDEX(TMP!A:A,1+BIN2DEC(MID($B170,27,2))),"")</f>
        <v/>
      </c>
      <c r="P170" s="6" t="str">
        <f t="shared" si="16"/>
        <v/>
      </c>
      <c r="Q170" t="str">
        <f t="shared" si="17"/>
        <v/>
      </c>
      <c r="R170" t="str">
        <f t="shared" si="21"/>
        <v/>
      </c>
      <c r="S170" cm="1">
        <f t="array" ref="S170">IF(M170="Control",INDEX(IC!A:A,1+BIN2DEC(MID($B170,21,4))),"")</f>
        <v>0</v>
      </c>
      <c r="T170" cm="1">
        <f t="array" ref="T170">IF(M170="Control",INDEX(EC!A:A,1+BIN2DEC(MID($B170,25,3))),"")</f>
        <v>0</v>
      </c>
      <c r="U170" cm="1">
        <f t="array" ref="U170">IF(M170="Control",INDEX(SR!A:A,1+BIN2DEC(MID($B170,28,2))),"")</f>
        <v>0</v>
      </c>
      <c r="X170" t="s">
        <v>1010</v>
      </c>
      <c r="AD170" s="1" t="s">
        <v>165</v>
      </c>
    </row>
    <row r="171" spans="1:30" x14ac:dyDescent="0.25">
      <c r="A171" s="4" t="str">
        <f t="shared" si="15"/>
        <v>0A9</v>
      </c>
      <c r="B171" s="2" t="s">
        <v>179</v>
      </c>
      <c r="C171" s="3"/>
      <c r="D171" s="3"/>
      <c r="E171" s="3"/>
      <c r="F171" s="27" t="str" cm="1">
        <f t="array" ref="F171">INDEX(Sources!A:A, 1 + BIN2DEC(LEFT($B171,5)))</f>
        <v>UNK1</v>
      </c>
      <c r="G171" s="27" t="str" cm="1">
        <f t="array" ref="G171">INDEX(Dest1!A:A,1+BIN2DEC(MID($B171,6,5)))</f>
        <v>UNK26</v>
      </c>
      <c r="H171" s="27" t="str" cm="1">
        <f t="array" ref="H171">INDEX(Source2!A:A,1+BIN2DEC(MID($B171,11,4)))</f>
        <v>11</v>
      </c>
      <c r="I171" s="23" cm="1">
        <f t="array" ref="I171">INDEX('D2'!A:A,1+BIN2DEC(MID($B171,16,2)))</f>
        <v>0</v>
      </c>
      <c r="J171" s="6">
        <f t="shared" si="18"/>
        <v>0</v>
      </c>
      <c r="K171" s="6">
        <f t="shared" si="19"/>
        <v>0</v>
      </c>
      <c r="L171" s="6">
        <f t="shared" si="20"/>
        <v>0</v>
      </c>
      <c r="M171" s="3" t="str" cm="1">
        <f t="array" ref="M171">INDEX(Types!A:A,1+BIN2DEC(MID($B171,20,2)))</f>
        <v>Control</v>
      </c>
      <c r="N171" s="3" t="str" cm="1">
        <f t="array" ref="N171">IF(M171="ALU",INDEX(ALUOps!A:A,1+BIN2DEC(MID($B171,22,5))),"")</f>
        <v/>
      </c>
      <c r="O171" s="3" t="str" cm="1">
        <f t="array" ref="O171">IF(M171="ALU",INDEX(TMP!A:A,1+BIN2DEC(MID($B171,27,2))),"")</f>
        <v/>
      </c>
      <c r="P171" s="6" t="str">
        <f t="shared" si="16"/>
        <v/>
      </c>
      <c r="Q171" t="str">
        <f t="shared" si="17"/>
        <v/>
      </c>
      <c r="R171" t="str">
        <f t="shared" si="21"/>
        <v/>
      </c>
      <c r="S171" cm="1">
        <f t="array" ref="S171">IF(M171="Control",INDEX(IC!A:A,1+BIN2DEC(MID($B171,21,4))),"")</f>
        <v>0</v>
      </c>
      <c r="T171" cm="1">
        <f t="array" ref="T171">IF(M171="Control",INDEX(EC!A:A,1+BIN2DEC(MID($B171,25,3))),"")</f>
        <v>6</v>
      </c>
      <c r="U171" cm="1">
        <f t="array" ref="U171">IF(M171="Control",INDEX(SR!A:A,1+BIN2DEC(MID($B171,28,2))),"")</f>
        <v>0</v>
      </c>
    </row>
    <row r="172" spans="1:30" x14ac:dyDescent="0.25">
      <c r="A172" s="4" t="str">
        <f t="shared" si="15"/>
        <v>0AA</v>
      </c>
      <c r="B172" s="2" t="s">
        <v>180</v>
      </c>
      <c r="C172" s="3"/>
      <c r="D172" s="3"/>
      <c r="E172" s="3"/>
      <c r="F172" s="27" t="str" cm="1">
        <f t="array" ref="F172">INDEX(Sources!A:A, 1 + BIN2DEC(LEFT($B172,5)))</f>
        <v>OUT</v>
      </c>
      <c r="G172" s="27" t="str" cm="1">
        <f t="array" ref="G172">INDEX(Dest1!A:A,1+BIN2DEC(MID($B172,6,5)))</f>
        <v>TMPB</v>
      </c>
      <c r="H172" s="27" t="str" cm="1">
        <f t="array" ref="H172">INDEX(Source2!A:A,1+BIN2DEC(MID($B172,11,4)))</f>
        <v>--</v>
      </c>
      <c r="I172" s="23" cm="1">
        <f t="array" ref="I172">INDEX('D2'!A:A,1+BIN2DEC(MID($B172,16,2)))</f>
        <v>1</v>
      </c>
      <c r="J172" s="6">
        <f t="shared" si="18"/>
        <v>1</v>
      </c>
      <c r="K172" s="6">
        <f t="shared" si="19"/>
        <v>0</v>
      </c>
      <c r="L172" s="6">
        <f t="shared" si="20"/>
        <v>0</v>
      </c>
      <c r="M172" s="3" t="str" cm="1">
        <f t="array" ref="M172">INDEX(Types!A:A,1+BIN2DEC(MID($B172,20,2)))</f>
        <v>Control</v>
      </c>
      <c r="N172" s="3" t="str" cm="1">
        <f t="array" ref="N172">IF(M172="ALU",INDEX(ALUOps!A:A,1+BIN2DEC(MID($B172,22,5))),"")</f>
        <v/>
      </c>
      <c r="O172" s="3" t="str" cm="1">
        <f t="array" ref="O172">IF(M172="ALU",INDEX(TMP!A:A,1+BIN2DEC(MID($B172,27,2))),"")</f>
        <v/>
      </c>
      <c r="P172" s="6" t="str">
        <f t="shared" si="16"/>
        <v/>
      </c>
      <c r="Q172" t="str">
        <f t="shared" si="17"/>
        <v/>
      </c>
      <c r="R172" t="str">
        <f t="shared" si="21"/>
        <v/>
      </c>
      <c r="S172" cm="1">
        <f t="array" ref="S172">IF(M172="Control",INDEX(IC!A:A,1+BIN2DEC(MID($B172,21,4))),"")</f>
        <v>0</v>
      </c>
      <c r="T172" cm="1">
        <f t="array" ref="T172">IF(M172="Control",INDEX(EC!A:A,1+BIN2DEC(MID($B172,25,3))),"")</f>
        <v>0</v>
      </c>
      <c r="U172" cm="1">
        <f t="array" ref="U172">IF(M172="Control",INDEX(SR!A:A,1+BIN2DEC(MID($B172,28,2))),"")</f>
        <v>0</v>
      </c>
    </row>
    <row r="173" spans="1:30" x14ac:dyDescent="0.25">
      <c r="A173" s="4" t="str">
        <f t="shared" si="15"/>
        <v>0AB</v>
      </c>
      <c r="B173" s="2" t="s">
        <v>181</v>
      </c>
      <c r="C173" s="3"/>
      <c r="D173" s="3"/>
      <c r="E173" s="3"/>
      <c r="F173" s="27" t="str" cm="1">
        <f t="array" ref="F173">INDEX(Sources!A:A, 1 + BIN2DEC(LEFT($B173,5)))</f>
        <v>TMPA</v>
      </c>
      <c r="G173" s="27" t="str" cm="1">
        <f t="array" ref="G173">INDEX(Dest1!A:A,1+BIN2DEC(MID($B173,6,5)))</f>
        <v>UNK1</v>
      </c>
      <c r="H173" s="27" t="str" cm="1">
        <f t="array" ref="H173">INDEX(Source2!A:A,1+BIN2DEC(MID($B173,11,4)))</f>
        <v>--</v>
      </c>
      <c r="I173" s="23" cm="1">
        <f t="array" ref="I173">INDEX('D2'!A:A,1+BIN2DEC(MID($B173,16,2)))</f>
        <v>0</v>
      </c>
      <c r="J173" s="6">
        <f t="shared" si="18"/>
        <v>0</v>
      </c>
      <c r="K173" s="6">
        <f t="shared" si="19"/>
        <v>0</v>
      </c>
      <c r="L173" s="6">
        <f t="shared" si="20"/>
        <v>0</v>
      </c>
      <c r="M173" s="3" t="str" cm="1">
        <f t="array" ref="M173">INDEX(Types!A:A,1+BIN2DEC(MID($B173,20,2)))</f>
        <v>ALU</v>
      </c>
      <c r="N173" s="3" cm="1">
        <f t="array" ref="N173">IF(M173="ALU",INDEX(ALUOps!A:A,1+BIN2DEC(MID($B173,22,5))),"")</f>
        <v>26</v>
      </c>
      <c r="O173" s="3" cm="1">
        <f t="array" ref="O173">IF(M173="ALU",INDEX(TMP!A:A,1+BIN2DEC(MID($B173,27,2))),"")</f>
        <v>3</v>
      </c>
      <c r="P173" s="6">
        <f t="shared" si="16"/>
        <v>1</v>
      </c>
      <c r="Q173" t="str">
        <f t="shared" si="17"/>
        <v/>
      </c>
      <c r="R173" t="str">
        <f t="shared" si="21"/>
        <v/>
      </c>
      <c r="S173" t="str" cm="1">
        <f t="array" ref="S173">IF(M173="Control",INDEX(IC!A:A,1+BIN2DEC(MID($B173,21,4))),"")</f>
        <v/>
      </c>
      <c r="T173" t="str" cm="1">
        <f t="array" ref="T173">IF(M173="Control",INDEX(EC!A:A,1+BIN2DEC(MID($B173,25,3))),"")</f>
        <v/>
      </c>
      <c r="U173" t="str" cm="1">
        <f t="array" ref="U173">IF(M173="Control",INDEX(SR!A:A,1+BIN2DEC(MID($B173,28,2))),"")</f>
        <v/>
      </c>
    </row>
    <row r="174" spans="1:30" x14ac:dyDescent="0.25">
      <c r="A174" s="4" t="str">
        <f t="shared" si="15"/>
        <v>0AC</v>
      </c>
      <c r="B174" s="2" t="s">
        <v>168</v>
      </c>
      <c r="C174" s="2" t="s">
        <v>182</v>
      </c>
      <c r="D174" s="2" t="s">
        <v>932</v>
      </c>
      <c r="E174" s="2" t="s">
        <v>488</v>
      </c>
      <c r="F174" s="27" t="str" cm="1">
        <f t="array" ref="F174">INDEX(Sources!A:A, 1 + BIN2DEC(LEFT($B174,5)))</f>
        <v>OUT</v>
      </c>
      <c r="G174" s="27" t="str" cm="1">
        <f t="array" ref="G174">INDEX(Dest1!A:A,1+BIN2DEC(MID($B174,6,5)))</f>
        <v>TMPA</v>
      </c>
      <c r="H174" s="27" t="str" cm="1">
        <f t="array" ref="H174">INDEX(Source2!A:A,1+BIN2DEC(MID($B174,11,4)))</f>
        <v>--</v>
      </c>
      <c r="I174" s="23" cm="1">
        <f t="array" ref="I174">INDEX('D2'!A:A,1+BIN2DEC(MID($B174,16,2)))</f>
        <v>1</v>
      </c>
      <c r="J174" s="6">
        <f t="shared" si="18"/>
        <v>1</v>
      </c>
      <c r="K174" s="6">
        <f t="shared" si="19"/>
        <v>0</v>
      </c>
      <c r="L174" s="6">
        <f t="shared" si="20"/>
        <v>0</v>
      </c>
      <c r="M174" s="3" t="str" cm="1">
        <f t="array" ref="M174">INDEX(Types!A:A,1+BIN2DEC(MID($B174,20,2)))</f>
        <v>Control</v>
      </c>
      <c r="N174" s="3" t="str" cm="1">
        <f t="array" ref="N174">IF(M174="ALU",INDEX(ALUOps!A:A,1+BIN2DEC(MID($B174,22,5))),"")</f>
        <v/>
      </c>
      <c r="O174" s="3" t="str" cm="1">
        <f t="array" ref="O174">IF(M174="ALU",INDEX(TMP!A:A,1+BIN2DEC(MID($B174,27,2))),"")</f>
        <v/>
      </c>
      <c r="P174" s="6" t="str">
        <f t="shared" si="16"/>
        <v/>
      </c>
      <c r="Q174" t="str">
        <f t="shared" si="17"/>
        <v/>
      </c>
      <c r="R174" t="str">
        <f t="shared" si="21"/>
        <v/>
      </c>
      <c r="S174" cm="1">
        <f t="array" ref="S174">IF(M174="Control",INDEX(IC!A:A,1+BIN2DEC(MID($B174,21,4))),"")</f>
        <v>0</v>
      </c>
      <c r="T174" cm="1">
        <f t="array" ref="T174">IF(M174="Control",INDEX(EC!A:A,1+BIN2DEC(MID($B174,25,3))),"")</f>
        <v>0</v>
      </c>
      <c r="U174" cm="1">
        <f t="array" ref="U174">IF(M174="Control",INDEX(SR!A:A,1+BIN2DEC(MID($B174,28,2))),"")</f>
        <v>0</v>
      </c>
      <c r="X174" t="s">
        <v>1010</v>
      </c>
      <c r="AD174" s="1" t="s">
        <v>165</v>
      </c>
    </row>
    <row r="175" spans="1:30" x14ac:dyDescent="0.25">
      <c r="A175" s="4" t="str">
        <f t="shared" si="15"/>
        <v>0AD</v>
      </c>
      <c r="B175" s="2" t="s">
        <v>183</v>
      </c>
      <c r="C175" s="3"/>
      <c r="D175" s="3"/>
      <c r="E175" s="3"/>
      <c r="F175" s="27" t="str" cm="1">
        <f t="array" ref="F175">INDEX(Sources!A:A, 1 + BIN2DEC(LEFT($B175,5)))</f>
        <v>SIGMA</v>
      </c>
      <c r="G175" s="27" t="str" cm="1">
        <f t="array" ref="G175">INDEX(Dest1!A:A,1+BIN2DEC(MID($B175,6,5)))</f>
        <v>UNK24</v>
      </c>
      <c r="H175" s="27" t="str" cm="1">
        <f t="array" ref="H175">INDEX(Source2!A:A,1+BIN2DEC(MID($B175,11,4)))</f>
        <v>--</v>
      </c>
      <c r="I175" s="23" cm="1">
        <f t="array" ref="I175">INDEX('D2'!A:A,1+BIN2DEC(MID($B175,16,2)))</f>
        <v>0</v>
      </c>
      <c r="J175" s="6">
        <f t="shared" si="18"/>
        <v>0</v>
      </c>
      <c r="K175" s="6">
        <f t="shared" si="19"/>
        <v>1</v>
      </c>
      <c r="L175" s="6">
        <f t="shared" si="20"/>
        <v>0</v>
      </c>
      <c r="M175" s="3" t="str" cm="1">
        <f t="array" ref="M175">INDEX(Types!A:A,1+BIN2DEC(MID($B175,20,2)))</f>
        <v>ALU</v>
      </c>
      <c r="N175" s="3" cm="1">
        <f t="array" ref="N175">IF(M175="ALU",INDEX(ALUOps!A:A,1+BIN2DEC(MID($B175,22,5))),"")</f>
        <v>31</v>
      </c>
      <c r="O175" s="3" cm="1">
        <f t="array" ref="O175">IF(M175="ALU",INDEX(TMP!A:A,1+BIN2DEC(MID($B175,27,2))),"")</f>
        <v>1</v>
      </c>
      <c r="P175" s="6">
        <f t="shared" si="16"/>
        <v>1</v>
      </c>
      <c r="Q175" t="str">
        <f t="shared" si="17"/>
        <v/>
      </c>
      <c r="R175" t="str">
        <f t="shared" si="21"/>
        <v/>
      </c>
      <c r="S175" t="str" cm="1">
        <f t="array" ref="S175">IF(M175="Control",INDEX(IC!A:A,1+BIN2DEC(MID($B175,21,4))),"")</f>
        <v/>
      </c>
      <c r="T175" t="str" cm="1">
        <f t="array" ref="T175">IF(M175="Control",INDEX(EC!A:A,1+BIN2DEC(MID($B175,25,3))),"")</f>
        <v/>
      </c>
      <c r="U175" t="str" cm="1">
        <f t="array" ref="U175">IF(M175="Control",INDEX(SR!A:A,1+BIN2DEC(MID($B175,28,2))),"")</f>
        <v/>
      </c>
    </row>
    <row r="176" spans="1:30" x14ac:dyDescent="0.25">
      <c r="A176" s="4" t="str">
        <f t="shared" si="15"/>
        <v>0AE</v>
      </c>
      <c r="B176" s="2" t="s">
        <v>184</v>
      </c>
      <c r="C176" s="3"/>
      <c r="D176" s="3"/>
      <c r="E176" s="3"/>
      <c r="F176" s="27" t="str" cm="1">
        <f t="array" ref="F176">INDEX(Sources!A:A, 1 + BIN2DEC(LEFT($B176,5)))</f>
        <v>--</v>
      </c>
      <c r="G176" s="27" t="str" cm="1">
        <f t="array" ref="G176">INDEX(Dest1!A:A,1+BIN2DEC(MID($B176,6,5)))</f>
        <v>--</v>
      </c>
      <c r="H176" s="27" t="str" cm="1">
        <f t="array" ref="H176">INDEX(Source2!A:A,1+BIN2DEC(MID($B176,11,4)))</f>
        <v>--</v>
      </c>
      <c r="I176" s="23" cm="1">
        <f t="array" ref="I176">INDEX('D2'!A:A,1+BIN2DEC(MID($B176,16,2)))</f>
        <v>0</v>
      </c>
      <c r="J176" s="6">
        <f t="shared" si="18"/>
        <v>0</v>
      </c>
      <c r="K176" s="6">
        <f t="shared" si="19"/>
        <v>0</v>
      </c>
      <c r="L176" s="6">
        <f t="shared" si="20"/>
        <v>0</v>
      </c>
      <c r="M176" s="3" t="str" cm="1">
        <f t="array" ref="M176">INDEX(Types!A:A,1+BIN2DEC(MID($B176,20,2)))</f>
        <v>Jump</v>
      </c>
      <c r="N176" s="3" t="str" cm="1">
        <f t="array" ref="N176">IF(M176="ALU",INDEX(ALUOps!A:A,1+BIN2DEC(MID($B176,22,5))),"")</f>
        <v/>
      </c>
      <c r="O176" s="3" t="str" cm="1">
        <f t="array" ref="O176">IF(M176="ALU",INDEX(TMP!A:A,1+BIN2DEC(MID($B176,27,2))),"")</f>
        <v/>
      </c>
      <c r="P176" s="6" t="str">
        <f t="shared" si="16"/>
        <v/>
      </c>
      <c r="Q176">
        <f t="shared" si="17"/>
        <v>3</v>
      </c>
      <c r="R176">
        <f t="shared" si="21"/>
        <v>3</v>
      </c>
      <c r="S176" t="str" cm="1">
        <f t="array" ref="S176">IF(M176="Control",INDEX(IC!A:A,1+BIN2DEC(MID($B176,21,4))),"")</f>
        <v/>
      </c>
      <c r="T176" t="str" cm="1">
        <f t="array" ref="T176">IF(M176="Control",INDEX(EC!A:A,1+BIN2DEC(MID($B176,25,3))),"")</f>
        <v/>
      </c>
      <c r="U176" t="str" cm="1">
        <f t="array" ref="U176">IF(M176="Control",INDEX(SR!A:A,1+BIN2DEC(MID($B176,28,2))),"")</f>
        <v/>
      </c>
    </row>
    <row r="177" spans="1:30" s="9" customFormat="1" ht="15.75" thickBot="1" x14ac:dyDescent="0.3">
      <c r="A177" s="7" t="str">
        <f t="shared" si="15"/>
        <v>0AF</v>
      </c>
      <c r="B177" s="8" t="s">
        <v>163</v>
      </c>
      <c r="C177" s="10"/>
      <c r="D177" s="10"/>
      <c r="E177" s="10"/>
      <c r="F177" s="30" t="str" cm="1">
        <f t="array" ref="F177">INDEX(Sources!A:A, 1 + BIN2DEC(LEFT($B177,5)))</f>
        <v>LC</v>
      </c>
      <c r="G177" s="30" t="str" cm="1">
        <f t="array" ref="G177">INDEX(Dest1!A:A,1+BIN2DEC(MID($B177,6,5)))</f>
        <v>C</v>
      </c>
      <c r="H177" s="30" t="str" cm="1">
        <f t="array" ref="H177">INDEX(Source2!A:A,1+BIN2DEC(MID($B177,11,4)))</f>
        <v>--</v>
      </c>
      <c r="I177" s="26" cm="1">
        <f t="array" ref="I177">INDEX('D2'!A:A,1+BIN2DEC(MID($B177,16,2)))</f>
        <v>0</v>
      </c>
      <c r="J177" s="11">
        <f t="shared" si="18"/>
        <v>0</v>
      </c>
      <c r="K177" s="11">
        <f t="shared" si="19"/>
        <v>0</v>
      </c>
      <c r="L177" s="11">
        <f t="shared" si="20"/>
        <v>0</v>
      </c>
      <c r="M177" s="10" t="str" cm="1">
        <f t="array" ref="M177">INDEX(Types!A:A,1+BIN2DEC(MID($B177,20,2)))</f>
        <v>Control</v>
      </c>
      <c r="N177" s="10" t="str" cm="1">
        <f t="array" ref="N177">IF(M177="ALU",INDEX(ALUOps!A:A,1+BIN2DEC(MID($B177,22,5))),"")</f>
        <v/>
      </c>
      <c r="O177" s="10" t="str" cm="1">
        <f t="array" ref="O177">IF(M177="ALU",INDEX(TMP!A:A,1+BIN2DEC(MID($B177,27,2))),"")</f>
        <v/>
      </c>
      <c r="P177" s="11" t="str">
        <f t="shared" si="16"/>
        <v/>
      </c>
      <c r="Q177" s="9" t="str">
        <f t="shared" si="17"/>
        <v/>
      </c>
      <c r="R177" s="9" t="str">
        <f t="shared" si="21"/>
        <v/>
      </c>
      <c r="S177" s="9" cm="1">
        <f t="array" ref="S177">IF(M177="Control",INDEX(IC!A:A,1+BIN2DEC(MID($B177,21,4))),"")</f>
        <v>1</v>
      </c>
      <c r="T177" s="9" cm="1">
        <f t="array" ref="T177">IF(M177="Control",INDEX(EC!A:A,1+BIN2DEC(MID($B177,25,3))),"")</f>
        <v>5</v>
      </c>
      <c r="U177" s="9" cm="1">
        <f t="array" ref="U177">IF(M177="Control",INDEX(SR!A:A,1+BIN2DEC(MID($B177,28,2))),"")</f>
        <v>3</v>
      </c>
    </row>
    <row r="178" spans="1:30" x14ac:dyDescent="0.25">
      <c r="A178" s="4" t="str">
        <f t="shared" si="15"/>
        <v>0B0</v>
      </c>
      <c r="B178" s="2" t="s">
        <v>185</v>
      </c>
      <c r="C178" s="2" t="s">
        <v>186</v>
      </c>
      <c r="D178" s="2" t="s">
        <v>931</v>
      </c>
      <c r="E178" s="2" t="s">
        <v>933</v>
      </c>
      <c r="F178" s="27" t="str" cm="1">
        <f t="array" ref="F178">INDEX(Sources!A:A, 1 + BIN2DEC(LEFT($B178,5)))</f>
        <v>TMPA</v>
      </c>
      <c r="G178" s="27" t="str" cm="1">
        <f t="array" ref="G178">INDEX(Dest1!A:A,1+BIN2DEC(MID($B178,6,5)))</f>
        <v>UNK17</v>
      </c>
      <c r="H178" s="27" t="str" cm="1">
        <f t="array" ref="H178">INDEX(Source2!A:A,1+BIN2DEC(MID($B178,11,4)))</f>
        <v>--</v>
      </c>
      <c r="I178" s="23" cm="1">
        <f t="array" ref="I178">INDEX('D2'!A:A,1+BIN2DEC(MID($B178,16,2)))</f>
        <v>0</v>
      </c>
      <c r="J178" s="6">
        <f t="shared" si="18"/>
        <v>0</v>
      </c>
      <c r="K178" s="6">
        <f t="shared" si="19"/>
        <v>0</v>
      </c>
      <c r="L178" s="6">
        <f t="shared" si="20"/>
        <v>0</v>
      </c>
      <c r="M178" s="3" t="str" cm="1">
        <f t="array" ref="M178">INDEX(Types!A:A,1+BIN2DEC(MID($B178,20,2)))</f>
        <v>Jump</v>
      </c>
      <c r="N178" s="3" t="str" cm="1">
        <f t="array" ref="N178">IF(M178="ALU",INDEX(ALUOps!A:A,1+BIN2DEC(MID($B178,22,5))),"")</f>
        <v/>
      </c>
      <c r="O178" s="3" t="str" cm="1">
        <f t="array" ref="O178">IF(M178="ALU",INDEX(TMP!A:A,1+BIN2DEC(MID($B178,27,2))),"")</f>
        <v/>
      </c>
      <c r="P178" s="6" t="str">
        <f t="shared" si="16"/>
        <v/>
      </c>
      <c r="Q178">
        <f t="shared" si="17"/>
        <v>8</v>
      </c>
      <c r="R178">
        <f t="shared" si="21"/>
        <v>15</v>
      </c>
      <c r="S178" t="str" cm="1">
        <f t="array" ref="S178">IF(M178="Control",INDEX(IC!A:A,1+BIN2DEC(MID($B178,21,4))),"")</f>
        <v/>
      </c>
      <c r="T178" t="str" cm="1">
        <f t="array" ref="T178">IF(M178="Control",INDEX(EC!A:A,1+BIN2DEC(MID($B178,25,3))),"")</f>
        <v/>
      </c>
      <c r="U178" t="str" cm="1">
        <f t="array" ref="U178">IF(M178="Control",INDEX(SR!A:A,1+BIN2DEC(MID($B178,28,2))),"")</f>
        <v/>
      </c>
      <c r="AD178" s="1" t="s">
        <v>187</v>
      </c>
    </row>
    <row r="179" spans="1:30" x14ac:dyDescent="0.25">
      <c r="A179" s="4" t="str">
        <f t="shared" si="15"/>
        <v>0B1</v>
      </c>
      <c r="B179" s="2" t="s">
        <v>188</v>
      </c>
      <c r="C179" s="3"/>
      <c r="D179" s="3"/>
      <c r="E179" s="3"/>
      <c r="F179" s="27" t="str" cm="1">
        <f t="array" ref="F179">INDEX(Sources!A:A, 1 + BIN2DEC(LEFT($B179,5)))</f>
        <v>TMPA</v>
      </c>
      <c r="G179" s="27" t="str" cm="1">
        <f t="array" ref="G179">INDEX(Dest1!A:A,1+BIN2DEC(MID($B179,6,5)))</f>
        <v>UNK5</v>
      </c>
      <c r="H179" s="27" t="str" cm="1">
        <f t="array" ref="H179">INDEX(Source2!A:A,1+BIN2DEC(MID($B179,11,4)))</f>
        <v>--</v>
      </c>
      <c r="I179" s="23" cm="1">
        <f t="array" ref="I179">INDEX('D2'!A:A,1+BIN2DEC(MID($B179,16,2)))</f>
        <v>0</v>
      </c>
      <c r="J179" s="6">
        <f t="shared" si="18"/>
        <v>0</v>
      </c>
      <c r="K179" s="6">
        <f t="shared" si="19"/>
        <v>0</v>
      </c>
      <c r="L179" s="6">
        <f t="shared" si="20"/>
        <v>0</v>
      </c>
      <c r="M179" s="3" t="str" cm="1">
        <f t="array" ref="M179">INDEX(Types!A:A,1+BIN2DEC(MID($B179,20,2)))</f>
        <v>Control</v>
      </c>
      <c r="N179" s="3" t="str" cm="1">
        <f t="array" ref="N179">IF(M179="ALU",INDEX(ALUOps!A:A,1+BIN2DEC(MID($B179,22,5))),"")</f>
        <v/>
      </c>
      <c r="O179" s="3" t="str" cm="1">
        <f t="array" ref="O179">IF(M179="ALU",INDEX(TMP!A:A,1+BIN2DEC(MID($B179,27,2))),"")</f>
        <v/>
      </c>
      <c r="P179" s="6" t="str">
        <f t="shared" si="16"/>
        <v/>
      </c>
      <c r="Q179" t="str">
        <f t="shared" si="17"/>
        <v/>
      </c>
      <c r="R179" t="str">
        <f t="shared" si="21"/>
        <v/>
      </c>
      <c r="S179" cm="1">
        <f t="array" ref="S179">IF(M179="Control",INDEX(IC!A:A,1+BIN2DEC(MID($B179,21,4))),"")</f>
        <v>0</v>
      </c>
      <c r="T179" cm="1">
        <f t="array" ref="T179">IF(M179="Control",INDEX(EC!A:A,1+BIN2DEC(MID($B179,25,3))),"")</f>
        <v>0</v>
      </c>
      <c r="U179" cm="1">
        <f t="array" ref="U179">IF(M179="Control",INDEX(SR!A:A,1+BIN2DEC(MID($B179,28,2))),"")</f>
        <v>0</v>
      </c>
    </row>
    <row r="180" spans="1:30" x14ac:dyDescent="0.25">
      <c r="A180" s="4" t="str">
        <f t="shared" si="15"/>
        <v>0B2</v>
      </c>
      <c r="B180" s="2" t="s">
        <v>189</v>
      </c>
      <c r="C180" s="3"/>
      <c r="D180" s="3"/>
      <c r="E180" s="3"/>
      <c r="F180" s="27" t="str" cm="1">
        <f t="array" ref="F180">INDEX(Sources!A:A, 1 + BIN2DEC(LEFT($B180,5)))</f>
        <v>TMPB</v>
      </c>
      <c r="G180" s="27" t="str" cm="1">
        <f t="array" ref="G180">INDEX(Dest1!A:A,1+BIN2DEC(MID($B180,6,5)))</f>
        <v>A</v>
      </c>
      <c r="H180" s="27" t="str" cm="1">
        <f t="array" ref="H180">INDEX(Source2!A:A,1+BIN2DEC(MID($B180,11,4)))</f>
        <v>--</v>
      </c>
      <c r="I180" s="23" cm="1">
        <f t="array" ref="I180">INDEX('D2'!A:A,1+BIN2DEC(MID($B180,16,2)))</f>
        <v>0</v>
      </c>
      <c r="J180" s="6">
        <f t="shared" si="18"/>
        <v>0</v>
      </c>
      <c r="K180" s="6">
        <f t="shared" si="19"/>
        <v>0</v>
      </c>
      <c r="L180" s="6">
        <f t="shared" si="20"/>
        <v>0</v>
      </c>
      <c r="M180" s="3" t="str" cm="1">
        <f t="array" ref="M180">INDEX(Types!A:A,1+BIN2DEC(MID($B180,20,2)))</f>
        <v>Control</v>
      </c>
      <c r="N180" s="3" t="str" cm="1">
        <f t="array" ref="N180">IF(M180="ALU",INDEX(ALUOps!A:A,1+BIN2DEC(MID($B180,22,5))),"")</f>
        <v/>
      </c>
      <c r="O180" s="3" t="str" cm="1">
        <f t="array" ref="O180">IF(M180="ALU",INDEX(TMP!A:A,1+BIN2DEC(MID($B180,27,2))),"")</f>
        <v/>
      </c>
      <c r="P180" s="6" t="str">
        <f t="shared" si="16"/>
        <v/>
      </c>
      <c r="Q180" t="str">
        <f t="shared" si="17"/>
        <v/>
      </c>
      <c r="R180" t="str">
        <f t="shared" si="21"/>
        <v/>
      </c>
      <c r="S180" cm="1">
        <f t="array" ref="S180">IF(M180="Control",INDEX(IC!A:A,1+BIN2DEC(MID($B180,21,4))),"")</f>
        <v>1</v>
      </c>
      <c r="T180" cm="1">
        <f t="array" ref="T180">IF(M180="Control",INDEX(EC!A:A,1+BIN2DEC(MID($B180,25,3))),"")</f>
        <v>6</v>
      </c>
      <c r="U180" cm="1">
        <f t="array" ref="U180">IF(M180="Control",INDEX(SR!A:A,1+BIN2DEC(MID($B180,28,2))),"")</f>
        <v>3</v>
      </c>
    </row>
    <row r="181" spans="1:30" s="9" customFormat="1" ht="15.75" thickBot="1" x14ac:dyDescent="0.3">
      <c r="A181" s="7" t="str">
        <f t="shared" si="15"/>
        <v>0B3</v>
      </c>
      <c r="B181" s="8" t="s">
        <v>190</v>
      </c>
      <c r="C181" s="10"/>
      <c r="D181" s="10"/>
      <c r="E181" s="10"/>
      <c r="F181" s="30" t="str" cm="1">
        <f t="array" ref="F181">INDEX(Sources!A:A, 1 + BIN2DEC(LEFT($B181,5)))</f>
        <v>TMPA</v>
      </c>
      <c r="G181" s="30" t="str" cm="1">
        <f t="array" ref="G181">INDEX(Dest1!A:A,1+BIN2DEC(MID($B181,6,5)))</f>
        <v>AH</v>
      </c>
      <c r="H181" s="30" t="str" cm="1">
        <f t="array" ref="H181">INDEX(Source2!A:A,1+BIN2DEC(MID($B181,11,4)))</f>
        <v>--</v>
      </c>
      <c r="I181" s="26" cm="1">
        <f t="array" ref="I181">INDEX('D2'!A:A,1+BIN2DEC(MID($B181,16,2)))</f>
        <v>0</v>
      </c>
      <c r="J181" s="11">
        <f t="shared" si="18"/>
        <v>0</v>
      </c>
      <c r="K181" s="11">
        <f t="shared" si="19"/>
        <v>0</v>
      </c>
      <c r="L181" s="11">
        <f t="shared" si="20"/>
        <v>0</v>
      </c>
      <c r="M181" s="10" t="str" cm="1">
        <f t="array" ref="M181">INDEX(Types!A:A,1+BIN2DEC(MID($B181,20,2)))</f>
        <v>Control</v>
      </c>
      <c r="N181" s="10" t="str" cm="1">
        <f t="array" ref="N181">IF(M181="ALU",INDEX(ALUOps!A:A,1+BIN2DEC(MID($B181,22,5))),"")</f>
        <v/>
      </c>
      <c r="O181" s="10" t="str" cm="1">
        <f t="array" ref="O181">IF(M181="ALU",INDEX(TMP!A:A,1+BIN2DEC(MID($B181,27,2))),"")</f>
        <v/>
      </c>
      <c r="P181" s="11" t="str">
        <f t="shared" si="16"/>
        <v/>
      </c>
      <c r="Q181" s="9" t="str">
        <f t="shared" si="17"/>
        <v/>
      </c>
      <c r="R181" s="9" t="str">
        <f t="shared" si="21"/>
        <v/>
      </c>
      <c r="S181" s="9" cm="1">
        <f t="array" ref="S181">IF(M181="Control",INDEX(IC!A:A,1+BIN2DEC(MID($B181,21,4))),"")</f>
        <v>0</v>
      </c>
      <c r="T181" s="9" cm="1">
        <f t="array" ref="T181">IF(M181="Control",INDEX(EC!A:A,1+BIN2DEC(MID($B181,25,3))),"")</f>
        <v>0</v>
      </c>
      <c r="U181" s="9" cm="1">
        <f t="array" ref="U181">IF(M181="Control",INDEX(SR!A:A,1+BIN2DEC(MID($B181,28,2))),"")</f>
        <v>0</v>
      </c>
    </row>
    <row r="182" spans="1:30" x14ac:dyDescent="0.25">
      <c r="A182" s="4" t="str">
        <f t="shared" si="15"/>
        <v>0B4</v>
      </c>
      <c r="B182" s="2" t="s">
        <v>191</v>
      </c>
      <c r="C182" s="2" t="s">
        <v>192</v>
      </c>
      <c r="D182" s="2" t="s">
        <v>928</v>
      </c>
      <c r="E182" s="2" t="s">
        <v>462</v>
      </c>
      <c r="F182" s="27" t="str" cm="1">
        <f t="array" ref="F182">INDEX(Sources!A:A, 1 + BIN2DEC(LEFT($B182,5)))</f>
        <v>A</v>
      </c>
      <c r="G182" s="27" t="str" cm="1">
        <f t="array" ref="G182">INDEX(Dest1!A:A,1+BIN2DEC(MID($B182,6,5)))</f>
        <v>TMPA</v>
      </c>
      <c r="H182" s="27" t="str" cm="1">
        <f t="array" ref="H182">INDEX(Source2!A:A,1+BIN2DEC(MID($B182,11,4)))</f>
        <v>Q</v>
      </c>
      <c r="I182" s="23" t="str" cm="1">
        <f t="array" ref="I182">INDEX('D2'!A:A,1+BIN2DEC(MID($B182,16,2)))</f>
        <v>TMPB</v>
      </c>
      <c r="J182" s="6">
        <f t="shared" si="18"/>
        <v>0</v>
      </c>
      <c r="K182" s="6">
        <f t="shared" si="19"/>
        <v>0</v>
      </c>
      <c r="L182" s="6">
        <f t="shared" si="20"/>
        <v>0</v>
      </c>
      <c r="M182" s="3" t="str" cm="1">
        <f t="array" ref="M182">INDEX(Types!A:A,1+BIN2DEC(MID($B182,20,2)))</f>
        <v>Jump</v>
      </c>
      <c r="N182" s="3" t="str" cm="1">
        <f t="array" ref="N182">IF(M182="ALU",INDEX(ALUOps!A:A,1+BIN2DEC(MID($B182,22,5))),"")</f>
        <v/>
      </c>
      <c r="O182" s="3" t="str" cm="1">
        <f t="array" ref="O182">IF(M182="ALU",INDEX(TMP!A:A,1+BIN2DEC(MID($B182,27,2))),"")</f>
        <v/>
      </c>
      <c r="P182" s="6" t="str">
        <f t="shared" si="16"/>
        <v/>
      </c>
      <c r="Q182">
        <f t="shared" si="17"/>
        <v>8</v>
      </c>
      <c r="R182">
        <f t="shared" si="21"/>
        <v>2</v>
      </c>
      <c r="S182" t="str" cm="1">
        <f t="array" ref="S182">IF(M182="Control",INDEX(IC!A:A,1+BIN2DEC(MID($B182,21,4))),"")</f>
        <v/>
      </c>
      <c r="T182" t="str" cm="1">
        <f t="array" ref="T182">IF(M182="Control",INDEX(EC!A:A,1+BIN2DEC(MID($B182,25,3))),"")</f>
        <v/>
      </c>
      <c r="U182" t="str" cm="1">
        <f t="array" ref="U182">IF(M182="Control",INDEX(SR!A:A,1+BIN2DEC(MID($B182,28,2))),"")</f>
        <v/>
      </c>
      <c r="X182" t="s">
        <v>1012</v>
      </c>
      <c r="AD182" s="1" t="s">
        <v>193</v>
      </c>
    </row>
    <row r="183" spans="1:30" x14ac:dyDescent="0.25">
      <c r="A183" s="4" t="str">
        <f t="shared" si="15"/>
        <v>0B5</v>
      </c>
      <c r="B183" s="2" t="s">
        <v>8</v>
      </c>
      <c r="C183" s="3"/>
      <c r="D183" s="3"/>
      <c r="E183" s="3"/>
      <c r="F183" s="27" t="str" cm="1">
        <f t="array" ref="F183">INDEX(Sources!A:A, 1 + BIN2DEC(LEFT($B183,5)))</f>
        <v>Q</v>
      </c>
      <c r="G183" s="27" t="str" cm="1">
        <f t="array" ref="G183">INDEX(Dest1!A:A,1+BIN2DEC(MID($B183,6,5)))</f>
        <v>UNK9</v>
      </c>
      <c r="H183" s="27" t="str" cm="1">
        <f t="array" ref="H183">INDEX(Source2!A:A,1+BIN2DEC(MID($B183,11,4)))</f>
        <v>--</v>
      </c>
      <c r="I183" s="23" cm="1">
        <f t="array" ref="I183">INDEX('D2'!A:A,1+BIN2DEC(MID($B183,16,2)))</f>
        <v>0</v>
      </c>
      <c r="J183" s="6">
        <f t="shared" si="18"/>
        <v>0</v>
      </c>
      <c r="K183" s="6">
        <f t="shared" si="19"/>
        <v>0</v>
      </c>
      <c r="L183" s="6">
        <f t="shared" si="20"/>
        <v>0</v>
      </c>
      <c r="M183" s="3" t="str" cm="1">
        <f t="array" ref="M183">INDEX(Types!A:A,1+BIN2DEC(MID($B183,20,2)))</f>
        <v>Control</v>
      </c>
      <c r="N183" s="3" t="str" cm="1">
        <f t="array" ref="N183">IF(M183="ALU",INDEX(ALUOps!A:A,1+BIN2DEC(MID($B183,22,5))),"")</f>
        <v/>
      </c>
      <c r="O183" s="3" t="str" cm="1">
        <f t="array" ref="O183">IF(M183="ALU",INDEX(TMP!A:A,1+BIN2DEC(MID($B183,27,2))),"")</f>
        <v/>
      </c>
      <c r="P183" s="6" t="str">
        <f t="shared" si="16"/>
        <v/>
      </c>
      <c r="Q183" t="str">
        <f t="shared" si="17"/>
        <v/>
      </c>
      <c r="R183" t="str">
        <f t="shared" si="21"/>
        <v/>
      </c>
      <c r="S183" cm="1">
        <f t="array" ref="S183">IF(M183="Control",INDEX(IC!A:A,1+BIN2DEC(MID($B183,21,4))),"")</f>
        <v>0</v>
      </c>
      <c r="T183" cm="1">
        <f t="array" ref="T183">IF(M183="Control",INDEX(EC!A:A,1+BIN2DEC(MID($B183,25,3))),"")</f>
        <v>0</v>
      </c>
      <c r="U183" cm="1">
        <f t="array" ref="U183">IF(M183="Control",INDEX(SR!A:A,1+BIN2DEC(MID($B183,28,2))),"")</f>
        <v>0</v>
      </c>
    </row>
    <row r="184" spans="1:30" x14ac:dyDescent="0.25">
      <c r="A184" s="4" t="str">
        <f t="shared" si="15"/>
        <v>0B6</v>
      </c>
      <c r="B184" s="2" t="s">
        <v>194</v>
      </c>
      <c r="C184" s="3"/>
      <c r="D184" s="3"/>
      <c r="E184" s="3"/>
      <c r="F184" s="27" t="str" cm="1">
        <f t="array" ref="F184">INDEX(Sources!A:A, 1 + BIN2DEC(LEFT($B184,5)))</f>
        <v>--</v>
      </c>
      <c r="G184" s="27" t="str" cm="1">
        <f t="array" ref="G184">INDEX(Dest1!A:A,1+BIN2DEC(MID($B184,6,5)))</f>
        <v>--</v>
      </c>
      <c r="H184" s="27" t="str" cm="1">
        <f t="array" ref="H184">INDEX(Source2!A:A,1+BIN2DEC(MID($B184,11,4)))</f>
        <v>--</v>
      </c>
      <c r="I184" s="23" cm="1">
        <f t="array" ref="I184">INDEX('D2'!A:A,1+BIN2DEC(MID($B184,16,2)))</f>
        <v>0</v>
      </c>
      <c r="J184" s="6">
        <f t="shared" si="18"/>
        <v>0</v>
      </c>
      <c r="K184" s="6">
        <f t="shared" si="19"/>
        <v>0</v>
      </c>
      <c r="L184" s="6">
        <f t="shared" si="20"/>
        <v>1</v>
      </c>
      <c r="M184" s="3" t="str" cm="1">
        <f t="array" ref="M184">INDEX(Types!A:A,1+BIN2DEC(MID($B184,20,2)))</f>
        <v>ALU</v>
      </c>
      <c r="N184" s="3" cm="1">
        <f t="array" ref="N184">IF(M184="ALU",INDEX(ALUOps!A:A,1+BIN2DEC(MID($B184,22,5))),"")</f>
        <v>27</v>
      </c>
      <c r="O184" s="3" cm="1">
        <f t="array" ref="O184">IF(M184="ALU",INDEX(TMP!A:A,1+BIN2DEC(MID($B184,27,2))),"")</f>
        <v>3</v>
      </c>
      <c r="P184" s="6">
        <f t="shared" si="16"/>
        <v>1</v>
      </c>
      <c r="Q184" t="str">
        <f t="shared" si="17"/>
        <v/>
      </c>
      <c r="R184" t="str">
        <f t="shared" si="21"/>
        <v/>
      </c>
      <c r="S184" t="str" cm="1">
        <f t="array" ref="S184">IF(M184="Control",INDEX(IC!A:A,1+BIN2DEC(MID($B184,21,4))),"")</f>
        <v/>
      </c>
      <c r="T184" t="str" cm="1">
        <f t="array" ref="T184">IF(M184="Control",INDEX(EC!A:A,1+BIN2DEC(MID($B184,25,3))),"")</f>
        <v/>
      </c>
      <c r="U184" t="str" cm="1">
        <f t="array" ref="U184">IF(M184="Control",INDEX(SR!A:A,1+BIN2DEC(MID($B184,28,2))),"")</f>
        <v/>
      </c>
    </row>
    <row r="185" spans="1:30" s="9" customFormat="1" ht="15.75" thickBot="1" x14ac:dyDescent="0.3">
      <c r="A185" s="7" t="str">
        <f t="shared" si="15"/>
        <v>0B7</v>
      </c>
      <c r="B185" s="8" t="s">
        <v>73</v>
      </c>
      <c r="C185" s="10"/>
      <c r="D185" s="10"/>
      <c r="E185" s="10"/>
      <c r="F185" s="30" t="str" cm="1">
        <f t="array" ref="F185">INDEX(Sources!A:A, 1 + BIN2DEC(LEFT($B185,5)))</f>
        <v>SIGMA</v>
      </c>
      <c r="G185" s="30" t="str" cm="1">
        <f t="array" ref="G185">INDEX(Dest1!A:A,1+BIN2DEC(MID($B185,6,5)))</f>
        <v>UNK24</v>
      </c>
      <c r="H185" s="30" t="str" cm="1">
        <f t="array" ref="H185">INDEX(Source2!A:A,1+BIN2DEC(MID($B185,11,4)))</f>
        <v>--</v>
      </c>
      <c r="I185" s="26" cm="1">
        <f t="array" ref="I185">INDEX('D2'!A:A,1+BIN2DEC(MID($B185,16,2)))</f>
        <v>0</v>
      </c>
      <c r="J185" s="11">
        <f t="shared" si="18"/>
        <v>0</v>
      </c>
      <c r="K185" s="11">
        <f t="shared" si="19"/>
        <v>1</v>
      </c>
      <c r="L185" s="11">
        <f t="shared" si="20"/>
        <v>0</v>
      </c>
      <c r="M185" s="10" t="str" cm="1">
        <f t="array" ref="M185">INDEX(Types!A:A,1+BIN2DEC(MID($B185,20,2)))</f>
        <v>Control</v>
      </c>
      <c r="N185" s="10" t="str" cm="1">
        <f t="array" ref="N185">IF(M185="ALU",INDEX(ALUOps!A:A,1+BIN2DEC(MID($B185,22,5))),"")</f>
        <v/>
      </c>
      <c r="O185" s="10" t="str" cm="1">
        <f t="array" ref="O185">IF(M185="ALU",INDEX(TMP!A:A,1+BIN2DEC(MID($B185,27,2))),"")</f>
        <v/>
      </c>
      <c r="P185" s="11" t="str">
        <f t="shared" si="16"/>
        <v/>
      </c>
      <c r="Q185" s="9" t="str">
        <f t="shared" si="17"/>
        <v/>
      </c>
      <c r="R185" s="9" t="str">
        <f t="shared" si="21"/>
        <v/>
      </c>
      <c r="S185" s="9" cm="1">
        <f t="array" ref="S185">IF(M185="Control",INDEX(IC!A:A,1+BIN2DEC(MID($B185,21,4))),"")</f>
        <v>0</v>
      </c>
      <c r="T185" s="9" cm="1">
        <f t="array" ref="T185">IF(M185="Control",INDEX(EC!A:A,1+BIN2DEC(MID($B185,25,3))),"")</f>
        <v>0</v>
      </c>
      <c r="U185" s="9" cm="1">
        <f t="array" ref="U185">IF(M185="Control",INDEX(SR!A:A,1+BIN2DEC(MID($B185,28,2))),"")</f>
        <v>0</v>
      </c>
    </row>
    <row r="186" spans="1:30" x14ac:dyDescent="0.25">
      <c r="A186" s="4" t="str">
        <f t="shared" si="15"/>
        <v>0B8</v>
      </c>
      <c r="B186" s="2" t="s">
        <v>195</v>
      </c>
      <c r="C186" s="2" t="s">
        <v>196</v>
      </c>
      <c r="D186" s="2" t="s">
        <v>930</v>
      </c>
      <c r="E186" s="2" t="s">
        <v>462</v>
      </c>
      <c r="F186" s="27" t="str" cm="1">
        <f t="array" ref="F186">INDEX(Sources!A:A, 1 + BIN2DEC(LEFT($B186,5)))</f>
        <v>UNK23</v>
      </c>
      <c r="G186" s="27" t="str" cm="1">
        <f t="array" ref="G186">INDEX(Dest1!A:A,1+BIN2DEC(MID($B186,6,5)))</f>
        <v>UNK17</v>
      </c>
      <c r="H186" s="27" t="str" cm="1">
        <f t="array" ref="H186">INDEX(Source2!A:A,1+BIN2DEC(MID($B186,11,4)))</f>
        <v>--</v>
      </c>
      <c r="I186" s="23" cm="1">
        <f t="array" ref="I186">INDEX('D2'!A:A,1+BIN2DEC(MID($B186,16,2)))</f>
        <v>0</v>
      </c>
      <c r="J186" s="6">
        <f t="shared" si="18"/>
        <v>0</v>
      </c>
      <c r="K186" s="6">
        <f t="shared" si="19"/>
        <v>0</v>
      </c>
      <c r="L186" s="6">
        <f t="shared" si="20"/>
        <v>0</v>
      </c>
      <c r="M186" s="3" t="str" cm="1">
        <f t="array" ref="M186">INDEX(Types!A:A,1+BIN2DEC(MID($B186,20,2)))</f>
        <v>ALU</v>
      </c>
      <c r="N186" s="3" cm="1">
        <f t="array" ref="N186">IF(M186="ALU",INDEX(ALUOps!A:A,1+BIN2DEC(MID($B186,22,5))),"")</f>
        <v>31</v>
      </c>
      <c r="O186" s="3" cm="1">
        <f t="array" ref="O186">IF(M186="ALU",INDEX(TMP!A:A,1+BIN2DEC(MID($B186,27,2))),"")</f>
        <v>1</v>
      </c>
      <c r="P186" s="6">
        <f t="shared" si="16"/>
        <v>1</v>
      </c>
      <c r="Q186" t="str">
        <f t="shared" si="17"/>
        <v/>
      </c>
      <c r="R186" t="str">
        <f t="shared" si="21"/>
        <v/>
      </c>
      <c r="S186" t="str" cm="1">
        <f t="array" ref="S186">IF(M186="Control",INDEX(IC!A:A,1+BIN2DEC(MID($B186,21,4))),"")</f>
        <v/>
      </c>
      <c r="T186" t="str" cm="1">
        <f t="array" ref="T186">IF(M186="Control",INDEX(EC!A:A,1+BIN2DEC(MID($B186,25,3))),"")</f>
        <v/>
      </c>
      <c r="U186" t="str" cm="1">
        <f t="array" ref="U186">IF(M186="Control",INDEX(SR!A:A,1+BIN2DEC(MID($B186,28,2))),"")</f>
        <v/>
      </c>
      <c r="X186" t="s">
        <v>1013</v>
      </c>
      <c r="AD186" s="1" t="s">
        <v>197</v>
      </c>
    </row>
    <row r="187" spans="1:30" x14ac:dyDescent="0.25">
      <c r="A187" s="4" t="str">
        <f t="shared" si="15"/>
        <v>0B9</v>
      </c>
      <c r="B187" s="2" t="s">
        <v>198</v>
      </c>
      <c r="C187" s="3"/>
      <c r="D187" s="3"/>
      <c r="E187" s="3"/>
      <c r="F187" s="27" t="str" cm="1">
        <f t="array" ref="F187">INDEX(Sources!A:A, 1 + BIN2DEC(LEFT($B187,5)))</f>
        <v>--</v>
      </c>
      <c r="G187" s="27" t="str" cm="1">
        <f t="array" ref="G187">INDEX(Dest1!A:A,1+BIN2DEC(MID($B187,6,5)))</f>
        <v>UNK26</v>
      </c>
      <c r="H187" s="27" t="str" cm="1">
        <f t="array" ref="H187">INDEX(Source2!A:A,1+BIN2DEC(MID($B187,11,4)))</f>
        <v>--</v>
      </c>
      <c r="I187" s="23" cm="1">
        <f t="array" ref="I187">INDEX('D2'!A:A,1+BIN2DEC(MID($B187,16,2)))</f>
        <v>0</v>
      </c>
      <c r="J187" s="6">
        <f t="shared" si="18"/>
        <v>0</v>
      </c>
      <c r="K187" s="6">
        <f t="shared" si="19"/>
        <v>0</v>
      </c>
      <c r="L187" s="6">
        <f t="shared" si="20"/>
        <v>0</v>
      </c>
      <c r="M187" s="3" t="str" cm="1">
        <f t="array" ref="M187">INDEX(Types!A:A,1+BIN2DEC(MID($B187,20,2)))</f>
        <v>Control</v>
      </c>
      <c r="N187" s="3" t="str" cm="1">
        <f t="array" ref="N187">IF(M187="ALU",INDEX(ALUOps!A:A,1+BIN2DEC(MID($B187,22,5))),"")</f>
        <v/>
      </c>
      <c r="O187" s="3" t="str" cm="1">
        <f t="array" ref="O187">IF(M187="ALU",INDEX(TMP!A:A,1+BIN2DEC(MID($B187,27,2))),"")</f>
        <v/>
      </c>
      <c r="P187" s="6" t="str">
        <f t="shared" si="16"/>
        <v/>
      </c>
      <c r="Q187" t="str">
        <f t="shared" si="17"/>
        <v/>
      </c>
      <c r="R187" t="str">
        <f t="shared" si="21"/>
        <v/>
      </c>
      <c r="S187" cm="1">
        <f t="array" ref="S187">IF(M187="Control",INDEX(IC!A:A,1+BIN2DEC(MID($B187,21,4))),"")</f>
        <v>0</v>
      </c>
      <c r="T187" cm="1">
        <f t="array" ref="T187">IF(M187="Control",INDEX(EC!A:A,1+BIN2DEC(MID($B187,25,3))),"")</f>
        <v>5</v>
      </c>
      <c r="U187" cm="1">
        <f t="array" ref="U187">IF(M187="Control",INDEX(SR!A:A,1+BIN2DEC(MID($B187,28,2))),"")</f>
        <v>3</v>
      </c>
    </row>
    <row r="188" spans="1:30" x14ac:dyDescent="0.25">
      <c r="A188" s="4" t="str">
        <f t="shared" si="15"/>
        <v>0BA</v>
      </c>
      <c r="B188" s="2" t="s">
        <v>199</v>
      </c>
      <c r="C188" s="3"/>
      <c r="D188" s="3"/>
      <c r="E188" s="3"/>
      <c r="F188" s="27" t="str" cm="1">
        <f t="array" ref="F188">INDEX(Sources!A:A, 1 + BIN2DEC(LEFT($B188,5)))</f>
        <v>OPR</v>
      </c>
      <c r="G188" s="27" t="str" cm="1">
        <f t="array" ref="G188">INDEX(Dest1!A:A,1+BIN2DEC(MID($B188,6,5)))</f>
        <v>OUT</v>
      </c>
      <c r="H188" s="27" t="str" cm="1">
        <f t="array" ref="H188">INDEX(Source2!A:A,1+BIN2DEC(MID($B188,11,4)))</f>
        <v>--</v>
      </c>
      <c r="I188" s="23" cm="1">
        <f t="array" ref="I188">INDEX('D2'!A:A,1+BIN2DEC(MID($B188,16,2)))</f>
        <v>0</v>
      </c>
      <c r="J188" s="6">
        <f t="shared" si="18"/>
        <v>0</v>
      </c>
      <c r="K188" s="6">
        <f t="shared" si="19"/>
        <v>0</v>
      </c>
      <c r="L188" s="6">
        <f t="shared" si="20"/>
        <v>1</v>
      </c>
      <c r="M188" s="3" t="str" cm="1">
        <f t="array" ref="M188">INDEX(Types!A:A,1+BIN2DEC(MID($B188,20,2)))</f>
        <v>Control</v>
      </c>
      <c r="N188" s="3" t="str" cm="1">
        <f t="array" ref="N188">IF(M188="ALU",INDEX(ALUOps!A:A,1+BIN2DEC(MID($B188,22,5))),"")</f>
        <v/>
      </c>
      <c r="O188" s="3" t="str" cm="1">
        <f t="array" ref="O188">IF(M188="ALU",INDEX(TMP!A:A,1+BIN2DEC(MID($B188,27,2))),"")</f>
        <v/>
      </c>
      <c r="P188" s="6" t="str">
        <f t="shared" si="16"/>
        <v/>
      </c>
      <c r="Q188" t="str">
        <f t="shared" si="17"/>
        <v/>
      </c>
      <c r="R188" t="str">
        <f t="shared" si="21"/>
        <v/>
      </c>
      <c r="S188" cm="1">
        <f t="array" ref="S188">IF(M188="Control",INDEX(IC!A:A,1+BIN2DEC(MID($B188,21,4))),"")</f>
        <v>0</v>
      </c>
      <c r="T188" cm="1">
        <f t="array" ref="T188">IF(M188="Control",INDEX(EC!A:A,1+BIN2DEC(MID($B188,25,3))),"")</f>
        <v>0</v>
      </c>
      <c r="U188" cm="1">
        <f t="array" ref="U188">IF(M188="Control",INDEX(SR!A:A,1+BIN2DEC(MID($B188,28,2))),"")</f>
        <v>0</v>
      </c>
    </row>
    <row r="189" spans="1:30" x14ac:dyDescent="0.25">
      <c r="A189" s="4" t="str">
        <f t="shared" si="15"/>
        <v>0BB</v>
      </c>
      <c r="B189" s="2" t="s">
        <v>159</v>
      </c>
      <c r="C189" s="3"/>
      <c r="D189" s="3"/>
      <c r="E189" s="3"/>
      <c r="F189" s="27" t="str" cm="1">
        <f t="array" ref="F189">INDEX(Sources!A:A, 1 + BIN2DEC(LEFT($B189,5)))</f>
        <v>SIGMA</v>
      </c>
      <c r="G189" s="27" t="str" cm="1">
        <f t="array" ref="G189">INDEX(Dest1!A:A,1+BIN2DEC(MID($B189,6,5)))</f>
        <v>--</v>
      </c>
      <c r="H189" s="27" t="str" cm="1">
        <f t="array" ref="H189">INDEX(Source2!A:A,1+BIN2DEC(MID($B189,11,4)))</f>
        <v>--</v>
      </c>
      <c r="I189" s="23" cm="1">
        <f t="array" ref="I189">INDEX('D2'!A:A,1+BIN2DEC(MID($B189,16,2)))</f>
        <v>0</v>
      </c>
      <c r="J189" s="6">
        <f t="shared" si="18"/>
        <v>0</v>
      </c>
      <c r="K189" s="6">
        <f t="shared" si="19"/>
        <v>0</v>
      </c>
      <c r="L189" s="6">
        <f t="shared" si="20"/>
        <v>0</v>
      </c>
      <c r="M189" s="3" t="str" cm="1">
        <f t="array" ref="M189">INDEX(Types!A:A,1+BIN2DEC(MID($B189,20,2)))</f>
        <v>Control</v>
      </c>
      <c r="N189" s="3" t="str" cm="1">
        <f t="array" ref="N189">IF(M189="ALU",INDEX(ALUOps!A:A,1+BIN2DEC(MID($B189,22,5))),"")</f>
        <v/>
      </c>
      <c r="O189" s="3" t="str" cm="1">
        <f t="array" ref="O189">IF(M189="ALU",INDEX(TMP!A:A,1+BIN2DEC(MID($B189,27,2))),"")</f>
        <v/>
      </c>
      <c r="P189" s="6" t="str">
        <f t="shared" si="16"/>
        <v/>
      </c>
      <c r="Q189" t="str">
        <f t="shared" si="17"/>
        <v/>
      </c>
      <c r="R189" t="str">
        <f t="shared" si="21"/>
        <v/>
      </c>
      <c r="S189" cm="1">
        <f t="array" ref="S189">IF(M189="Control",INDEX(IC!A:A,1+BIN2DEC(MID($B189,21,4))),"")</f>
        <v>0</v>
      </c>
      <c r="T189" cm="1">
        <f t="array" ref="T189">IF(M189="Control",INDEX(EC!A:A,1+BIN2DEC(MID($B189,25,3))),"")</f>
        <v>0</v>
      </c>
      <c r="U189" cm="1">
        <f t="array" ref="U189">IF(M189="Control",INDEX(SR!A:A,1+BIN2DEC(MID($B189,28,2))),"")</f>
        <v>0</v>
      </c>
    </row>
    <row r="190" spans="1:30" x14ac:dyDescent="0.25">
      <c r="A190" s="4" t="str">
        <f t="shared" si="15"/>
        <v>0BC</v>
      </c>
      <c r="B190" s="2" t="s">
        <v>154</v>
      </c>
      <c r="C190" s="2" t="s">
        <v>200</v>
      </c>
      <c r="D190" s="2" t="s">
        <v>932</v>
      </c>
      <c r="E190" s="2" t="s">
        <v>462</v>
      </c>
      <c r="F190" s="27" t="str" cm="1">
        <f t="array" ref="F190">INDEX(Sources!A:A, 1 + BIN2DEC(LEFT($B190,5)))</f>
        <v>C</v>
      </c>
      <c r="G190" s="27" t="str" cm="1">
        <f t="array" ref="G190">INDEX(Dest1!A:A,1+BIN2DEC(MID($B190,6,5)))</f>
        <v>LC</v>
      </c>
      <c r="H190" s="27" t="str" cm="1">
        <f t="array" ref="H190">INDEX(Source2!A:A,1+BIN2DEC(MID($B190,11,4)))</f>
        <v>6</v>
      </c>
      <c r="I190" s="23" cm="1">
        <f t="array" ref="I190">INDEX('D2'!A:A,1+BIN2DEC(MID($B190,16,2)))</f>
        <v>0</v>
      </c>
      <c r="J190" s="6">
        <f t="shared" si="18"/>
        <v>0</v>
      </c>
      <c r="K190" s="6">
        <f t="shared" si="19"/>
        <v>0</v>
      </c>
      <c r="L190" s="6">
        <f t="shared" si="20"/>
        <v>0</v>
      </c>
      <c r="M190" s="3" t="str" cm="1">
        <f t="array" ref="M190">INDEX(Types!A:A,1+BIN2DEC(MID($B190,20,2)))</f>
        <v>ALU</v>
      </c>
      <c r="N190" s="3" cm="1">
        <f t="array" ref="N190">IF(M190="ALU",INDEX(ALUOps!A:A,1+BIN2DEC(MID($B190,22,5))),"")</f>
        <v>0</v>
      </c>
      <c r="O190" s="3" cm="1">
        <f t="array" ref="O190">IF(M190="ALU",INDEX(TMP!A:A,1+BIN2DEC(MID($B190,27,2))),"")</f>
        <v>2</v>
      </c>
      <c r="P190" s="6">
        <f t="shared" si="16"/>
        <v>1</v>
      </c>
      <c r="Q190" t="str">
        <f t="shared" si="17"/>
        <v/>
      </c>
      <c r="R190" t="str">
        <f t="shared" si="21"/>
        <v/>
      </c>
      <c r="S190" t="str" cm="1">
        <f t="array" ref="S190">IF(M190="Control",INDEX(IC!A:A,1+BIN2DEC(MID($B190,21,4))),"")</f>
        <v/>
      </c>
      <c r="T190" t="str" cm="1">
        <f t="array" ref="T190">IF(M190="Control",INDEX(EC!A:A,1+BIN2DEC(MID($B190,25,3))),"")</f>
        <v/>
      </c>
      <c r="U190" t="str" cm="1">
        <f t="array" ref="U190">IF(M190="Control",INDEX(SR!A:A,1+BIN2DEC(MID($B190,28,2))),"")</f>
        <v/>
      </c>
      <c r="AD190" s="1" t="s">
        <v>197</v>
      </c>
    </row>
    <row r="191" spans="1:30" x14ac:dyDescent="0.25">
      <c r="A191" s="4" t="str">
        <f t="shared" si="15"/>
        <v>0BD</v>
      </c>
      <c r="B191" s="2" t="s">
        <v>174</v>
      </c>
      <c r="C191" s="3"/>
      <c r="D191" s="3"/>
      <c r="E191" s="3"/>
      <c r="F191" s="27" t="str" cm="1">
        <f t="array" ref="F191">INDEX(Sources!A:A, 1 + BIN2DEC(LEFT($B191,5)))</f>
        <v>UNK23</v>
      </c>
      <c r="G191" s="27" t="str" cm="1">
        <f t="array" ref="G191">INDEX(Dest1!A:A,1+BIN2DEC(MID($B191,6,5)))</f>
        <v>UNK17</v>
      </c>
      <c r="H191" s="27" t="str" cm="1">
        <f t="array" ref="H191">INDEX(Source2!A:A,1+BIN2DEC(MID($B191,11,4)))</f>
        <v>11</v>
      </c>
      <c r="I191" s="23" cm="1">
        <f t="array" ref="I191">INDEX('D2'!A:A,1+BIN2DEC(MID($B191,16,2)))</f>
        <v>0</v>
      </c>
      <c r="J191" s="6">
        <f t="shared" si="18"/>
        <v>0</v>
      </c>
      <c r="K191" s="6">
        <f t="shared" si="19"/>
        <v>0</v>
      </c>
      <c r="L191" s="6">
        <f t="shared" si="20"/>
        <v>0</v>
      </c>
      <c r="M191" s="3" t="str" cm="1">
        <f t="array" ref="M191">INDEX(Types!A:A,1+BIN2DEC(MID($B191,20,2)))</f>
        <v>ALU</v>
      </c>
      <c r="N191" s="3" cm="1">
        <f t="array" ref="N191">IF(M191="ALU",INDEX(ALUOps!A:A,1+BIN2DEC(MID($B191,22,5))),"")</f>
        <v>31</v>
      </c>
      <c r="O191" s="3" cm="1">
        <f t="array" ref="O191">IF(M191="ALU",INDEX(TMP!A:A,1+BIN2DEC(MID($B191,27,2))),"")</f>
        <v>1</v>
      </c>
      <c r="P191" s="6">
        <f t="shared" si="16"/>
        <v>1</v>
      </c>
      <c r="Q191" t="str">
        <f t="shared" si="17"/>
        <v/>
      </c>
      <c r="R191" t="str">
        <f t="shared" si="21"/>
        <v/>
      </c>
      <c r="S191" t="str" cm="1">
        <f t="array" ref="S191">IF(M191="Control",INDEX(IC!A:A,1+BIN2DEC(MID($B191,21,4))),"")</f>
        <v/>
      </c>
      <c r="T191" t="str" cm="1">
        <f t="array" ref="T191">IF(M191="Control",INDEX(EC!A:A,1+BIN2DEC(MID($B191,25,3))),"")</f>
        <v/>
      </c>
      <c r="U191" t="str" cm="1">
        <f t="array" ref="U191">IF(M191="Control",INDEX(SR!A:A,1+BIN2DEC(MID($B191,28,2))),"")</f>
        <v/>
      </c>
    </row>
    <row r="192" spans="1:30" x14ac:dyDescent="0.25">
      <c r="A192" s="4" t="str">
        <f t="shared" si="15"/>
        <v>0BE</v>
      </c>
      <c r="B192" s="2" t="s">
        <v>201</v>
      </c>
      <c r="C192" s="3"/>
      <c r="D192" s="3"/>
      <c r="E192" s="3"/>
      <c r="F192" s="27" t="str" cm="1">
        <f t="array" ref="F192">INDEX(Sources!A:A, 1 + BIN2DEC(LEFT($B192,5)))</f>
        <v>OPR</v>
      </c>
      <c r="G192" s="27" t="str" cm="1">
        <f t="array" ref="G192">INDEX(Dest1!A:A,1+BIN2DEC(MID($B192,6,5)))</f>
        <v>OUT</v>
      </c>
      <c r="H192" s="27" t="str" cm="1">
        <f t="array" ref="H192">INDEX(Source2!A:A,1+BIN2DEC(MID($B192,11,4)))</f>
        <v>--</v>
      </c>
      <c r="I192" s="23" cm="1">
        <f t="array" ref="I192">INDEX('D2'!A:A,1+BIN2DEC(MID($B192,16,2)))</f>
        <v>0</v>
      </c>
      <c r="J192" s="6">
        <f t="shared" si="18"/>
        <v>0</v>
      </c>
      <c r="K192" s="6">
        <f t="shared" si="19"/>
        <v>0</v>
      </c>
      <c r="L192" s="6">
        <f t="shared" si="20"/>
        <v>0</v>
      </c>
      <c r="M192" s="3" t="str" cm="1">
        <f t="array" ref="M192">INDEX(Types!A:A,1+BIN2DEC(MID($B192,20,2)))</f>
        <v>Jump</v>
      </c>
      <c r="N192" s="3" t="str" cm="1">
        <f t="array" ref="N192">IF(M192="ALU",INDEX(ALUOps!A:A,1+BIN2DEC(MID($B192,22,5))),"")</f>
        <v/>
      </c>
      <c r="O192" s="3" t="str" cm="1">
        <f t="array" ref="O192">IF(M192="ALU",INDEX(TMP!A:A,1+BIN2DEC(MID($B192,27,2))),"")</f>
        <v/>
      </c>
      <c r="P192" s="6" t="str">
        <f t="shared" si="16"/>
        <v/>
      </c>
      <c r="Q192">
        <f t="shared" si="17"/>
        <v>13</v>
      </c>
      <c r="R192">
        <f t="shared" si="21"/>
        <v>5</v>
      </c>
      <c r="S192" t="str" cm="1">
        <f t="array" ref="S192">IF(M192="Control",INDEX(IC!A:A,1+BIN2DEC(MID($B192,21,4))),"")</f>
        <v/>
      </c>
      <c r="T192" t="str" cm="1">
        <f t="array" ref="T192">IF(M192="Control",INDEX(EC!A:A,1+BIN2DEC(MID($B192,25,3))),"")</f>
        <v/>
      </c>
      <c r="U192" t="str" cm="1">
        <f t="array" ref="U192">IF(M192="Control",INDEX(SR!A:A,1+BIN2DEC(MID($B192,28,2))),"")</f>
        <v/>
      </c>
    </row>
    <row r="193" spans="1:30" x14ac:dyDescent="0.25">
      <c r="A193" s="4" t="str">
        <f t="shared" si="15"/>
        <v>0BF</v>
      </c>
      <c r="B193" s="2" t="s">
        <v>202</v>
      </c>
      <c r="C193" s="3"/>
      <c r="D193" s="3"/>
      <c r="E193" s="3"/>
      <c r="F193" s="27" t="str" cm="1">
        <f t="array" ref="F193">INDEX(Sources!A:A, 1 + BIN2DEC(LEFT($B193,5)))</f>
        <v>--</v>
      </c>
      <c r="G193" s="27" t="str" cm="1">
        <f t="array" ref="G193">INDEX(Dest1!A:A,1+BIN2DEC(MID($B193,6,5)))</f>
        <v>UNK26</v>
      </c>
      <c r="H193" s="27" t="str" cm="1">
        <f t="array" ref="H193">INDEX(Source2!A:A,1+BIN2DEC(MID($B193,11,4)))</f>
        <v>--</v>
      </c>
      <c r="I193" s="23" cm="1">
        <f t="array" ref="I193">INDEX('D2'!A:A,1+BIN2DEC(MID($B193,16,2)))</f>
        <v>0</v>
      </c>
      <c r="J193" s="6">
        <f t="shared" si="18"/>
        <v>0</v>
      </c>
      <c r="K193" s="6">
        <f t="shared" si="19"/>
        <v>0</v>
      </c>
      <c r="L193" s="6">
        <f t="shared" si="20"/>
        <v>0</v>
      </c>
      <c r="M193" s="3" t="str" cm="1">
        <f t="array" ref="M193">INDEX(Types!A:A,1+BIN2DEC(MID($B193,20,2)))</f>
        <v>Control</v>
      </c>
      <c r="N193" s="3" t="str" cm="1">
        <f t="array" ref="N193">IF(M193="ALU",INDEX(ALUOps!A:A,1+BIN2DEC(MID($B193,22,5))),"")</f>
        <v/>
      </c>
      <c r="O193" s="3" t="str" cm="1">
        <f t="array" ref="O193">IF(M193="ALU",INDEX(TMP!A:A,1+BIN2DEC(MID($B193,27,2))),"")</f>
        <v/>
      </c>
      <c r="P193" s="6" t="str">
        <f t="shared" si="16"/>
        <v/>
      </c>
      <c r="Q193" t="str">
        <f t="shared" si="17"/>
        <v/>
      </c>
      <c r="R193" t="str">
        <f t="shared" si="21"/>
        <v/>
      </c>
      <c r="S193" cm="1">
        <f t="array" ref="S193">IF(M193="Control",INDEX(IC!A:A,1+BIN2DEC(MID($B193,21,4))),"")</f>
        <v>0</v>
      </c>
      <c r="T193" cm="1">
        <f t="array" ref="T193">IF(M193="Control",INDEX(EC!A:A,1+BIN2DEC(MID($B193,25,3))),"")</f>
        <v>5</v>
      </c>
      <c r="U193" cm="1">
        <f t="array" ref="U193">IF(M193="Control",INDEX(SR!A:A,1+BIN2DEC(MID($B193,28,2))),"")</f>
        <v>3</v>
      </c>
    </row>
    <row r="194" spans="1:30" x14ac:dyDescent="0.25">
      <c r="A194" s="4" t="str">
        <f t="shared" si="15"/>
        <v>0C0</v>
      </c>
      <c r="B194" s="2" t="s">
        <v>203</v>
      </c>
      <c r="C194" s="2" t="s">
        <v>204</v>
      </c>
      <c r="D194" s="2" t="s">
        <v>932</v>
      </c>
      <c r="E194" s="2" t="s">
        <v>929</v>
      </c>
      <c r="F194" s="27" t="str" cm="1">
        <f t="array" ref="F194">INDEX(Sources!A:A, 1 + BIN2DEC(LEFT($B194,5)))</f>
        <v>SIGMA</v>
      </c>
      <c r="G194" s="27" t="str" cm="1">
        <f t="array" ref="G194">INDEX(Dest1!A:A,1+BIN2DEC(MID($B194,6,5)))</f>
        <v>--</v>
      </c>
      <c r="H194" s="27" t="str" cm="1">
        <f t="array" ref="H194">INDEX(Source2!A:A,1+BIN2DEC(MID($B194,11,4)))</f>
        <v>--</v>
      </c>
      <c r="I194" s="23" cm="1">
        <f t="array" ref="I194">INDEX('D2'!A:A,1+BIN2DEC(MID($B194,16,2)))</f>
        <v>0</v>
      </c>
      <c r="J194" s="6">
        <f t="shared" si="18"/>
        <v>0</v>
      </c>
      <c r="K194" s="6">
        <f t="shared" si="19"/>
        <v>0</v>
      </c>
      <c r="L194" s="6">
        <f t="shared" si="20"/>
        <v>0</v>
      </c>
      <c r="M194" s="3" t="str" cm="1">
        <f t="array" ref="M194">INDEX(Types!A:A,1+BIN2DEC(MID($B194,20,2)))</f>
        <v>Jump</v>
      </c>
      <c r="N194" s="3" t="str" cm="1">
        <f t="array" ref="N194">IF(M194="ALU",INDEX(ALUOps!A:A,1+BIN2DEC(MID($B194,22,5))),"")</f>
        <v/>
      </c>
      <c r="O194" s="3" t="str" cm="1">
        <f t="array" ref="O194">IF(M194="ALU",INDEX(TMP!A:A,1+BIN2DEC(MID($B194,27,2))),"")</f>
        <v/>
      </c>
      <c r="P194" s="6" t="str">
        <f t="shared" si="16"/>
        <v/>
      </c>
      <c r="Q194">
        <f t="shared" si="17"/>
        <v>3</v>
      </c>
      <c r="R194">
        <f t="shared" si="21"/>
        <v>3</v>
      </c>
      <c r="S194" t="str" cm="1">
        <f t="array" ref="S194">IF(M194="Control",INDEX(IC!A:A,1+BIN2DEC(MID($B194,21,4))),"")</f>
        <v/>
      </c>
      <c r="T194" t="str" cm="1">
        <f t="array" ref="T194">IF(M194="Control",INDEX(EC!A:A,1+BIN2DEC(MID($B194,25,3))),"")</f>
        <v/>
      </c>
      <c r="U194" t="str" cm="1">
        <f t="array" ref="U194">IF(M194="Control",INDEX(SR!A:A,1+BIN2DEC(MID($B194,28,2))),"")</f>
        <v/>
      </c>
      <c r="AD194" s="1" t="s">
        <v>197</v>
      </c>
    </row>
    <row r="195" spans="1:30" x14ac:dyDescent="0.25">
      <c r="A195" s="4" t="str">
        <f t="shared" ref="A195:A258" si="22">DEC2HEX(ROW(A194)-ROW($A$1),3)</f>
        <v>0C1</v>
      </c>
      <c r="B195" s="2" t="s">
        <v>163</v>
      </c>
      <c r="C195" s="3"/>
      <c r="D195" s="3"/>
      <c r="E195" s="3"/>
      <c r="F195" s="27" t="str" cm="1">
        <f t="array" ref="F195">INDEX(Sources!A:A, 1 + BIN2DEC(LEFT($B195,5)))</f>
        <v>LC</v>
      </c>
      <c r="G195" s="27" t="str" cm="1">
        <f t="array" ref="G195">INDEX(Dest1!A:A,1+BIN2DEC(MID($B195,6,5)))</f>
        <v>C</v>
      </c>
      <c r="H195" s="27" t="str" cm="1">
        <f t="array" ref="H195">INDEX(Source2!A:A,1+BIN2DEC(MID($B195,11,4)))</f>
        <v>--</v>
      </c>
      <c r="I195" s="23" cm="1">
        <f t="array" ref="I195">INDEX('D2'!A:A,1+BIN2DEC(MID($B195,16,2)))</f>
        <v>0</v>
      </c>
      <c r="J195" s="6">
        <f t="shared" si="18"/>
        <v>0</v>
      </c>
      <c r="K195" s="6">
        <f t="shared" ref="K195:K258" si="23">BIN2DEC(MID($B195,18,1))</f>
        <v>0</v>
      </c>
      <c r="L195" s="6">
        <f t="shared" ref="L195:L258" si="24">BIN2DEC(MID($B195,19,1))</f>
        <v>0</v>
      </c>
      <c r="M195" s="3" t="str" cm="1">
        <f t="array" ref="M195">INDEX(Types!A:A,1+BIN2DEC(MID($B195,20,2)))</f>
        <v>Control</v>
      </c>
      <c r="N195" s="3" t="str" cm="1">
        <f t="array" ref="N195">IF(M195="ALU",INDEX(ALUOps!A:A,1+BIN2DEC(MID($B195,22,5))),"")</f>
        <v/>
      </c>
      <c r="O195" s="3" t="str" cm="1">
        <f t="array" ref="O195">IF(M195="ALU",INDEX(TMP!A:A,1+BIN2DEC(MID($B195,27,2))),"")</f>
        <v/>
      </c>
      <c r="P195" s="6" t="str">
        <f t="shared" ref="P195:P258" si="25">IF(M195="ALU",BIN2DEC(MID($B195,29,1)),"")</f>
        <v/>
      </c>
      <c r="Q195" t="str">
        <f t="shared" ref="Q195:Q258" si="26">IF(M195="Jump",BIN2DEC(MID($B195,22,4)),"")</f>
        <v/>
      </c>
      <c r="R195" t="str">
        <f t="shared" si="21"/>
        <v/>
      </c>
      <c r="S195" cm="1">
        <f t="array" ref="S195">IF(M195="Control",INDEX(IC!A:A,1+BIN2DEC(MID($B195,21,4))),"")</f>
        <v>1</v>
      </c>
      <c r="T195" cm="1">
        <f t="array" ref="T195">IF(M195="Control",INDEX(EC!A:A,1+BIN2DEC(MID($B195,25,3))),"")</f>
        <v>5</v>
      </c>
      <c r="U195" cm="1">
        <f t="array" ref="U195">IF(M195="Control",INDEX(SR!A:A,1+BIN2DEC(MID($B195,28,2))),"")</f>
        <v>3</v>
      </c>
    </row>
    <row r="196" spans="1:30" s="15" customFormat="1" x14ac:dyDescent="0.25">
      <c r="A196" s="12" t="str">
        <f t="shared" si="22"/>
        <v>0C2</v>
      </c>
      <c r="B196" s="13" t="s">
        <v>4</v>
      </c>
      <c r="C196" s="14"/>
      <c r="D196" s="14"/>
      <c r="E196" s="14"/>
      <c r="F196" s="28"/>
      <c r="G196" s="28" t="str" cm="1">
        <f t="array" ref="G196">INDEX(Dest1!A:A,1+BIN2DEC(MID($B196,6,5)))</f>
        <v>--</v>
      </c>
      <c r="H196" s="28" t="str" cm="1">
        <f t="array" ref="H196">INDEX(Source2!A:A,1+BIN2DEC(MID($B196,11,4)))</f>
        <v>--</v>
      </c>
      <c r="I196" s="24"/>
      <c r="J196" s="16"/>
      <c r="K196" s="16"/>
      <c r="L196" s="16"/>
      <c r="M196" s="14"/>
      <c r="N196" s="14" t="str" cm="1">
        <f t="array" ref="N196">IF(M196="ALU",INDEX(ALUOps!A:A,1+BIN2DEC(MID($B196,22,5))),"")</f>
        <v/>
      </c>
      <c r="O196" s="14" t="str" cm="1">
        <f t="array" ref="O196">IF(M196="ALU",INDEX(TMP!A:A,1+BIN2DEC(MID($B196,27,2))),"")</f>
        <v/>
      </c>
      <c r="P196" s="16" t="str">
        <f t="shared" si="25"/>
        <v/>
      </c>
      <c r="Q196" s="15" t="str">
        <f t="shared" si="26"/>
        <v/>
      </c>
      <c r="R196" s="15" t="str">
        <f t="shared" si="21"/>
        <v/>
      </c>
      <c r="S196" s="15" t="str" cm="1">
        <f t="array" ref="S196">IF(M196="Control",INDEX(IC!A:A,1+BIN2DEC(MID($B196,21,4))),"")</f>
        <v/>
      </c>
      <c r="T196" s="15" t="str" cm="1">
        <f t="array" ref="T196">IF(M196="Control",INDEX(EC!A:A,1+BIN2DEC(MID($B196,25,3))),"")</f>
        <v/>
      </c>
      <c r="U196" s="15" t="str" cm="1">
        <f t="array" ref="U196">IF(M196="Control",INDEX(SR!A:A,1+BIN2DEC(MID($B196,28,2))),"")</f>
        <v/>
      </c>
    </row>
    <row r="197" spans="1:30" s="20" customFormat="1" ht="15.75" thickBot="1" x14ac:dyDescent="0.3">
      <c r="A197" s="17" t="str">
        <f t="shared" si="22"/>
        <v>0C3</v>
      </c>
      <c r="B197" s="18" t="s">
        <v>4</v>
      </c>
      <c r="C197" s="19"/>
      <c r="D197" s="19"/>
      <c r="E197" s="19"/>
      <c r="F197" s="29"/>
      <c r="G197" s="29" t="str" cm="1">
        <f t="array" ref="G197">INDEX(Dest1!A:A,1+BIN2DEC(MID($B197,6,5)))</f>
        <v>--</v>
      </c>
      <c r="H197" s="29" t="str" cm="1">
        <f t="array" ref="H197">INDEX(Source2!A:A,1+BIN2DEC(MID($B197,11,4)))</f>
        <v>--</v>
      </c>
      <c r="I197" s="25"/>
      <c r="J197" s="21"/>
      <c r="K197" s="21"/>
      <c r="L197" s="21"/>
      <c r="M197" s="19"/>
      <c r="N197" s="19" t="str" cm="1">
        <f t="array" ref="N197">IF(M197="ALU",INDEX(ALUOps!A:A,1+BIN2DEC(MID($B197,22,5))),"")</f>
        <v/>
      </c>
      <c r="O197" s="19" t="str" cm="1">
        <f t="array" ref="O197">IF(M197="ALU",INDEX(TMP!A:A,1+BIN2DEC(MID($B197,27,2))),"")</f>
        <v/>
      </c>
      <c r="P197" s="21" t="str">
        <f t="shared" si="25"/>
        <v/>
      </c>
      <c r="Q197" s="20" t="str">
        <f t="shared" si="26"/>
        <v/>
      </c>
      <c r="R197" s="20" t="str">
        <f t="shared" si="21"/>
        <v/>
      </c>
      <c r="S197" s="20" t="str" cm="1">
        <f t="array" ref="S197">IF(M197="Control",INDEX(IC!A:A,1+BIN2DEC(MID($B197,21,4))),"")</f>
        <v/>
      </c>
      <c r="T197" s="20" t="str" cm="1">
        <f t="array" ref="T197">IF(M197="Control",INDEX(EC!A:A,1+BIN2DEC(MID($B197,25,3))),"")</f>
        <v/>
      </c>
      <c r="U197" s="20" t="str" cm="1">
        <f t="array" ref="U197">IF(M197="Control",INDEX(SR!A:A,1+BIN2DEC(MID($B197,28,2))),"")</f>
        <v/>
      </c>
    </row>
    <row r="198" spans="1:30" x14ac:dyDescent="0.25">
      <c r="A198" s="4" t="str">
        <f t="shared" si="22"/>
        <v>0C4</v>
      </c>
      <c r="B198" s="2" t="s">
        <v>142</v>
      </c>
      <c r="C198" s="2" t="s">
        <v>205</v>
      </c>
      <c r="D198" s="2" t="s">
        <v>930</v>
      </c>
      <c r="E198" s="2" t="s">
        <v>462</v>
      </c>
      <c r="F198" s="27" t="str" cm="1">
        <f t="array" ref="F198">INDEX(Sources!A:A, 1 + BIN2DEC(LEFT($B198,5)))</f>
        <v>UNK23</v>
      </c>
      <c r="G198" s="27" t="str" cm="1">
        <f t="array" ref="G198">INDEX(Dest1!A:A,1+BIN2DEC(MID($B198,6,5)))</f>
        <v>UNK17</v>
      </c>
      <c r="H198" s="27" t="str" cm="1">
        <f t="array" ref="H198">INDEX(Source2!A:A,1+BIN2DEC(MID($B198,11,4)))</f>
        <v>1</v>
      </c>
      <c r="I198" s="23" cm="1">
        <f t="array" ref="I198">INDEX('D2'!A:A,1+BIN2DEC(MID($B198,16,2)))</f>
        <v>0</v>
      </c>
      <c r="J198" s="6">
        <f t="shared" ref="J198:J259" si="27">BIN2DEC(MID($B198,17,1))</f>
        <v>0</v>
      </c>
      <c r="K198" s="6">
        <f t="shared" si="23"/>
        <v>0</v>
      </c>
      <c r="L198" s="6">
        <f t="shared" si="24"/>
        <v>0</v>
      </c>
      <c r="M198" s="3" t="str" cm="1">
        <f t="array" ref="M198">INDEX(Types!A:A,1+BIN2DEC(MID($B198,20,2)))</f>
        <v>ALU</v>
      </c>
      <c r="N198" s="3" cm="1">
        <f t="array" ref="N198">IF(M198="ALU",INDEX(ALUOps!A:A,1+BIN2DEC(MID($B198,22,5))),"")</f>
        <v>31</v>
      </c>
      <c r="O198" s="3" cm="1">
        <f t="array" ref="O198">IF(M198="ALU",INDEX(TMP!A:A,1+BIN2DEC(MID($B198,27,2))),"")</f>
        <v>1</v>
      </c>
      <c r="P198" s="6">
        <f t="shared" si="25"/>
        <v>1</v>
      </c>
      <c r="Q198" t="str">
        <f t="shared" si="26"/>
        <v/>
      </c>
      <c r="R198" t="str">
        <f t="shared" si="21"/>
        <v/>
      </c>
      <c r="S198" t="str" cm="1">
        <f t="array" ref="S198">IF(M198="Control",INDEX(IC!A:A,1+BIN2DEC(MID($B198,21,4))),"")</f>
        <v/>
      </c>
      <c r="T198" t="str" cm="1">
        <f t="array" ref="T198">IF(M198="Control",INDEX(EC!A:A,1+BIN2DEC(MID($B198,25,3))),"")</f>
        <v/>
      </c>
      <c r="U198" t="str" cm="1">
        <f t="array" ref="U198">IF(M198="Control",INDEX(SR!A:A,1+BIN2DEC(MID($B198,28,2))),"")</f>
        <v/>
      </c>
      <c r="X198" t="s">
        <v>1014</v>
      </c>
      <c r="AD198" s="1" t="s">
        <v>206</v>
      </c>
    </row>
    <row r="199" spans="1:30" x14ac:dyDescent="0.25">
      <c r="A199" s="4" t="str">
        <f t="shared" si="22"/>
        <v>0C5</v>
      </c>
      <c r="B199" s="2" t="s">
        <v>145</v>
      </c>
      <c r="C199" s="3"/>
      <c r="D199" s="3"/>
      <c r="E199" s="3"/>
      <c r="F199" s="27" t="str" cm="1">
        <f t="array" ref="F199">INDEX(Sources!A:A, 1 + BIN2DEC(LEFT($B199,5)))</f>
        <v>UNK1</v>
      </c>
      <c r="G199" s="27" t="str" cm="1">
        <f t="array" ref="G199">INDEX(Dest1!A:A,1+BIN2DEC(MID($B199,6,5)))</f>
        <v>UNK26</v>
      </c>
      <c r="H199" s="27" t="str" cm="1">
        <f t="array" ref="H199">INDEX(Source2!A:A,1+BIN2DEC(MID($B199,11,4)))</f>
        <v>--</v>
      </c>
      <c r="I199" s="23" cm="1">
        <f t="array" ref="I199">INDEX('D2'!A:A,1+BIN2DEC(MID($B199,16,2)))</f>
        <v>0</v>
      </c>
      <c r="J199" s="6">
        <f t="shared" si="27"/>
        <v>0</v>
      </c>
      <c r="K199" s="6">
        <f t="shared" si="23"/>
        <v>0</v>
      </c>
      <c r="L199" s="6">
        <f t="shared" si="24"/>
        <v>0</v>
      </c>
      <c r="M199" s="3" t="str" cm="1">
        <f t="array" ref="M199">INDEX(Types!A:A,1+BIN2DEC(MID($B199,20,2)))</f>
        <v>Control</v>
      </c>
      <c r="N199" s="3" t="str" cm="1">
        <f t="array" ref="N199">IF(M199="ALU",INDEX(ALUOps!A:A,1+BIN2DEC(MID($B199,22,5))),"")</f>
        <v/>
      </c>
      <c r="O199" s="3" t="str" cm="1">
        <f t="array" ref="O199">IF(M199="ALU",INDEX(TMP!A:A,1+BIN2DEC(MID($B199,27,2))),"")</f>
        <v/>
      </c>
      <c r="P199" s="6" t="str">
        <f t="shared" si="25"/>
        <v/>
      </c>
      <c r="Q199" t="str">
        <f t="shared" si="26"/>
        <v/>
      </c>
      <c r="R199" t="str">
        <f t="shared" ref="R199:R262" si="28">IF(M199="Jump",15-BIN2DEC(MID($B199,26,4)),"")</f>
        <v/>
      </c>
      <c r="S199" cm="1">
        <f t="array" ref="S199">IF(M199="Control",INDEX(IC!A:A,1+BIN2DEC(MID($B199,21,4))),"")</f>
        <v>0</v>
      </c>
      <c r="T199" cm="1">
        <f t="array" ref="T199">IF(M199="Control",INDEX(EC!A:A,1+BIN2DEC(MID($B199,25,3))),"")</f>
        <v>6</v>
      </c>
      <c r="U199" cm="1">
        <f t="array" ref="U199">IF(M199="Control",INDEX(SR!A:A,1+BIN2DEC(MID($B199,28,2))),"")</f>
        <v>0</v>
      </c>
    </row>
    <row r="200" spans="1:30" x14ac:dyDescent="0.25">
      <c r="A200" s="4" t="str">
        <f t="shared" si="22"/>
        <v>0C6</v>
      </c>
      <c r="B200" s="2" t="s">
        <v>207</v>
      </c>
      <c r="C200" s="3"/>
      <c r="D200" s="3"/>
      <c r="E200" s="3"/>
      <c r="F200" s="27" t="str" cm="1">
        <f t="array" ref="F200">INDEX(Sources!A:A, 1 + BIN2DEC(LEFT($B200,5)))</f>
        <v>SIGMA</v>
      </c>
      <c r="G200" s="27" t="str" cm="1">
        <f t="array" ref="G200">INDEX(Dest1!A:A,1+BIN2DEC(MID($B200,6,5)))</f>
        <v>UNK1</v>
      </c>
      <c r="H200" s="27" t="str" cm="1">
        <f t="array" ref="H200">INDEX(Source2!A:A,1+BIN2DEC(MID($B200,11,4)))</f>
        <v>--</v>
      </c>
      <c r="I200" s="23" cm="1">
        <f t="array" ref="I200">INDEX('D2'!A:A,1+BIN2DEC(MID($B200,16,2)))</f>
        <v>0</v>
      </c>
      <c r="J200" s="6">
        <f t="shared" si="27"/>
        <v>0</v>
      </c>
      <c r="K200" s="6">
        <f t="shared" si="23"/>
        <v>0</v>
      </c>
      <c r="L200" s="6">
        <f t="shared" si="24"/>
        <v>0</v>
      </c>
      <c r="M200" s="3" t="str" cm="1">
        <f t="array" ref="M200">INDEX(Types!A:A,1+BIN2DEC(MID($B200,20,2)))</f>
        <v>Control</v>
      </c>
      <c r="N200" s="3" t="str" cm="1">
        <f t="array" ref="N200">IF(M200="ALU",INDEX(ALUOps!A:A,1+BIN2DEC(MID($B200,22,5))),"")</f>
        <v/>
      </c>
      <c r="O200" s="3" t="str" cm="1">
        <f t="array" ref="O200">IF(M200="ALU",INDEX(TMP!A:A,1+BIN2DEC(MID($B200,27,2))),"")</f>
        <v/>
      </c>
      <c r="P200" s="6" t="str">
        <f t="shared" si="25"/>
        <v/>
      </c>
      <c r="Q200" t="str">
        <f t="shared" si="26"/>
        <v/>
      </c>
      <c r="R200" t="str">
        <f t="shared" si="28"/>
        <v/>
      </c>
      <c r="S200" cm="1">
        <f t="array" ref="S200">IF(M200="Control",INDEX(IC!A:A,1+BIN2DEC(MID($B200,21,4))),"")</f>
        <v>0</v>
      </c>
      <c r="T200" cm="1">
        <f t="array" ref="T200">IF(M200="Control",INDEX(EC!A:A,1+BIN2DEC(MID($B200,25,3))),"")</f>
        <v>0</v>
      </c>
      <c r="U200" cm="1">
        <f t="array" ref="U200">IF(M200="Control",INDEX(SR!A:A,1+BIN2DEC(MID($B200,28,2))),"")</f>
        <v>0</v>
      </c>
    </row>
    <row r="201" spans="1:30" x14ac:dyDescent="0.25">
      <c r="A201" s="4" t="str">
        <f t="shared" si="22"/>
        <v>0C7</v>
      </c>
      <c r="B201" s="2" t="s">
        <v>53</v>
      </c>
      <c r="C201" s="3"/>
      <c r="D201" s="3"/>
      <c r="E201" s="3"/>
      <c r="F201" s="27" t="str" cm="1">
        <f t="array" ref="F201">INDEX(Sources!A:A, 1 + BIN2DEC(LEFT($B201,5)))</f>
        <v>OUT</v>
      </c>
      <c r="G201" s="27" t="str" cm="1">
        <f t="array" ref="G201">INDEX(Dest1!A:A,1+BIN2DEC(MID($B201,6,5)))</f>
        <v>OPR</v>
      </c>
      <c r="H201" s="27" t="str" cm="1">
        <f t="array" ref="H201">INDEX(Source2!A:A,1+BIN2DEC(MID($B201,11,4)))</f>
        <v>--</v>
      </c>
      <c r="I201" s="23" cm="1">
        <f t="array" ref="I201">INDEX('D2'!A:A,1+BIN2DEC(MID($B201,16,2)))</f>
        <v>1</v>
      </c>
      <c r="J201" s="6">
        <f t="shared" si="27"/>
        <v>1</v>
      </c>
      <c r="K201" s="6">
        <f t="shared" si="23"/>
        <v>0</v>
      </c>
      <c r="L201" s="6">
        <f t="shared" si="24"/>
        <v>1</v>
      </c>
      <c r="M201" s="3" t="str" cm="1">
        <f t="array" ref="M201">INDEX(Types!A:A,1+BIN2DEC(MID($B201,20,2)))</f>
        <v>Control</v>
      </c>
      <c r="N201" s="3" t="str" cm="1">
        <f t="array" ref="N201">IF(M201="ALU",INDEX(ALUOps!A:A,1+BIN2DEC(MID($B201,22,5))),"")</f>
        <v/>
      </c>
      <c r="O201" s="3" t="str" cm="1">
        <f t="array" ref="O201">IF(M201="ALU",INDEX(TMP!A:A,1+BIN2DEC(MID($B201,27,2))),"")</f>
        <v/>
      </c>
      <c r="P201" s="6" t="str">
        <f t="shared" si="25"/>
        <v/>
      </c>
      <c r="Q201" t="str">
        <f t="shared" si="26"/>
        <v/>
      </c>
      <c r="R201" t="str">
        <f t="shared" si="28"/>
        <v/>
      </c>
      <c r="S201" cm="1">
        <f t="array" ref="S201">IF(M201="Control",INDEX(IC!A:A,1+BIN2DEC(MID($B201,21,4))),"")</f>
        <v>0</v>
      </c>
      <c r="T201" cm="1">
        <f t="array" ref="T201">IF(M201="Control",INDEX(EC!A:A,1+BIN2DEC(MID($B201,25,3))),"")</f>
        <v>0</v>
      </c>
      <c r="U201" cm="1">
        <f t="array" ref="U201">IF(M201="Control",INDEX(SR!A:A,1+BIN2DEC(MID($B201,28,2))),"")</f>
        <v>0</v>
      </c>
    </row>
    <row r="202" spans="1:30" x14ac:dyDescent="0.25">
      <c r="A202" s="4" t="str">
        <f t="shared" si="22"/>
        <v>0C8</v>
      </c>
      <c r="B202" s="2" t="s">
        <v>154</v>
      </c>
      <c r="C202" s="2" t="s">
        <v>208</v>
      </c>
      <c r="D202" s="2" t="s">
        <v>932</v>
      </c>
      <c r="E202" s="2" t="s">
        <v>462</v>
      </c>
      <c r="F202" s="27" t="str" cm="1">
        <f t="array" ref="F202">INDEX(Sources!A:A, 1 + BIN2DEC(LEFT($B202,5)))</f>
        <v>C</v>
      </c>
      <c r="G202" s="27" t="str" cm="1">
        <f t="array" ref="G202">INDEX(Dest1!A:A,1+BIN2DEC(MID($B202,6,5)))</f>
        <v>LC</v>
      </c>
      <c r="H202" s="27" t="str" cm="1">
        <f t="array" ref="H202">INDEX(Source2!A:A,1+BIN2DEC(MID($B202,11,4)))</f>
        <v>6</v>
      </c>
      <c r="I202" s="23" cm="1">
        <f t="array" ref="I202">INDEX('D2'!A:A,1+BIN2DEC(MID($B202,16,2)))</f>
        <v>0</v>
      </c>
      <c r="J202" s="6">
        <f t="shared" si="27"/>
        <v>0</v>
      </c>
      <c r="K202" s="6">
        <f t="shared" si="23"/>
        <v>0</v>
      </c>
      <c r="L202" s="6">
        <f t="shared" si="24"/>
        <v>0</v>
      </c>
      <c r="M202" s="3" t="str" cm="1">
        <f t="array" ref="M202">INDEX(Types!A:A,1+BIN2DEC(MID($B202,20,2)))</f>
        <v>ALU</v>
      </c>
      <c r="N202" s="3" cm="1">
        <f t="array" ref="N202">IF(M202="ALU",INDEX(ALUOps!A:A,1+BIN2DEC(MID($B202,22,5))),"")</f>
        <v>0</v>
      </c>
      <c r="O202" s="3" cm="1">
        <f t="array" ref="O202">IF(M202="ALU",INDEX(TMP!A:A,1+BIN2DEC(MID($B202,27,2))),"")</f>
        <v>2</v>
      </c>
      <c r="P202" s="6">
        <f t="shared" si="25"/>
        <v>1</v>
      </c>
      <c r="Q202" t="str">
        <f t="shared" si="26"/>
        <v/>
      </c>
      <c r="R202" t="str">
        <f t="shared" si="28"/>
        <v/>
      </c>
      <c r="S202" t="str" cm="1">
        <f t="array" ref="S202">IF(M202="Control",INDEX(IC!A:A,1+BIN2DEC(MID($B202,21,4))),"")</f>
        <v/>
      </c>
      <c r="T202" t="str" cm="1">
        <f t="array" ref="T202">IF(M202="Control",INDEX(EC!A:A,1+BIN2DEC(MID($B202,25,3))),"")</f>
        <v/>
      </c>
      <c r="U202" t="str" cm="1">
        <f t="array" ref="U202">IF(M202="Control",INDEX(SR!A:A,1+BIN2DEC(MID($B202,28,2))),"")</f>
        <v/>
      </c>
      <c r="AD202" s="1" t="s">
        <v>206</v>
      </c>
    </row>
    <row r="203" spans="1:30" x14ac:dyDescent="0.25">
      <c r="A203" s="4" t="str">
        <f t="shared" si="22"/>
        <v>0C9</v>
      </c>
      <c r="B203" s="2" t="s">
        <v>174</v>
      </c>
      <c r="C203" s="3"/>
      <c r="D203" s="3"/>
      <c r="E203" s="3"/>
      <c r="F203" s="27" t="str" cm="1">
        <f t="array" ref="F203">INDEX(Sources!A:A, 1 + BIN2DEC(LEFT($B203,5)))</f>
        <v>UNK23</v>
      </c>
      <c r="G203" s="27" t="str" cm="1">
        <f t="array" ref="G203">INDEX(Dest1!A:A,1+BIN2DEC(MID($B203,6,5)))</f>
        <v>UNK17</v>
      </c>
      <c r="H203" s="27" t="str" cm="1">
        <f t="array" ref="H203">INDEX(Source2!A:A,1+BIN2DEC(MID($B203,11,4)))</f>
        <v>11</v>
      </c>
      <c r="I203" s="23" cm="1">
        <f t="array" ref="I203">INDEX('D2'!A:A,1+BIN2DEC(MID($B203,16,2)))</f>
        <v>0</v>
      </c>
      <c r="J203" s="6">
        <f t="shared" si="27"/>
        <v>0</v>
      </c>
      <c r="K203" s="6">
        <f t="shared" si="23"/>
        <v>0</v>
      </c>
      <c r="L203" s="6">
        <f t="shared" si="24"/>
        <v>0</v>
      </c>
      <c r="M203" s="3" t="str" cm="1">
        <f t="array" ref="M203">INDEX(Types!A:A,1+BIN2DEC(MID($B203,20,2)))</f>
        <v>ALU</v>
      </c>
      <c r="N203" s="3" cm="1">
        <f t="array" ref="N203">IF(M203="ALU",INDEX(ALUOps!A:A,1+BIN2DEC(MID($B203,22,5))),"")</f>
        <v>31</v>
      </c>
      <c r="O203" s="3" cm="1">
        <f t="array" ref="O203">IF(M203="ALU",INDEX(TMP!A:A,1+BIN2DEC(MID($B203,27,2))),"")</f>
        <v>1</v>
      </c>
      <c r="P203" s="6">
        <f t="shared" si="25"/>
        <v>1</v>
      </c>
      <c r="Q203" t="str">
        <f t="shared" si="26"/>
        <v/>
      </c>
      <c r="R203" t="str">
        <f t="shared" si="28"/>
        <v/>
      </c>
      <c r="S203" t="str" cm="1">
        <f t="array" ref="S203">IF(M203="Control",INDEX(IC!A:A,1+BIN2DEC(MID($B203,21,4))),"")</f>
        <v/>
      </c>
      <c r="T203" t="str" cm="1">
        <f t="array" ref="T203">IF(M203="Control",INDEX(EC!A:A,1+BIN2DEC(MID($B203,25,3))),"")</f>
        <v/>
      </c>
      <c r="U203" t="str" cm="1">
        <f t="array" ref="U203">IF(M203="Control",INDEX(SR!A:A,1+BIN2DEC(MID($B203,28,2))),"")</f>
        <v/>
      </c>
    </row>
    <row r="204" spans="1:30" x14ac:dyDescent="0.25">
      <c r="A204" s="4" t="str">
        <f t="shared" si="22"/>
        <v>0CA</v>
      </c>
      <c r="B204" s="2" t="s">
        <v>209</v>
      </c>
      <c r="C204" s="3"/>
      <c r="D204" s="3"/>
      <c r="E204" s="3"/>
      <c r="F204" s="27" t="str" cm="1">
        <f t="array" ref="F204">INDEX(Sources!A:A, 1 + BIN2DEC(LEFT($B204,5)))</f>
        <v>--</v>
      </c>
      <c r="G204" s="27" t="str" cm="1">
        <f t="array" ref="G204">INDEX(Dest1!A:A,1+BIN2DEC(MID($B204,6,5)))</f>
        <v>--</v>
      </c>
      <c r="H204" s="27" t="str" cm="1">
        <f t="array" ref="H204">INDEX(Source2!A:A,1+BIN2DEC(MID($B204,11,4)))</f>
        <v>--</v>
      </c>
      <c r="I204" s="23" cm="1">
        <f t="array" ref="I204">INDEX('D2'!A:A,1+BIN2DEC(MID($B204,16,2)))</f>
        <v>0</v>
      </c>
      <c r="J204" s="6">
        <f t="shared" si="27"/>
        <v>0</v>
      </c>
      <c r="K204" s="6">
        <f t="shared" si="23"/>
        <v>0</v>
      </c>
      <c r="L204" s="6">
        <f t="shared" si="24"/>
        <v>0</v>
      </c>
      <c r="M204" s="3" t="str" cm="1">
        <f t="array" ref="M204">INDEX(Types!A:A,1+BIN2DEC(MID($B204,20,2)))</f>
        <v>Jump</v>
      </c>
      <c r="N204" s="3" t="str" cm="1">
        <f t="array" ref="N204">IF(M204="ALU",INDEX(ALUOps!A:A,1+BIN2DEC(MID($B204,22,5))),"")</f>
        <v/>
      </c>
      <c r="O204" s="3" t="str" cm="1">
        <f t="array" ref="O204">IF(M204="ALU",INDEX(TMP!A:A,1+BIN2DEC(MID($B204,27,2))),"")</f>
        <v/>
      </c>
      <c r="P204" s="6" t="str">
        <f t="shared" si="25"/>
        <v/>
      </c>
      <c r="Q204">
        <f t="shared" si="26"/>
        <v>13</v>
      </c>
      <c r="R204">
        <f t="shared" si="28"/>
        <v>7</v>
      </c>
      <c r="S204" t="str" cm="1">
        <f t="array" ref="S204">IF(M204="Control",INDEX(IC!A:A,1+BIN2DEC(MID($B204,21,4))),"")</f>
        <v/>
      </c>
      <c r="T204" t="str" cm="1">
        <f t="array" ref="T204">IF(M204="Control",INDEX(EC!A:A,1+BIN2DEC(MID($B204,25,3))),"")</f>
        <v/>
      </c>
      <c r="U204" t="str" cm="1">
        <f t="array" ref="U204">IF(M204="Control",INDEX(SR!A:A,1+BIN2DEC(MID($B204,28,2))),"")</f>
        <v/>
      </c>
    </row>
    <row r="205" spans="1:30" x14ac:dyDescent="0.25">
      <c r="A205" s="4" t="str">
        <f t="shared" si="22"/>
        <v>0CB</v>
      </c>
      <c r="B205" s="2" t="s">
        <v>210</v>
      </c>
      <c r="C205" s="3"/>
      <c r="D205" s="3"/>
      <c r="E205" s="3"/>
      <c r="F205" s="27" t="str" cm="1">
        <f t="array" ref="F205">INDEX(Sources!A:A, 1 + BIN2DEC(LEFT($B205,5)))</f>
        <v>UNK1</v>
      </c>
      <c r="G205" s="27" t="str" cm="1">
        <f t="array" ref="G205">INDEX(Dest1!A:A,1+BIN2DEC(MID($B205,6,5)))</f>
        <v>UNK26</v>
      </c>
      <c r="H205" s="27" t="str" cm="1">
        <f t="array" ref="H205">INDEX(Source2!A:A,1+BIN2DEC(MID($B205,11,4)))</f>
        <v>1</v>
      </c>
      <c r="I205" s="23" cm="1">
        <f t="array" ref="I205">INDEX('D2'!A:A,1+BIN2DEC(MID($B205,16,2)))</f>
        <v>0</v>
      </c>
      <c r="J205" s="6">
        <f t="shared" si="27"/>
        <v>0</v>
      </c>
      <c r="K205" s="6">
        <f t="shared" si="23"/>
        <v>0</v>
      </c>
      <c r="L205" s="6">
        <f t="shared" si="24"/>
        <v>0</v>
      </c>
      <c r="M205" s="3" t="str" cm="1">
        <f t="array" ref="M205">INDEX(Types!A:A,1+BIN2DEC(MID($B205,20,2)))</f>
        <v>Control</v>
      </c>
      <c r="N205" s="3" t="str" cm="1">
        <f t="array" ref="N205">IF(M205="ALU",INDEX(ALUOps!A:A,1+BIN2DEC(MID($B205,22,5))),"")</f>
        <v/>
      </c>
      <c r="O205" s="3" t="str" cm="1">
        <f t="array" ref="O205">IF(M205="ALU",INDEX(TMP!A:A,1+BIN2DEC(MID($B205,27,2))),"")</f>
        <v/>
      </c>
      <c r="P205" s="6" t="str">
        <f t="shared" si="25"/>
        <v/>
      </c>
      <c r="Q205" t="str">
        <f t="shared" si="26"/>
        <v/>
      </c>
      <c r="R205" t="str">
        <f t="shared" si="28"/>
        <v/>
      </c>
      <c r="S205" cm="1">
        <f t="array" ref="S205">IF(M205="Control",INDEX(IC!A:A,1+BIN2DEC(MID($B205,21,4))),"")</f>
        <v>0</v>
      </c>
      <c r="T205" cm="1">
        <f t="array" ref="T205">IF(M205="Control",INDEX(EC!A:A,1+BIN2DEC(MID($B205,25,3))),"")</f>
        <v>6</v>
      </c>
      <c r="U205" cm="1">
        <f t="array" ref="U205">IF(M205="Control",INDEX(SR!A:A,1+BIN2DEC(MID($B205,28,2))),"")</f>
        <v>0</v>
      </c>
    </row>
    <row r="206" spans="1:30" x14ac:dyDescent="0.25">
      <c r="A206" s="4" t="str">
        <f t="shared" si="22"/>
        <v>0CC</v>
      </c>
      <c r="B206" s="2" t="s">
        <v>207</v>
      </c>
      <c r="C206" s="2" t="s">
        <v>211</v>
      </c>
      <c r="D206" s="2" t="s">
        <v>932</v>
      </c>
      <c r="E206" s="2" t="s">
        <v>929</v>
      </c>
      <c r="F206" s="27" t="str" cm="1">
        <f t="array" ref="F206">INDEX(Sources!A:A, 1 + BIN2DEC(LEFT($B206,5)))</f>
        <v>SIGMA</v>
      </c>
      <c r="G206" s="27" t="str" cm="1">
        <f t="array" ref="G206">INDEX(Dest1!A:A,1+BIN2DEC(MID($B206,6,5)))</f>
        <v>UNK1</v>
      </c>
      <c r="H206" s="27" t="str" cm="1">
        <f t="array" ref="H206">INDEX(Source2!A:A,1+BIN2DEC(MID($B206,11,4)))</f>
        <v>--</v>
      </c>
      <c r="I206" s="23" cm="1">
        <f t="array" ref="I206">INDEX('D2'!A:A,1+BIN2DEC(MID($B206,16,2)))</f>
        <v>0</v>
      </c>
      <c r="J206" s="6">
        <f t="shared" si="27"/>
        <v>0</v>
      </c>
      <c r="K206" s="6">
        <f t="shared" si="23"/>
        <v>0</v>
      </c>
      <c r="L206" s="6">
        <f t="shared" si="24"/>
        <v>0</v>
      </c>
      <c r="M206" s="3" t="str" cm="1">
        <f t="array" ref="M206">INDEX(Types!A:A,1+BIN2DEC(MID($B206,20,2)))</f>
        <v>Control</v>
      </c>
      <c r="N206" s="3" t="str" cm="1">
        <f t="array" ref="N206">IF(M206="ALU",INDEX(ALUOps!A:A,1+BIN2DEC(MID($B206,22,5))),"")</f>
        <v/>
      </c>
      <c r="O206" s="3" t="str" cm="1">
        <f t="array" ref="O206">IF(M206="ALU",INDEX(TMP!A:A,1+BIN2DEC(MID($B206,27,2))),"")</f>
        <v/>
      </c>
      <c r="P206" s="6" t="str">
        <f t="shared" si="25"/>
        <v/>
      </c>
      <c r="Q206" t="str">
        <f t="shared" si="26"/>
        <v/>
      </c>
      <c r="R206" t="str">
        <f t="shared" si="28"/>
        <v/>
      </c>
      <c r="S206" cm="1">
        <f t="array" ref="S206">IF(M206="Control",INDEX(IC!A:A,1+BIN2DEC(MID($B206,21,4))),"")</f>
        <v>0</v>
      </c>
      <c r="T206" cm="1">
        <f t="array" ref="T206">IF(M206="Control",INDEX(EC!A:A,1+BIN2DEC(MID($B206,25,3))),"")</f>
        <v>0</v>
      </c>
      <c r="U206" cm="1">
        <f t="array" ref="U206">IF(M206="Control",INDEX(SR!A:A,1+BIN2DEC(MID($B206,28,2))),"")</f>
        <v>0</v>
      </c>
      <c r="AD206" s="1" t="s">
        <v>206</v>
      </c>
    </row>
    <row r="207" spans="1:30" x14ac:dyDescent="0.25">
      <c r="A207" s="4" t="str">
        <f t="shared" si="22"/>
        <v>0CD</v>
      </c>
      <c r="B207" s="2" t="s">
        <v>212</v>
      </c>
      <c r="C207" s="3"/>
      <c r="D207" s="3"/>
      <c r="E207" s="3"/>
      <c r="F207" s="27" t="str" cm="1">
        <f t="array" ref="F207">INDEX(Sources!A:A, 1 + BIN2DEC(LEFT($B207,5)))</f>
        <v>OUT</v>
      </c>
      <c r="G207" s="27" t="str" cm="1">
        <f t="array" ref="G207">INDEX(Dest1!A:A,1+BIN2DEC(MID($B207,6,5)))</f>
        <v>OPR</v>
      </c>
      <c r="H207" s="27" t="str" cm="1">
        <f t="array" ref="H207">INDEX(Source2!A:A,1+BIN2DEC(MID($B207,11,4)))</f>
        <v>--</v>
      </c>
      <c r="I207" s="23" cm="1">
        <f t="array" ref="I207">INDEX('D2'!A:A,1+BIN2DEC(MID($B207,16,2)))</f>
        <v>1</v>
      </c>
      <c r="J207" s="6">
        <f t="shared" si="27"/>
        <v>1</v>
      </c>
      <c r="K207" s="6">
        <f t="shared" si="23"/>
        <v>0</v>
      </c>
      <c r="L207" s="6">
        <f t="shared" si="24"/>
        <v>0</v>
      </c>
      <c r="M207" s="3" t="str" cm="1">
        <f t="array" ref="M207">INDEX(Types!A:A,1+BIN2DEC(MID($B207,20,2)))</f>
        <v>Control</v>
      </c>
      <c r="N207" s="3" t="str" cm="1">
        <f t="array" ref="N207">IF(M207="ALU",INDEX(ALUOps!A:A,1+BIN2DEC(MID($B207,22,5))),"")</f>
        <v/>
      </c>
      <c r="O207" s="3" t="str" cm="1">
        <f t="array" ref="O207">IF(M207="ALU",INDEX(TMP!A:A,1+BIN2DEC(MID($B207,27,2))),"")</f>
        <v/>
      </c>
      <c r="P207" s="6" t="str">
        <f t="shared" si="25"/>
        <v/>
      </c>
      <c r="Q207" t="str">
        <f t="shared" si="26"/>
        <v/>
      </c>
      <c r="R207" t="str">
        <f t="shared" si="28"/>
        <v/>
      </c>
      <c r="S207" cm="1">
        <f t="array" ref="S207">IF(M207="Control",INDEX(IC!A:A,1+BIN2DEC(MID($B207,21,4))),"")</f>
        <v>0</v>
      </c>
      <c r="T207" cm="1">
        <f t="array" ref="T207">IF(M207="Control",INDEX(EC!A:A,1+BIN2DEC(MID($B207,25,3))),"")</f>
        <v>0</v>
      </c>
      <c r="U207" cm="1">
        <f t="array" ref="U207">IF(M207="Control",INDEX(SR!A:A,1+BIN2DEC(MID($B207,28,2))),"")</f>
        <v>0</v>
      </c>
    </row>
    <row r="208" spans="1:30" x14ac:dyDescent="0.25">
      <c r="A208" s="4" t="str">
        <f t="shared" si="22"/>
        <v>0CE</v>
      </c>
      <c r="B208" s="2" t="s">
        <v>184</v>
      </c>
      <c r="C208" s="3"/>
      <c r="D208" s="3"/>
      <c r="E208" s="3"/>
      <c r="F208" s="27" t="str" cm="1">
        <f t="array" ref="F208">INDEX(Sources!A:A, 1 + BIN2DEC(LEFT($B208,5)))</f>
        <v>--</v>
      </c>
      <c r="G208" s="27" t="str" cm="1">
        <f t="array" ref="G208">INDEX(Dest1!A:A,1+BIN2DEC(MID($B208,6,5)))</f>
        <v>--</v>
      </c>
      <c r="H208" s="27" t="str" cm="1">
        <f t="array" ref="H208">INDEX(Source2!A:A,1+BIN2DEC(MID($B208,11,4)))</f>
        <v>--</v>
      </c>
      <c r="I208" s="23" cm="1">
        <f t="array" ref="I208">INDEX('D2'!A:A,1+BIN2DEC(MID($B208,16,2)))</f>
        <v>0</v>
      </c>
      <c r="J208" s="6">
        <f t="shared" si="27"/>
        <v>0</v>
      </c>
      <c r="K208" s="6">
        <f t="shared" si="23"/>
        <v>0</v>
      </c>
      <c r="L208" s="6">
        <f t="shared" si="24"/>
        <v>0</v>
      </c>
      <c r="M208" s="3" t="str" cm="1">
        <f t="array" ref="M208">INDEX(Types!A:A,1+BIN2DEC(MID($B208,20,2)))</f>
        <v>Jump</v>
      </c>
      <c r="N208" s="3" t="str" cm="1">
        <f t="array" ref="N208">IF(M208="ALU",INDEX(ALUOps!A:A,1+BIN2DEC(MID($B208,22,5))),"")</f>
        <v/>
      </c>
      <c r="O208" s="3" t="str" cm="1">
        <f t="array" ref="O208">IF(M208="ALU",INDEX(TMP!A:A,1+BIN2DEC(MID($B208,27,2))),"")</f>
        <v/>
      </c>
      <c r="P208" s="6" t="str">
        <f t="shared" si="25"/>
        <v/>
      </c>
      <c r="Q208">
        <f t="shared" si="26"/>
        <v>3</v>
      </c>
      <c r="R208">
        <f t="shared" si="28"/>
        <v>3</v>
      </c>
      <c r="S208" t="str" cm="1">
        <f t="array" ref="S208">IF(M208="Control",INDEX(IC!A:A,1+BIN2DEC(MID($B208,21,4))),"")</f>
        <v/>
      </c>
      <c r="T208" t="str" cm="1">
        <f t="array" ref="T208">IF(M208="Control",INDEX(EC!A:A,1+BIN2DEC(MID($B208,25,3))),"")</f>
        <v/>
      </c>
      <c r="U208" t="str" cm="1">
        <f t="array" ref="U208">IF(M208="Control",INDEX(SR!A:A,1+BIN2DEC(MID($B208,28,2))),"")</f>
        <v/>
      </c>
    </row>
    <row r="209" spans="1:30" s="9" customFormat="1" ht="15.75" thickBot="1" x14ac:dyDescent="0.3">
      <c r="A209" s="7" t="str">
        <f t="shared" si="22"/>
        <v>0CF</v>
      </c>
      <c r="B209" s="8" t="s">
        <v>163</v>
      </c>
      <c r="C209" s="10"/>
      <c r="D209" s="10"/>
      <c r="E209" s="10"/>
      <c r="F209" s="30" t="str" cm="1">
        <f t="array" ref="F209">INDEX(Sources!A:A, 1 + BIN2DEC(LEFT($B209,5)))</f>
        <v>LC</v>
      </c>
      <c r="G209" s="30" t="str" cm="1">
        <f t="array" ref="G209">INDEX(Dest1!A:A,1+BIN2DEC(MID($B209,6,5)))</f>
        <v>C</v>
      </c>
      <c r="H209" s="30" t="str" cm="1">
        <f t="array" ref="H209">INDEX(Source2!A:A,1+BIN2DEC(MID($B209,11,4)))</f>
        <v>--</v>
      </c>
      <c r="I209" s="26" cm="1">
        <f t="array" ref="I209">INDEX('D2'!A:A,1+BIN2DEC(MID($B209,16,2)))</f>
        <v>0</v>
      </c>
      <c r="J209" s="11">
        <f t="shared" si="27"/>
        <v>0</v>
      </c>
      <c r="K209" s="11">
        <f t="shared" si="23"/>
        <v>0</v>
      </c>
      <c r="L209" s="11">
        <f t="shared" si="24"/>
        <v>0</v>
      </c>
      <c r="M209" s="10" t="str" cm="1">
        <f t="array" ref="M209">INDEX(Types!A:A,1+BIN2DEC(MID($B209,20,2)))</f>
        <v>Control</v>
      </c>
      <c r="N209" s="10" t="str" cm="1">
        <f t="array" ref="N209">IF(M209="ALU",INDEX(ALUOps!A:A,1+BIN2DEC(MID($B209,22,5))),"")</f>
        <v/>
      </c>
      <c r="O209" s="10" t="str" cm="1">
        <f t="array" ref="O209">IF(M209="ALU",INDEX(TMP!A:A,1+BIN2DEC(MID($B209,27,2))),"")</f>
        <v/>
      </c>
      <c r="P209" s="11" t="str">
        <f t="shared" si="25"/>
        <v/>
      </c>
      <c r="Q209" s="9" t="str">
        <f t="shared" si="26"/>
        <v/>
      </c>
      <c r="R209" s="9" t="str">
        <f t="shared" si="28"/>
        <v/>
      </c>
      <c r="S209" s="9" cm="1">
        <f t="array" ref="S209">IF(M209="Control",INDEX(IC!A:A,1+BIN2DEC(MID($B209,21,4))),"")</f>
        <v>1</v>
      </c>
      <c r="T209" s="9" cm="1">
        <f t="array" ref="T209">IF(M209="Control",INDEX(EC!A:A,1+BIN2DEC(MID($B209,25,3))),"")</f>
        <v>5</v>
      </c>
      <c r="U209" s="9" cm="1">
        <f t="array" ref="U209">IF(M209="Control",INDEX(SR!A:A,1+BIN2DEC(MID($B209,28,2))),"")</f>
        <v>3</v>
      </c>
    </row>
    <row r="210" spans="1:30" x14ac:dyDescent="0.25">
      <c r="A210" s="4" t="str">
        <f t="shared" si="22"/>
        <v>0D0</v>
      </c>
      <c r="B210" s="2" t="s">
        <v>195</v>
      </c>
      <c r="C210" s="2" t="s">
        <v>213</v>
      </c>
      <c r="D210" s="2" t="s">
        <v>930</v>
      </c>
      <c r="E210" s="2" t="s">
        <v>462</v>
      </c>
      <c r="F210" s="27" t="str" cm="1">
        <f t="array" ref="F210">INDEX(Sources!A:A, 1 + BIN2DEC(LEFT($B210,5)))</f>
        <v>UNK23</v>
      </c>
      <c r="G210" s="27" t="str" cm="1">
        <f t="array" ref="G210">INDEX(Dest1!A:A,1+BIN2DEC(MID($B210,6,5)))</f>
        <v>UNK17</v>
      </c>
      <c r="H210" s="27" t="str" cm="1">
        <f t="array" ref="H210">INDEX(Source2!A:A,1+BIN2DEC(MID($B210,11,4)))</f>
        <v>--</v>
      </c>
      <c r="I210" s="23" cm="1">
        <f t="array" ref="I210">INDEX('D2'!A:A,1+BIN2DEC(MID($B210,16,2)))</f>
        <v>0</v>
      </c>
      <c r="J210" s="6">
        <f t="shared" si="27"/>
        <v>0</v>
      </c>
      <c r="K210" s="6">
        <f t="shared" si="23"/>
        <v>0</v>
      </c>
      <c r="L210" s="6">
        <f t="shared" si="24"/>
        <v>0</v>
      </c>
      <c r="M210" s="3" t="str" cm="1">
        <f t="array" ref="M210">INDEX(Types!A:A,1+BIN2DEC(MID($B210,20,2)))</f>
        <v>ALU</v>
      </c>
      <c r="N210" s="3" cm="1">
        <f t="array" ref="N210">IF(M210="ALU",INDEX(ALUOps!A:A,1+BIN2DEC(MID($B210,22,5))),"")</f>
        <v>31</v>
      </c>
      <c r="O210" s="3" cm="1">
        <f t="array" ref="O210">IF(M210="ALU",INDEX(TMP!A:A,1+BIN2DEC(MID($B210,27,2))),"")</f>
        <v>1</v>
      </c>
      <c r="P210" s="6">
        <f t="shared" si="25"/>
        <v>1</v>
      </c>
      <c r="Q210" t="str">
        <f t="shared" si="26"/>
        <v/>
      </c>
      <c r="R210" t="str">
        <f t="shared" si="28"/>
        <v/>
      </c>
      <c r="S210" t="str" cm="1">
        <f t="array" ref="S210">IF(M210="Control",INDEX(IC!A:A,1+BIN2DEC(MID($B210,21,4))),"")</f>
        <v/>
      </c>
      <c r="T210" t="str" cm="1">
        <f t="array" ref="T210">IF(M210="Control",INDEX(EC!A:A,1+BIN2DEC(MID($B210,25,3))),"")</f>
        <v/>
      </c>
      <c r="U210" t="str" cm="1">
        <f t="array" ref="U210">IF(M210="Control",INDEX(SR!A:A,1+BIN2DEC(MID($B210,28,2))),"")</f>
        <v/>
      </c>
      <c r="X210" t="s">
        <v>1015</v>
      </c>
      <c r="AD210" s="1" t="s">
        <v>214</v>
      </c>
    </row>
    <row r="211" spans="1:30" x14ac:dyDescent="0.25">
      <c r="A211" s="4" t="str">
        <f t="shared" si="22"/>
        <v>0D1</v>
      </c>
      <c r="B211" s="2" t="s">
        <v>215</v>
      </c>
      <c r="C211" s="3"/>
      <c r="D211" s="3"/>
      <c r="E211" s="3"/>
      <c r="F211" s="27" t="str" cm="1">
        <f t="array" ref="F211">INDEX(Sources!A:A, 1 + BIN2DEC(LEFT($B211,5)))</f>
        <v>--</v>
      </c>
      <c r="G211" s="27" t="str" cm="1">
        <f t="array" ref="G211">INDEX(Dest1!A:A,1+BIN2DEC(MID($B211,6,5)))</f>
        <v>UNK26</v>
      </c>
      <c r="H211" s="27" t="str" cm="1">
        <f t="array" ref="H211">INDEX(Source2!A:A,1+BIN2DEC(MID($B211,11,4)))</f>
        <v>--</v>
      </c>
      <c r="I211" s="23" cm="1">
        <f t="array" ref="I211">INDEX('D2'!A:A,1+BIN2DEC(MID($B211,16,2)))</f>
        <v>0</v>
      </c>
      <c r="J211" s="6">
        <f t="shared" si="27"/>
        <v>0</v>
      </c>
      <c r="K211" s="6">
        <f t="shared" si="23"/>
        <v>0</v>
      </c>
      <c r="L211" s="6">
        <f t="shared" si="24"/>
        <v>0</v>
      </c>
      <c r="M211" s="3" t="str" cm="1">
        <f t="array" ref="M211">INDEX(Types!A:A,1+BIN2DEC(MID($B211,20,2)))</f>
        <v>Control</v>
      </c>
      <c r="N211" s="3" t="str" cm="1">
        <f t="array" ref="N211">IF(M211="ALU",INDEX(ALUOps!A:A,1+BIN2DEC(MID($B211,22,5))),"")</f>
        <v/>
      </c>
      <c r="O211" s="3" t="str" cm="1">
        <f t="array" ref="O211">IF(M211="ALU",INDEX(TMP!A:A,1+BIN2DEC(MID($B211,27,2))),"")</f>
        <v/>
      </c>
      <c r="P211" s="6" t="str">
        <f t="shared" si="25"/>
        <v/>
      </c>
      <c r="Q211" t="str">
        <f t="shared" si="26"/>
        <v/>
      </c>
      <c r="R211" t="str">
        <f t="shared" si="28"/>
        <v/>
      </c>
      <c r="S211" cm="1">
        <f t="array" ref="S211">IF(M211="Control",INDEX(IC!A:A,1+BIN2DEC(MID($B211,21,4))),"")</f>
        <v>0</v>
      </c>
      <c r="T211" cm="1">
        <f t="array" ref="T211">IF(M211="Control",INDEX(EC!A:A,1+BIN2DEC(MID($B211,25,3))),"")</f>
        <v>6</v>
      </c>
      <c r="U211" cm="1">
        <f t="array" ref="U211">IF(M211="Control",INDEX(SR!A:A,1+BIN2DEC(MID($B211,28,2))),"")</f>
        <v>3</v>
      </c>
    </row>
    <row r="212" spans="1:30" x14ac:dyDescent="0.25">
      <c r="A212" s="4" t="str">
        <f t="shared" si="22"/>
        <v>0D2</v>
      </c>
      <c r="B212" s="2" t="s">
        <v>216</v>
      </c>
      <c r="C212" s="3"/>
      <c r="D212" s="3"/>
      <c r="E212" s="3"/>
      <c r="F212" s="27" t="str" cm="1">
        <f t="array" ref="F212">INDEX(Sources!A:A, 1 + BIN2DEC(LEFT($B212,5)))</f>
        <v>SIGMA</v>
      </c>
      <c r="G212" s="27" t="str" cm="1">
        <f t="array" ref="G212">INDEX(Dest1!A:A,1+BIN2DEC(MID($B212,6,5)))</f>
        <v>--</v>
      </c>
      <c r="H212" s="27" t="str" cm="1">
        <f t="array" ref="H212">INDEX(Source2!A:A,1+BIN2DEC(MID($B212,11,4)))</f>
        <v>--</v>
      </c>
      <c r="I212" s="23" cm="1">
        <f t="array" ref="I212">INDEX('D2'!A:A,1+BIN2DEC(MID($B212,16,2)))</f>
        <v>0</v>
      </c>
      <c r="J212" s="6">
        <f t="shared" si="27"/>
        <v>0</v>
      </c>
      <c r="K212" s="6">
        <f t="shared" si="23"/>
        <v>0</v>
      </c>
      <c r="L212" s="6">
        <f t="shared" si="24"/>
        <v>0</v>
      </c>
      <c r="M212" s="3" t="str" cm="1">
        <f t="array" ref="M212">INDEX(Types!A:A,1+BIN2DEC(MID($B212,20,2)))</f>
        <v>ALU</v>
      </c>
      <c r="N212" s="3" cm="1">
        <f t="array" ref="N212">IF(M212="ALU",INDEX(ALUOps!A:A,1+BIN2DEC(MID($B212,22,5))),"")</f>
        <v>26</v>
      </c>
      <c r="O212" s="3" cm="1">
        <f t="array" ref="O212">IF(M212="ALU",INDEX(TMP!A:A,1+BIN2DEC(MID($B212,27,2))),"")</f>
        <v>3</v>
      </c>
      <c r="P212" s="6">
        <f t="shared" si="25"/>
        <v>1</v>
      </c>
      <c r="Q212" t="str">
        <f t="shared" si="26"/>
        <v/>
      </c>
      <c r="R212" t="str">
        <f t="shared" si="28"/>
        <v/>
      </c>
      <c r="S212" t="str" cm="1">
        <f t="array" ref="S212">IF(M212="Control",INDEX(IC!A:A,1+BIN2DEC(MID($B212,21,4))),"")</f>
        <v/>
      </c>
      <c r="T212" t="str" cm="1">
        <f t="array" ref="T212">IF(M212="Control",INDEX(EC!A:A,1+BIN2DEC(MID($B212,25,3))),"")</f>
        <v/>
      </c>
      <c r="U212" t="str" cm="1">
        <f t="array" ref="U212">IF(M212="Control",INDEX(SR!A:A,1+BIN2DEC(MID($B212,28,2))),"")</f>
        <v/>
      </c>
    </row>
    <row r="213" spans="1:30" x14ac:dyDescent="0.25">
      <c r="A213" s="4" t="str">
        <f t="shared" si="22"/>
        <v>0D3</v>
      </c>
      <c r="B213" s="2" t="s">
        <v>68</v>
      </c>
      <c r="C213" s="3"/>
      <c r="D213" s="3"/>
      <c r="E213" s="3"/>
      <c r="F213" s="27" t="str" cm="1">
        <f t="array" ref="F213">INDEX(Sources!A:A, 1 + BIN2DEC(LEFT($B213,5)))</f>
        <v>OPR</v>
      </c>
      <c r="G213" s="27" t="str" cm="1">
        <f t="array" ref="G213">INDEX(Dest1!A:A,1+BIN2DEC(MID($B213,6,5)))</f>
        <v>TMPA</v>
      </c>
      <c r="H213" s="27" t="str" cm="1">
        <f t="array" ref="H213">INDEX(Source2!A:A,1+BIN2DEC(MID($B213,11,4)))</f>
        <v>--</v>
      </c>
      <c r="I213" s="23" cm="1">
        <f t="array" ref="I213">INDEX('D2'!A:A,1+BIN2DEC(MID($B213,16,2)))</f>
        <v>0</v>
      </c>
      <c r="J213" s="6">
        <f t="shared" si="27"/>
        <v>0</v>
      </c>
      <c r="K213" s="6">
        <f t="shared" si="23"/>
        <v>0</v>
      </c>
      <c r="L213" s="6">
        <f t="shared" si="24"/>
        <v>0</v>
      </c>
      <c r="M213" s="3" t="str" cm="1">
        <f t="array" ref="M213">INDEX(Types!A:A,1+BIN2DEC(MID($B213,20,2)))</f>
        <v>Control</v>
      </c>
      <c r="N213" s="3" t="str" cm="1">
        <f t="array" ref="N213">IF(M213="ALU",INDEX(ALUOps!A:A,1+BIN2DEC(MID($B213,22,5))),"")</f>
        <v/>
      </c>
      <c r="O213" s="3" t="str" cm="1">
        <f t="array" ref="O213">IF(M213="ALU",INDEX(TMP!A:A,1+BIN2DEC(MID($B213,27,2))),"")</f>
        <v/>
      </c>
      <c r="P213" s="6" t="str">
        <f t="shared" si="25"/>
        <v/>
      </c>
      <c r="Q213" t="str">
        <f t="shared" si="26"/>
        <v/>
      </c>
      <c r="R213" t="str">
        <f t="shared" si="28"/>
        <v/>
      </c>
      <c r="S213" cm="1">
        <f t="array" ref="S213">IF(M213="Control",INDEX(IC!A:A,1+BIN2DEC(MID($B213,21,4))),"")</f>
        <v>0</v>
      </c>
      <c r="T213" cm="1">
        <f t="array" ref="T213">IF(M213="Control",INDEX(EC!A:A,1+BIN2DEC(MID($B213,25,3))),"")</f>
        <v>0</v>
      </c>
      <c r="U213" cm="1">
        <f t="array" ref="U213">IF(M213="Control",INDEX(SR!A:A,1+BIN2DEC(MID($B213,28,2))),"")</f>
        <v>0</v>
      </c>
    </row>
    <row r="214" spans="1:30" x14ac:dyDescent="0.25">
      <c r="A214" s="4" t="str">
        <f t="shared" si="22"/>
        <v>0D4</v>
      </c>
      <c r="B214" s="2" t="s">
        <v>180</v>
      </c>
      <c r="C214" s="2" t="s">
        <v>217</v>
      </c>
      <c r="D214" s="2" t="s">
        <v>930</v>
      </c>
      <c r="E214" s="2" t="s">
        <v>929</v>
      </c>
      <c r="F214" s="27" t="str" cm="1">
        <f t="array" ref="F214">INDEX(Sources!A:A, 1 + BIN2DEC(LEFT($B214,5)))</f>
        <v>OUT</v>
      </c>
      <c r="G214" s="27" t="str" cm="1">
        <f t="array" ref="G214">INDEX(Dest1!A:A,1+BIN2DEC(MID($B214,6,5)))</f>
        <v>TMPB</v>
      </c>
      <c r="H214" s="27" t="str" cm="1">
        <f t="array" ref="H214">INDEX(Source2!A:A,1+BIN2DEC(MID($B214,11,4)))</f>
        <v>--</v>
      </c>
      <c r="I214" s="23" cm="1">
        <f t="array" ref="I214">INDEX('D2'!A:A,1+BIN2DEC(MID($B214,16,2)))</f>
        <v>1</v>
      </c>
      <c r="J214" s="6">
        <f t="shared" si="27"/>
        <v>1</v>
      </c>
      <c r="K214" s="6">
        <f t="shared" si="23"/>
        <v>0</v>
      </c>
      <c r="L214" s="6">
        <f t="shared" si="24"/>
        <v>0</v>
      </c>
      <c r="M214" s="3" t="str" cm="1">
        <f t="array" ref="M214">INDEX(Types!A:A,1+BIN2DEC(MID($B214,20,2)))</f>
        <v>Control</v>
      </c>
      <c r="N214" s="3" t="str" cm="1">
        <f t="array" ref="N214">IF(M214="ALU",INDEX(ALUOps!A:A,1+BIN2DEC(MID($B214,22,5))),"")</f>
        <v/>
      </c>
      <c r="O214" s="3" t="str" cm="1">
        <f t="array" ref="O214">IF(M214="ALU",INDEX(TMP!A:A,1+BIN2DEC(MID($B214,27,2))),"")</f>
        <v/>
      </c>
      <c r="P214" s="6" t="str">
        <f t="shared" si="25"/>
        <v/>
      </c>
      <c r="Q214" t="str">
        <f t="shared" si="26"/>
        <v/>
      </c>
      <c r="R214" t="str">
        <f t="shared" si="28"/>
        <v/>
      </c>
      <c r="S214" cm="1">
        <f t="array" ref="S214">IF(M214="Control",INDEX(IC!A:A,1+BIN2DEC(MID($B214,21,4))),"")</f>
        <v>0</v>
      </c>
      <c r="T214" cm="1">
        <f t="array" ref="T214">IF(M214="Control",INDEX(EC!A:A,1+BIN2DEC(MID($B214,25,3))),"")</f>
        <v>0</v>
      </c>
      <c r="U214" cm="1">
        <f t="array" ref="U214">IF(M214="Control",INDEX(SR!A:A,1+BIN2DEC(MID($B214,28,2))),"")</f>
        <v>0</v>
      </c>
      <c r="AD214" s="1" t="s">
        <v>214</v>
      </c>
    </row>
    <row r="215" spans="1:30" x14ac:dyDescent="0.25">
      <c r="A215" s="4" t="str">
        <f t="shared" si="22"/>
        <v>0D5</v>
      </c>
      <c r="B215" s="2" t="s">
        <v>218</v>
      </c>
      <c r="C215" s="3"/>
      <c r="D215" s="3"/>
      <c r="E215" s="3"/>
      <c r="F215" s="27" t="str" cm="1">
        <f t="array" ref="F215">INDEX(Sources!A:A, 1 + BIN2DEC(LEFT($B215,5)))</f>
        <v>SIGMA</v>
      </c>
      <c r="G215" s="27" t="str" cm="1">
        <f t="array" ref="G215">INDEX(Dest1!A:A,1+BIN2DEC(MID($B215,6,5)))</f>
        <v>UNK24</v>
      </c>
      <c r="H215" s="27" t="str" cm="1">
        <f t="array" ref="H215">INDEX(Source2!A:A,1+BIN2DEC(MID($B215,11,4)))</f>
        <v>--</v>
      </c>
      <c r="I215" s="23" cm="1">
        <f t="array" ref="I215">INDEX('D2'!A:A,1+BIN2DEC(MID($B215,16,2)))</f>
        <v>0</v>
      </c>
      <c r="J215" s="6">
        <f t="shared" si="27"/>
        <v>0</v>
      </c>
      <c r="K215" s="6">
        <f t="shared" si="23"/>
        <v>1</v>
      </c>
      <c r="L215" s="6">
        <f t="shared" si="24"/>
        <v>1</v>
      </c>
      <c r="M215" s="3" t="str" cm="1">
        <f t="array" ref="M215">INDEX(Types!A:A,1+BIN2DEC(MID($B215,20,2)))</f>
        <v>Control</v>
      </c>
      <c r="N215" s="3" t="str" cm="1">
        <f t="array" ref="N215">IF(M215="ALU",INDEX(ALUOps!A:A,1+BIN2DEC(MID($B215,22,5))),"")</f>
        <v/>
      </c>
      <c r="O215" s="3" t="str" cm="1">
        <f t="array" ref="O215">IF(M215="ALU",INDEX(TMP!A:A,1+BIN2DEC(MID($B215,27,2))),"")</f>
        <v/>
      </c>
      <c r="P215" s="6" t="str">
        <f t="shared" si="25"/>
        <v/>
      </c>
      <c r="Q215" t="str">
        <f t="shared" si="26"/>
        <v/>
      </c>
      <c r="R215" t="str">
        <f t="shared" si="28"/>
        <v/>
      </c>
      <c r="S215" cm="1">
        <f t="array" ref="S215">IF(M215="Control",INDEX(IC!A:A,1+BIN2DEC(MID($B215,21,4))),"")</f>
        <v>0</v>
      </c>
      <c r="T215" cm="1">
        <f t="array" ref="T215">IF(M215="Control",INDEX(EC!A:A,1+BIN2DEC(MID($B215,25,3))),"")</f>
        <v>0</v>
      </c>
      <c r="U215" cm="1">
        <f t="array" ref="U215">IF(M215="Control",INDEX(SR!A:A,1+BIN2DEC(MID($B215,28,2))),"")</f>
        <v>0</v>
      </c>
    </row>
    <row r="216" spans="1:30" x14ac:dyDescent="0.25">
      <c r="A216" s="4" t="str">
        <f t="shared" si="22"/>
        <v>0D6</v>
      </c>
      <c r="B216" s="2" t="s">
        <v>4</v>
      </c>
      <c r="C216" s="3"/>
      <c r="D216" s="3"/>
      <c r="E216" s="3"/>
      <c r="F216" s="27" t="str" cm="1">
        <f t="array" ref="F216">INDEX(Sources!A:A, 1 + BIN2DEC(LEFT($B216,5)))</f>
        <v>--</v>
      </c>
      <c r="G216" s="27" t="str" cm="1">
        <f t="array" ref="G216">INDEX(Dest1!A:A,1+BIN2DEC(MID($B216,6,5)))</f>
        <v>--</v>
      </c>
      <c r="H216" s="27" t="str" cm="1">
        <f t="array" ref="H216">INDEX(Source2!A:A,1+BIN2DEC(MID($B216,11,4)))</f>
        <v>--</v>
      </c>
      <c r="I216" s="23" cm="1">
        <f t="array" ref="I216">INDEX('D2'!A:A,1+BIN2DEC(MID($B216,16,2)))</f>
        <v>0</v>
      </c>
      <c r="J216" s="6">
        <f t="shared" si="27"/>
        <v>0</v>
      </c>
      <c r="K216" s="6">
        <f t="shared" si="23"/>
        <v>0</v>
      </c>
      <c r="L216" s="6">
        <f t="shared" si="24"/>
        <v>0</v>
      </c>
      <c r="M216" s="3" t="str" cm="1">
        <f t="array" ref="M216">INDEX(Types!A:A,1+BIN2DEC(MID($B216,20,2)))</f>
        <v>Control</v>
      </c>
      <c r="N216" s="3" t="str" cm="1">
        <f t="array" ref="N216">IF(M216="ALU",INDEX(ALUOps!A:A,1+BIN2DEC(MID($B216,22,5))),"")</f>
        <v/>
      </c>
      <c r="O216" s="3" t="str" cm="1">
        <f t="array" ref="O216">IF(M216="ALU",INDEX(TMP!A:A,1+BIN2DEC(MID($B216,27,2))),"")</f>
        <v/>
      </c>
      <c r="P216" s="6" t="str">
        <f t="shared" si="25"/>
        <v/>
      </c>
      <c r="Q216" t="str">
        <f t="shared" si="26"/>
        <v/>
      </c>
      <c r="R216" t="str">
        <f t="shared" si="28"/>
        <v/>
      </c>
      <c r="S216" cm="1">
        <f t="array" ref="S216">IF(M216="Control",INDEX(IC!A:A,1+BIN2DEC(MID($B216,21,4))),"")</f>
        <v>0</v>
      </c>
      <c r="T216" cm="1">
        <f t="array" ref="T216">IF(M216="Control",INDEX(EC!A:A,1+BIN2DEC(MID($B216,25,3))),"")</f>
        <v>0</v>
      </c>
      <c r="U216" cm="1">
        <f t="array" ref="U216">IF(M216="Control",INDEX(SR!A:A,1+BIN2DEC(MID($B216,28,2))),"")</f>
        <v>0</v>
      </c>
    </row>
    <row r="217" spans="1:30" x14ac:dyDescent="0.25">
      <c r="A217" s="4" t="str">
        <f t="shared" si="22"/>
        <v>0D7</v>
      </c>
      <c r="B217" s="2" t="s">
        <v>4</v>
      </c>
      <c r="C217" s="3"/>
      <c r="D217" s="3"/>
      <c r="E217" s="3"/>
      <c r="F217" s="27" t="str" cm="1">
        <f t="array" ref="F217">INDEX(Sources!A:A, 1 + BIN2DEC(LEFT($B217,5)))</f>
        <v>--</v>
      </c>
      <c r="G217" s="27" t="str" cm="1">
        <f t="array" ref="G217">INDEX(Dest1!A:A,1+BIN2DEC(MID($B217,6,5)))</f>
        <v>--</v>
      </c>
      <c r="H217" s="27" t="str" cm="1">
        <f t="array" ref="H217">INDEX(Source2!A:A,1+BIN2DEC(MID($B217,11,4)))</f>
        <v>--</v>
      </c>
      <c r="I217" s="23" cm="1">
        <f t="array" ref="I217">INDEX('D2'!A:A,1+BIN2DEC(MID($B217,16,2)))</f>
        <v>0</v>
      </c>
      <c r="J217" s="6">
        <f t="shared" si="27"/>
        <v>0</v>
      </c>
      <c r="K217" s="6">
        <f t="shared" si="23"/>
        <v>0</v>
      </c>
      <c r="L217" s="6">
        <f t="shared" si="24"/>
        <v>0</v>
      </c>
      <c r="M217" s="3" t="str" cm="1">
        <f t="array" ref="M217">INDEX(Types!A:A,1+BIN2DEC(MID($B217,20,2)))</f>
        <v>Control</v>
      </c>
      <c r="N217" s="3" t="str" cm="1">
        <f t="array" ref="N217">IF(M217="ALU",INDEX(ALUOps!A:A,1+BIN2DEC(MID($B217,22,5))),"")</f>
        <v/>
      </c>
      <c r="O217" s="3" t="str" cm="1">
        <f t="array" ref="O217">IF(M217="ALU",INDEX(TMP!A:A,1+BIN2DEC(MID($B217,27,2))),"")</f>
        <v/>
      </c>
      <c r="P217" s="6" t="str">
        <f t="shared" si="25"/>
        <v/>
      </c>
      <c r="Q217" t="str">
        <f t="shared" si="26"/>
        <v/>
      </c>
      <c r="R217" t="str">
        <f t="shared" si="28"/>
        <v/>
      </c>
      <c r="S217" cm="1">
        <f t="array" ref="S217">IF(M217="Control",INDEX(IC!A:A,1+BIN2DEC(MID($B217,21,4))),"")</f>
        <v>0</v>
      </c>
      <c r="T217" cm="1">
        <f t="array" ref="T217">IF(M217="Control",INDEX(EC!A:A,1+BIN2DEC(MID($B217,25,3))),"")</f>
        <v>0</v>
      </c>
      <c r="U217" cm="1">
        <f t="array" ref="U217">IF(M217="Control",INDEX(SR!A:A,1+BIN2DEC(MID($B217,28,2))),"")</f>
        <v>0</v>
      </c>
    </row>
    <row r="218" spans="1:30" x14ac:dyDescent="0.25">
      <c r="A218" s="4" t="str">
        <f t="shared" si="22"/>
        <v>0D8</v>
      </c>
      <c r="B218" s="2" t="s">
        <v>216</v>
      </c>
      <c r="C218" s="2" t="s">
        <v>219</v>
      </c>
      <c r="D218" s="2" t="s">
        <v>932</v>
      </c>
      <c r="E218" s="2" t="s">
        <v>929</v>
      </c>
      <c r="F218" s="27" t="str" cm="1">
        <f t="array" ref="F218">INDEX(Sources!A:A, 1 + BIN2DEC(LEFT($B218,5)))</f>
        <v>SIGMA</v>
      </c>
      <c r="G218" s="27" t="str" cm="1">
        <f t="array" ref="G218">INDEX(Dest1!A:A,1+BIN2DEC(MID($B218,6,5)))</f>
        <v>--</v>
      </c>
      <c r="H218" s="27" t="str" cm="1">
        <f t="array" ref="H218">INDEX(Source2!A:A,1+BIN2DEC(MID($B218,11,4)))</f>
        <v>--</v>
      </c>
      <c r="I218" s="23" cm="1">
        <f t="array" ref="I218">INDEX('D2'!A:A,1+BIN2DEC(MID($B218,16,2)))</f>
        <v>0</v>
      </c>
      <c r="J218" s="6">
        <f t="shared" si="27"/>
        <v>0</v>
      </c>
      <c r="K218" s="6">
        <f t="shared" si="23"/>
        <v>0</v>
      </c>
      <c r="L218" s="6">
        <f t="shared" si="24"/>
        <v>0</v>
      </c>
      <c r="M218" s="3" t="str" cm="1">
        <f t="array" ref="M218">INDEX(Types!A:A,1+BIN2DEC(MID($B218,20,2)))</f>
        <v>ALU</v>
      </c>
      <c r="N218" s="3" cm="1">
        <f t="array" ref="N218">IF(M218="ALU",INDEX(ALUOps!A:A,1+BIN2DEC(MID($B218,22,5))),"")</f>
        <v>26</v>
      </c>
      <c r="O218" s="3" cm="1">
        <f t="array" ref="O218">IF(M218="ALU",INDEX(TMP!A:A,1+BIN2DEC(MID($B218,27,2))),"")</f>
        <v>3</v>
      </c>
      <c r="P218" s="6">
        <f t="shared" si="25"/>
        <v>1</v>
      </c>
      <c r="Q218" t="str">
        <f t="shared" si="26"/>
        <v/>
      </c>
      <c r="R218" t="str">
        <f t="shared" si="28"/>
        <v/>
      </c>
      <c r="S218" t="str" cm="1">
        <f t="array" ref="S218">IF(M218="Control",INDEX(IC!A:A,1+BIN2DEC(MID($B218,21,4))),"")</f>
        <v/>
      </c>
      <c r="T218" t="str" cm="1">
        <f t="array" ref="T218">IF(M218="Control",INDEX(EC!A:A,1+BIN2DEC(MID($B218,25,3))),"")</f>
        <v/>
      </c>
      <c r="U218" t="str" cm="1">
        <f t="array" ref="U218">IF(M218="Control",INDEX(SR!A:A,1+BIN2DEC(MID($B218,28,2))),"")</f>
        <v/>
      </c>
      <c r="AD218" s="1" t="s">
        <v>214</v>
      </c>
    </row>
    <row r="219" spans="1:30" x14ac:dyDescent="0.25">
      <c r="A219" s="4" t="str">
        <f t="shared" si="22"/>
        <v>0D9</v>
      </c>
      <c r="B219" s="2" t="s">
        <v>68</v>
      </c>
      <c r="C219" s="3"/>
      <c r="D219" s="3"/>
      <c r="E219" s="3"/>
      <c r="F219" s="27" t="str" cm="1">
        <f t="array" ref="F219">INDEX(Sources!A:A, 1 + BIN2DEC(LEFT($B219,5)))</f>
        <v>OPR</v>
      </c>
      <c r="G219" s="27" t="str" cm="1">
        <f t="array" ref="G219">INDEX(Dest1!A:A,1+BIN2DEC(MID($B219,6,5)))</f>
        <v>TMPA</v>
      </c>
      <c r="H219" s="27" t="str" cm="1">
        <f t="array" ref="H219">INDEX(Source2!A:A,1+BIN2DEC(MID($B219,11,4)))</f>
        <v>--</v>
      </c>
      <c r="I219" s="23" cm="1">
        <f t="array" ref="I219">INDEX('D2'!A:A,1+BIN2DEC(MID($B219,16,2)))</f>
        <v>0</v>
      </c>
      <c r="J219" s="6">
        <f t="shared" si="27"/>
        <v>0</v>
      </c>
      <c r="K219" s="6">
        <f t="shared" si="23"/>
        <v>0</v>
      </c>
      <c r="L219" s="6">
        <f t="shared" si="24"/>
        <v>0</v>
      </c>
      <c r="M219" s="3" t="str" cm="1">
        <f t="array" ref="M219">INDEX(Types!A:A,1+BIN2DEC(MID($B219,20,2)))</f>
        <v>Control</v>
      </c>
      <c r="N219" s="3" t="str" cm="1">
        <f t="array" ref="N219">IF(M219="ALU",INDEX(ALUOps!A:A,1+BIN2DEC(MID($B219,22,5))),"")</f>
        <v/>
      </c>
      <c r="O219" s="3" t="str" cm="1">
        <f t="array" ref="O219">IF(M219="ALU",INDEX(TMP!A:A,1+BIN2DEC(MID($B219,27,2))),"")</f>
        <v/>
      </c>
      <c r="P219" s="6" t="str">
        <f t="shared" si="25"/>
        <v/>
      </c>
      <c r="Q219" t="str">
        <f t="shared" si="26"/>
        <v/>
      </c>
      <c r="R219" t="str">
        <f t="shared" si="28"/>
        <v/>
      </c>
      <c r="S219" cm="1">
        <f t="array" ref="S219">IF(M219="Control",INDEX(IC!A:A,1+BIN2DEC(MID($B219,21,4))),"")</f>
        <v>0</v>
      </c>
      <c r="T219" cm="1">
        <f t="array" ref="T219">IF(M219="Control",INDEX(EC!A:A,1+BIN2DEC(MID($B219,25,3))),"")</f>
        <v>0</v>
      </c>
      <c r="U219" cm="1">
        <f t="array" ref="U219">IF(M219="Control",INDEX(SR!A:A,1+BIN2DEC(MID($B219,28,2))),"")</f>
        <v>0</v>
      </c>
    </row>
    <row r="220" spans="1:30" x14ac:dyDescent="0.25">
      <c r="A220" s="4" t="str">
        <f t="shared" si="22"/>
        <v>0DA</v>
      </c>
      <c r="B220" s="2" t="s">
        <v>180</v>
      </c>
      <c r="C220" s="3"/>
      <c r="D220" s="3"/>
      <c r="E220" s="3"/>
      <c r="F220" s="27" t="str" cm="1">
        <f t="array" ref="F220">INDEX(Sources!A:A, 1 + BIN2DEC(LEFT($B220,5)))</f>
        <v>OUT</v>
      </c>
      <c r="G220" s="27" t="str" cm="1">
        <f t="array" ref="G220">INDEX(Dest1!A:A,1+BIN2DEC(MID($B220,6,5)))</f>
        <v>TMPB</v>
      </c>
      <c r="H220" s="27" t="str" cm="1">
        <f t="array" ref="H220">INDEX(Source2!A:A,1+BIN2DEC(MID($B220,11,4)))</f>
        <v>--</v>
      </c>
      <c r="I220" s="23" cm="1">
        <f t="array" ref="I220">INDEX('D2'!A:A,1+BIN2DEC(MID($B220,16,2)))</f>
        <v>1</v>
      </c>
      <c r="J220" s="6">
        <f t="shared" si="27"/>
        <v>1</v>
      </c>
      <c r="K220" s="6">
        <f t="shared" si="23"/>
        <v>0</v>
      </c>
      <c r="L220" s="6">
        <f t="shared" si="24"/>
        <v>0</v>
      </c>
      <c r="M220" s="3" t="str" cm="1">
        <f t="array" ref="M220">INDEX(Types!A:A,1+BIN2DEC(MID($B220,20,2)))</f>
        <v>Control</v>
      </c>
      <c r="N220" s="3" t="str" cm="1">
        <f t="array" ref="N220">IF(M220="ALU",INDEX(ALUOps!A:A,1+BIN2DEC(MID($B220,22,5))),"")</f>
        <v/>
      </c>
      <c r="O220" s="3" t="str" cm="1">
        <f t="array" ref="O220">IF(M220="ALU",INDEX(TMP!A:A,1+BIN2DEC(MID($B220,27,2))),"")</f>
        <v/>
      </c>
      <c r="P220" s="6" t="str">
        <f t="shared" si="25"/>
        <v/>
      </c>
      <c r="Q220" t="str">
        <f t="shared" si="26"/>
        <v/>
      </c>
      <c r="R220" t="str">
        <f t="shared" si="28"/>
        <v/>
      </c>
      <c r="S220" cm="1">
        <f t="array" ref="S220">IF(M220="Control",INDEX(IC!A:A,1+BIN2DEC(MID($B220,21,4))),"")</f>
        <v>0</v>
      </c>
      <c r="T220" cm="1">
        <f t="array" ref="T220">IF(M220="Control",INDEX(EC!A:A,1+BIN2DEC(MID($B220,25,3))),"")</f>
        <v>0</v>
      </c>
      <c r="U220" cm="1">
        <f t="array" ref="U220">IF(M220="Control",INDEX(SR!A:A,1+BIN2DEC(MID($B220,28,2))),"")</f>
        <v>0</v>
      </c>
    </row>
    <row r="221" spans="1:30" x14ac:dyDescent="0.25">
      <c r="A221" s="4" t="str">
        <f t="shared" si="22"/>
        <v>0DB</v>
      </c>
      <c r="B221" s="2" t="s">
        <v>183</v>
      </c>
      <c r="C221" s="3"/>
      <c r="D221" s="3"/>
      <c r="E221" s="3"/>
      <c r="F221" s="27" t="str" cm="1">
        <f t="array" ref="F221">INDEX(Sources!A:A, 1 + BIN2DEC(LEFT($B221,5)))</f>
        <v>SIGMA</v>
      </c>
      <c r="G221" s="27" t="str" cm="1">
        <f t="array" ref="G221">INDEX(Dest1!A:A,1+BIN2DEC(MID($B221,6,5)))</f>
        <v>UNK24</v>
      </c>
      <c r="H221" s="27" t="str" cm="1">
        <f t="array" ref="H221">INDEX(Source2!A:A,1+BIN2DEC(MID($B221,11,4)))</f>
        <v>--</v>
      </c>
      <c r="I221" s="23" cm="1">
        <f t="array" ref="I221">INDEX('D2'!A:A,1+BIN2DEC(MID($B221,16,2)))</f>
        <v>0</v>
      </c>
      <c r="J221" s="6">
        <f t="shared" si="27"/>
        <v>0</v>
      </c>
      <c r="K221" s="6">
        <f t="shared" si="23"/>
        <v>1</v>
      </c>
      <c r="L221" s="6">
        <f t="shared" si="24"/>
        <v>0</v>
      </c>
      <c r="M221" s="3" t="str" cm="1">
        <f t="array" ref="M221">INDEX(Types!A:A,1+BIN2DEC(MID($B221,20,2)))</f>
        <v>ALU</v>
      </c>
      <c r="N221" s="3" cm="1">
        <f t="array" ref="N221">IF(M221="ALU",INDEX(ALUOps!A:A,1+BIN2DEC(MID($B221,22,5))),"")</f>
        <v>31</v>
      </c>
      <c r="O221" s="3" cm="1">
        <f t="array" ref="O221">IF(M221="ALU",INDEX(TMP!A:A,1+BIN2DEC(MID($B221,27,2))),"")</f>
        <v>1</v>
      </c>
      <c r="P221" s="6">
        <f t="shared" si="25"/>
        <v>1</v>
      </c>
      <c r="Q221" t="str">
        <f t="shared" si="26"/>
        <v/>
      </c>
      <c r="R221" t="str">
        <f t="shared" si="28"/>
        <v/>
      </c>
      <c r="S221" t="str" cm="1">
        <f t="array" ref="S221">IF(M221="Control",INDEX(IC!A:A,1+BIN2DEC(MID($B221,21,4))),"")</f>
        <v/>
      </c>
      <c r="T221" t="str" cm="1">
        <f t="array" ref="T221">IF(M221="Control",INDEX(EC!A:A,1+BIN2DEC(MID($B221,25,3))),"")</f>
        <v/>
      </c>
      <c r="U221" t="str" cm="1">
        <f t="array" ref="U221">IF(M221="Control",INDEX(SR!A:A,1+BIN2DEC(MID($B221,28,2))),"")</f>
        <v/>
      </c>
    </row>
    <row r="222" spans="1:30" x14ac:dyDescent="0.25">
      <c r="A222" s="4" t="str">
        <f t="shared" si="22"/>
        <v>0DC</v>
      </c>
      <c r="B222" s="2" t="s">
        <v>184</v>
      </c>
      <c r="C222" s="2" t="s">
        <v>220</v>
      </c>
      <c r="D222" s="2" t="s">
        <v>932</v>
      </c>
      <c r="E222" s="2" t="s">
        <v>488</v>
      </c>
      <c r="F222" s="27" t="str" cm="1">
        <f t="array" ref="F222">INDEX(Sources!A:A, 1 + BIN2DEC(LEFT($B222,5)))</f>
        <v>--</v>
      </c>
      <c r="G222" s="27" t="str" cm="1">
        <f t="array" ref="G222">INDEX(Dest1!A:A,1+BIN2DEC(MID($B222,6,5)))</f>
        <v>--</v>
      </c>
      <c r="H222" s="27" t="str" cm="1">
        <f t="array" ref="H222">INDEX(Source2!A:A,1+BIN2DEC(MID($B222,11,4)))</f>
        <v>--</v>
      </c>
      <c r="I222" s="23" cm="1">
        <f t="array" ref="I222">INDEX('D2'!A:A,1+BIN2DEC(MID($B222,16,2)))</f>
        <v>0</v>
      </c>
      <c r="J222" s="6">
        <f t="shared" si="27"/>
        <v>0</v>
      </c>
      <c r="K222" s="6">
        <f t="shared" si="23"/>
        <v>0</v>
      </c>
      <c r="L222" s="6">
        <f t="shared" si="24"/>
        <v>0</v>
      </c>
      <c r="M222" s="3" t="str" cm="1">
        <f t="array" ref="M222">INDEX(Types!A:A,1+BIN2DEC(MID($B222,20,2)))</f>
        <v>Jump</v>
      </c>
      <c r="N222" s="3" t="str" cm="1">
        <f t="array" ref="N222">IF(M222="ALU",INDEX(ALUOps!A:A,1+BIN2DEC(MID($B222,22,5))),"")</f>
        <v/>
      </c>
      <c r="O222" s="3" t="str" cm="1">
        <f t="array" ref="O222">IF(M222="ALU",INDEX(TMP!A:A,1+BIN2DEC(MID($B222,27,2))),"")</f>
        <v/>
      </c>
      <c r="P222" s="6" t="str">
        <f t="shared" si="25"/>
        <v/>
      </c>
      <c r="Q222">
        <f t="shared" si="26"/>
        <v>3</v>
      </c>
      <c r="R222">
        <f t="shared" si="28"/>
        <v>3</v>
      </c>
      <c r="S222" t="str" cm="1">
        <f t="array" ref="S222">IF(M222="Control",INDEX(IC!A:A,1+BIN2DEC(MID($B222,21,4))),"")</f>
        <v/>
      </c>
      <c r="T222" t="str" cm="1">
        <f t="array" ref="T222">IF(M222="Control",INDEX(EC!A:A,1+BIN2DEC(MID($B222,25,3))),"")</f>
        <v/>
      </c>
      <c r="U222" t="str" cm="1">
        <f t="array" ref="U222">IF(M222="Control",INDEX(SR!A:A,1+BIN2DEC(MID($B222,28,2))),"")</f>
        <v/>
      </c>
      <c r="AD222" s="1" t="s">
        <v>214</v>
      </c>
    </row>
    <row r="223" spans="1:30" x14ac:dyDescent="0.25">
      <c r="A223" s="4" t="str">
        <f t="shared" si="22"/>
        <v>0DD</v>
      </c>
      <c r="B223" s="2" t="s">
        <v>4</v>
      </c>
      <c r="C223" s="3"/>
      <c r="D223" s="3"/>
      <c r="E223" s="3"/>
      <c r="F223" s="27" t="str" cm="1">
        <f t="array" ref="F223">INDEX(Sources!A:A, 1 + BIN2DEC(LEFT($B223,5)))</f>
        <v>--</v>
      </c>
      <c r="G223" s="27" t="str" cm="1">
        <f t="array" ref="G223">INDEX(Dest1!A:A,1+BIN2DEC(MID($B223,6,5)))</f>
        <v>--</v>
      </c>
      <c r="H223" s="27" t="str" cm="1">
        <f t="array" ref="H223">INDEX(Source2!A:A,1+BIN2DEC(MID($B223,11,4)))</f>
        <v>--</v>
      </c>
      <c r="I223" s="23" cm="1">
        <f t="array" ref="I223">INDEX('D2'!A:A,1+BIN2DEC(MID($B223,16,2)))</f>
        <v>0</v>
      </c>
      <c r="J223" s="6">
        <f t="shared" si="27"/>
        <v>0</v>
      </c>
      <c r="K223" s="6">
        <f t="shared" si="23"/>
        <v>0</v>
      </c>
      <c r="L223" s="6">
        <f t="shared" si="24"/>
        <v>0</v>
      </c>
      <c r="M223" s="3" t="str" cm="1">
        <f t="array" ref="M223">INDEX(Types!A:A,1+BIN2DEC(MID($B223,20,2)))</f>
        <v>Control</v>
      </c>
      <c r="N223" s="3" t="str" cm="1">
        <f t="array" ref="N223">IF(M223="ALU",INDEX(ALUOps!A:A,1+BIN2DEC(MID($B223,22,5))),"")</f>
        <v/>
      </c>
      <c r="O223" s="3" t="str" cm="1">
        <f t="array" ref="O223">IF(M223="ALU",INDEX(TMP!A:A,1+BIN2DEC(MID($B223,27,2))),"")</f>
        <v/>
      </c>
      <c r="P223" s="6" t="str">
        <f t="shared" si="25"/>
        <v/>
      </c>
      <c r="Q223" t="str">
        <f t="shared" si="26"/>
        <v/>
      </c>
      <c r="R223" t="str">
        <f t="shared" si="28"/>
        <v/>
      </c>
      <c r="S223" cm="1">
        <f t="array" ref="S223">IF(M223="Control",INDEX(IC!A:A,1+BIN2DEC(MID($B223,21,4))),"")</f>
        <v>0</v>
      </c>
      <c r="T223" cm="1">
        <f t="array" ref="T223">IF(M223="Control",INDEX(EC!A:A,1+BIN2DEC(MID($B223,25,3))),"")</f>
        <v>0</v>
      </c>
      <c r="U223" cm="1">
        <f t="array" ref="U223">IF(M223="Control",INDEX(SR!A:A,1+BIN2DEC(MID($B223,28,2))),"")</f>
        <v>0</v>
      </c>
    </row>
    <row r="224" spans="1:30" x14ac:dyDescent="0.25">
      <c r="A224" s="4" t="str">
        <f t="shared" si="22"/>
        <v>0DE</v>
      </c>
      <c r="B224" s="2" t="s">
        <v>4</v>
      </c>
      <c r="C224" s="3"/>
      <c r="D224" s="3"/>
      <c r="E224" s="3"/>
      <c r="F224" s="27" t="str" cm="1">
        <f t="array" ref="F224">INDEX(Sources!A:A, 1 + BIN2DEC(LEFT($B224,5)))</f>
        <v>--</v>
      </c>
      <c r="G224" s="27" t="str" cm="1">
        <f t="array" ref="G224">INDEX(Dest1!A:A,1+BIN2DEC(MID($B224,6,5)))</f>
        <v>--</v>
      </c>
      <c r="H224" s="27" t="str" cm="1">
        <f t="array" ref="H224">INDEX(Source2!A:A,1+BIN2DEC(MID($B224,11,4)))</f>
        <v>--</v>
      </c>
      <c r="I224" s="23" cm="1">
        <f t="array" ref="I224">INDEX('D2'!A:A,1+BIN2DEC(MID($B224,16,2)))</f>
        <v>0</v>
      </c>
      <c r="J224" s="6">
        <f t="shared" si="27"/>
        <v>0</v>
      </c>
      <c r="K224" s="6">
        <f t="shared" si="23"/>
        <v>0</v>
      </c>
      <c r="L224" s="6">
        <f t="shared" si="24"/>
        <v>0</v>
      </c>
      <c r="M224" s="3" t="str" cm="1">
        <f t="array" ref="M224">INDEX(Types!A:A,1+BIN2DEC(MID($B224,20,2)))</f>
        <v>Control</v>
      </c>
      <c r="N224" s="3" t="str" cm="1">
        <f t="array" ref="N224">IF(M224="ALU",INDEX(ALUOps!A:A,1+BIN2DEC(MID($B224,22,5))),"")</f>
        <v/>
      </c>
      <c r="O224" s="3" t="str" cm="1">
        <f t="array" ref="O224">IF(M224="ALU",INDEX(TMP!A:A,1+BIN2DEC(MID($B224,27,2))),"")</f>
        <v/>
      </c>
      <c r="P224" s="6" t="str">
        <f t="shared" si="25"/>
        <v/>
      </c>
      <c r="Q224" t="str">
        <f t="shared" si="26"/>
        <v/>
      </c>
      <c r="R224" t="str">
        <f t="shared" si="28"/>
        <v/>
      </c>
      <c r="S224" cm="1">
        <f t="array" ref="S224">IF(M224="Control",INDEX(IC!A:A,1+BIN2DEC(MID($B224,21,4))),"")</f>
        <v>0</v>
      </c>
      <c r="T224" cm="1">
        <f t="array" ref="T224">IF(M224="Control",INDEX(EC!A:A,1+BIN2DEC(MID($B224,25,3))),"")</f>
        <v>0</v>
      </c>
      <c r="U224" cm="1">
        <f t="array" ref="U224">IF(M224="Control",INDEX(SR!A:A,1+BIN2DEC(MID($B224,28,2))),"")</f>
        <v>0</v>
      </c>
    </row>
    <row r="225" spans="1:30" s="9" customFormat="1" ht="15.75" thickBot="1" x14ac:dyDescent="0.3">
      <c r="A225" s="7" t="str">
        <f t="shared" si="22"/>
        <v>0DF</v>
      </c>
      <c r="B225" s="8" t="s">
        <v>163</v>
      </c>
      <c r="C225" s="10"/>
      <c r="D225" s="10"/>
      <c r="E225" s="10"/>
      <c r="F225" s="30" t="str" cm="1">
        <f t="array" ref="F225">INDEX(Sources!A:A, 1 + BIN2DEC(LEFT($B225,5)))</f>
        <v>LC</v>
      </c>
      <c r="G225" s="30" t="str" cm="1">
        <f t="array" ref="G225">INDEX(Dest1!A:A,1+BIN2DEC(MID($B225,6,5)))</f>
        <v>C</v>
      </c>
      <c r="H225" s="30" t="str" cm="1">
        <f t="array" ref="H225">INDEX(Source2!A:A,1+BIN2DEC(MID($B225,11,4)))</f>
        <v>--</v>
      </c>
      <c r="I225" s="26" cm="1">
        <f t="array" ref="I225">INDEX('D2'!A:A,1+BIN2DEC(MID($B225,16,2)))</f>
        <v>0</v>
      </c>
      <c r="J225" s="11">
        <f t="shared" si="27"/>
        <v>0</v>
      </c>
      <c r="K225" s="11">
        <f t="shared" si="23"/>
        <v>0</v>
      </c>
      <c r="L225" s="11">
        <f t="shared" si="24"/>
        <v>0</v>
      </c>
      <c r="M225" s="10" t="str" cm="1">
        <f t="array" ref="M225">INDEX(Types!A:A,1+BIN2DEC(MID($B225,20,2)))</f>
        <v>Control</v>
      </c>
      <c r="N225" s="10" t="str" cm="1">
        <f t="array" ref="N225">IF(M225="ALU",INDEX(ALUOps!A:A,1+BIN2DEC(MID($B225,22,5))),"")</f>
        <v/>
      </c>
      <c r="O225" s="10" t="str" cm="1">
        <f t="array" ref="O225">IF(M225="ALU",INDEX(TMP!A:A,1+BIN2DEC(MID($B225,27,2))),"")</f>
        <v/>
      </c>
      <c r="P225" s="11" t="str">
        <f t="shared" si="25"/>
        <v/>
      </c>
      <c r="Q225" s="9" t="str">
        <f t="shared" si="26"/>
        <v/>
      </c>
      <c r="R225" s="9" t="str">
        <f t="shared" si="28"/>
        <v/>
      </c>
      <c r="S225" s="9" cm="1">
        <f t="array" ref="S225">IF(M225="Control",INDEX(IC!A:A,1+BIN2DEC(MID($B225,21,4))),"")</f>
        <v>1</v>
      </c>
      <c r="T225" s="9" cm="1">
        <f t="array" ref="T225">IF(M225="Control",INDEX(EC!A:A,1+BIN2DEC(MID($B225,25,3))),"")</f>
        <v>5</v>
      </c>
      <c r="U225" s="9" cm="1">
        <f t="array" ref="U225">IF(M225="Control",INDEX(SR!A:A,1+BIN2DEC(MID($B225,28,2))),"")</f>
        <v>3</v>
      </c>
    </row>
    <row r="226" spans="1:30" x14ac:dyDescent="0.25">
      <c r="A226" s="4" t="str">
        <f t="shared" si="22"/>
        <v>0E0</v>
      </c>
      <c r="B226" s="2" t="s">
        <v>63</v>
      </c>
      <c r="C226" s="2" t="s">
        <v>221</v>
      </c>
      <c r="D226" s="2" t="s">
        <v>928</v>
      </c>
      <c r="E226" s="2" t="s">
        <v>462</v>
      </c>
      <c r="F226" s="27" t="str" cm="1">
        <f t="array" ref="F226">INDEX(Sources!A:A, 1 + BIN2DEC(LEFT($B226,5)))</f>
        <v>Q</v>
      </c>
      <c r="G226" s="27" t="str" cm="1">
        <f t="array" ref="G226">INDEX(Dest1!A:A,1+BIN2DEC(MID($B226,6,5)))</f>
        <v>UNK10</v>
      </c>
      <c r="H226" s="27" t="str" cm="1">
        <f t="array" ref="H226">INDEX(Source2!A:A,1+BIN2DEC(MID($B226,11,4)))</f>
        <v>--</v>
      </c>
      <c r="I226" s="23" cm="1">
        <f t="array" ref="I226">INDEX('D2'!A:A,1+BIN2DEC(MID($B226,16,2)))</f>
        <v>0</v>
      </c>
      <c r="J226" s="6">
        <f t="shared" si="27"/>
        <v>0</v>
      </c>
      <c r="K226" s="6">
        <f t="shared" si="23"/>
        <v>0</v>
      </c>
      <c r="L226" s="6">
        <f t="shared" si="24"/>
        <v>0</v>
      </c>
      <c r="M226" s="3" t="str" cm="1">
        <f t="array" ref="M226">INDEX(Types!A:A,1+BIN2DEC(MID($B226,20,2)))</f>
        <v>Jump</v>
      </c>
      <c r="N226" s="3" t="str" cm="1">
        <f t="array" ref="N226">IF(M226="ALU",INDEX(ALUOps!A:A,1+BIN2DEC(MID($B226,22,5))),"")</f>
        <v/>
      </c>
      <c r="O226" s="3" t="str" cm="1">
        <f t="array" ref="O226">IF(M226="ALU",INDEX(TMP!A:A,1+BIN2DEC(MID($B226,27,2))),"")</f>
        <v/>
      </c>
      <c r="P226" s="6" t="str">
        <f t="shared" si="25"/>
        <v/>
      </c>
      <c r="Q226">
        <f t="shared" si="26"/>
        <v>8</v>
      </c>
      <c r="R226">
        <f t="shared" si="28"/>
        <v>2</v>
      </c>
      <c r="S226" t="str" cm="1">
        <f t="array" ref="S226">IF(M226="Control",INDEX(IC!A:A,1+BIN2DEC(MID($B226,21,4))),"")</f>
        <v/>
      </c>
      <c r="T226" t="str" cm="1">
        <f t="array" ref="T226">IF(M226="Control",INDEX(EC!A:A,1+BIN2DEC(MID($B226,25,3))),"")</f>
        <v/>
      </c>
      <c r="U226" t="str" cm="1">
        <f t="array" ref="U226">IF(M226="Control",INDEX(SR!A:A,1+BIN2DEC(MID($B226,28,2))),"")</f>
        <v/>
      </c>
      <c r="X226" t="s">
        <v>1017</v>
      </c>
      <c r="AC226" t="s">
        <v>1016</v>
      </c>
      <c r="AD226" s="1" t="s">
        <v>222</v>
      </c>
    </row>
    <row r="227" spans="1:30" x14ac:dyDescent="0.25">
      <c r="A227" s="4" t="str">
        <f t="shared" si="22"/>
        <v>0E1</v>
      </c>
      <c r="B227" s="2" t="s">
        <v>66</v>
      </c>
      <c r="C227" s="3"/>
      <c r="D227" s="3"/>
      <c r="E227" s="3"/>
      <c r="F227" s="27" t="str" cm="1">
        <f t="array" ref="F227">INDEX(Sources!A:A, 1 + BIN2DEC(LEFT($B227,5)))</f>
        <v>Q</v>
      </c>
      <c r="G227" s="27" t="str" cm="1">
        <f t="array" ref="G227">INDEX(Dest1!A:A,1+BIN2DEC(MID($B227,6,5)))</f>
        <v>UNK8</v>
      </c>
      <c r="H227" s="27" t="str" cm="1">
        <f t="array" ref="H227">INDEX(Source2!A:A,1+BIN2DEC(MID($B227,11,4)))</f>
        <v>--</v>
      </c>
      <c r="I227" s="23" cm="1">
        <f t="array" ref="I227">INDEX('D2'!A:A,1+BIN2DEC(MID($B227,16,2)))</f>
        <v>0</v>
      </c>
      <c r="J227" s="6">
        <f t="shared" si="27"/>
        <v>0</v>
      </c>
      <c r="K227" s="6">
        <f t="shared" si="23"/>
        <v>0</v>
      </c>
      <c r="L227" s="6">
        <f t="shared" si="24"/>
        <v>0</v>
      </c>
      <c r="M227" s="3" t="str" cm="1">
        <f t="array" ref="M227">INDEX(Types!A:A,1+BIN2DEC(MID($B227,20,2)))</f>
        <v>Control</v>
      </c>
      <c r="N227" s="3" t="str" cm="1">
        <f t="array" ref="N227">IF(M227="ALU",INDEX(ALUOps!A:A,1+BIN2DEC(MID($B227,22,5))),"")</f>
        <v/>
      </c>
      <c r="O227" s="3" t="str" cm="1">
        <f t="array" ref="O227">IF(M227="ALU",INDEX(TMP!A:A,1+BIN2DEC(MID($B227,27,2))),"")</f>
        <v/>
      </c>
      <c r="P227" s="6" t="str">
        <f t="shared" si="25"/>
        <v/>
      </c>
      <c r="Q227" t="str">
        <f t="shared" si="26"/>
        <v/>
      </c>
      <c r="R227" t="str">
        <f t="shared" si="28"/>
        <v/>
      </c>
      <c r="S227" cm="1">
        <f t="array" ref="S227">IF(M227="Control",INDEX(IC!A:A,1+BIN2DEC(MID($B227,21,4))),"")</f>
        <v>0</v>
      </c>
      <c r="T227" cm="1">
        <f t="array" ref="T227">IF(M227="Control",INDEX(EC!A:A,1+BIN2DEC(MID($B227,25,3))),"")</f>
        <v>0</v>
      </c>
      <c r="U227" cm="1">
        <f t="array" ref="U227">IF(M227="Control",INDEX(SR!A:A,1+BIN2DEC(MID($B227,28,2))),"")</f>
        <v>0</v>
      </c>
    </row>
    <row r="228" spans="1:30" x14ac:dyDescent="0.25">
      <c r="A228" s="4" t="str">
        <f t="shared" si="22"/>
        <v>0E2</v>
      </c>
      <c r="B228" s="2" t="s">
        <v>223</v>
      </c>
      <c r="C228" s="3"/>
      <c r="D228" s="3"/>
      <c r="E228" s="3"/>
      <c r="F228" s="27" t="str" cm="1">
        <f t="array" ref="F228">INDEX(Sources!A:A, 1 + BIN2DEC(LEFT($B228,5)))</f>
        <v>TMPA</v>
      </c>
      <c r="G228" s="27" t="str" cm="1">
        <f t="array" ref="G228">INDEX(Dest1!A:A,1+BIN2DEC(MID($B228,6,5)))</f>
        <v>OPR</v>
      </c>
      <c r="H228" s="27" t="str" cm="1">
        <f t="array" ref="H228">INDEX(Source2!A:A,1+BIN2DEC(MID($B228,11,4)))</f>
        <v>--</v>
      </c>
      <c r="I228" s="23" cm="1">
        <f t="array" ref="I228">INDEX('D2'!A:A,1+BIN2DEC(MID($B228,16,2)))</f>
        <v>0</v>
      </c>
      <c r="J228" s="6">
        <f t="shared" si="27"/>
        <v>0</v>
      </c>
      <c r="K228" s="6">
        <f t="shared" si="23"/>
        <v>0</v>
      </c>
      <c r="L228" s="6">
        <f t="shared" si="24"/>
        <v>1</v>
      </c>
      <c r="M228" s="3" t="str" cm="1">
        <f t="array" ref="M228">INDEX(Types!A:A,1+BIN2DEC(MID($B228,20,2)))</f>
        <v>Control</v>
      </c>
      <c r="N228" s="3" t="str" cm="1">
        <f t="array" ref="N228">IF(M228="ALU",INDEX(ALUOps!A:A,1+BIN2DEC(MID($B228,22,5))),"")</f>
        <v/>
      </c>
      <c r="O228" s="3" t="str" cm="1">
        <f t="array" ref="O228">IF(M228="ALU",INDEX(TMP!A:A,1+BIN2DEC(MID($B228,27,2))),"")</f>
        <v/>
      </c>
      <c r="P228" s="6" t="str">
        <f t="shared" si="25"/>
        <v/>
      </c>
      <c r="Q228" t="str">
        <f t="shared" si="26"/>
        <v/>
      </c>
      <c r="R228" t="str">
        <f t="shared" si="28"/>
        <v/>
      </c>
      <c r="S228" cm="1">
        <f t="array" ref="S228">IF(M228="Control",INDEX(IC!A:A,1+BIN2DEC(MID($B228,21,4))),"")</f>
        <v>0</v>
      </c>
      <c r="T228" cm="1">
        <f t="array" ref="T228">IF(M228="Control",INDEX(EC!A:A,1+BIN2DEC(MID($B228,25,3))),"")</f>
        <v>0</v>
      </c>
      <c r="U228" cm="1">
        <f t="array" ref="U228">IF(M228="Control",INDEX(SR!A:A,1+BIN2DEC(MID($B228,28,2))),"")</f>
        <v>0</v>
      </c>
    </row>
    <row r="229" spans="1:30" s="9" customFormat="1" ht="15.75" thickBot="1" x14ac:dyDescent="0.3">
      <c r="A229" s="7" t="str">
        <f t="shared" si="22"/>
        <v>0E3</v>
      </c>
      <c r="B229" s="8" t="s">
        <v>4</v>
      </c>
      <c r="C229" s="10"/>
      <c r="D229" s="10"/>
      <c r="E229" s="10"/>
      <c r="F229" s="30" t="str" cm="1">
        <f t="array" ref="F229">INDEX(Sources!A:A, 1 + BIN2DEC(LEFT($B229,5)))</f>
        <v>--</v>
      </c>
      <c r="G229" s="30" t="str" cm="1">
        <f t="array" ref="G229">INDEX(Dest1!A:A,1+BIN2DEC(MID($B229,6,5)))</f>
        <v>--</v>
      </c>
      <c r="H229" s="30" t="str" cm="1">
        <f t="array" ref="H229">INDEX(Source2!A:A,1+BIN2DEC(MID($B229,11,4)))</f>
        <v>--</v>
      </c>
      <c r="I229" s="26" cm="1">
        <f t="array" ref="I229">INDEX('D2'!A:A,1+BIN2DEC(MID($B229,16,2)))</f>
        <v>0</v>
      </c>
      <c r="J229" s="11">
        <f t="shared" si="27"/>
        <v>0</v>
      </c>
      <c r="K229" s="11">
        <f t="shared" si="23"/>
        <v>0</v>
      </c>
      <c r="L229" s="11">
        <f t="shared" si="24"/>
        <v>0</v>
      </c>
      <c r="M229" s="10" t="str" cm="1">
        <f t="array" ref="M229">INDEX(Types!A:A,1+BIN2DEC(MID($B229,20,2)))</f>
        <v>Control</v>
      </c>
      <c r="N229" s="10" t="str" cm="1">
        <f t="array" ref="N229">IF(M229="ALU",INDEX(ALUOps!A:A,1+BIN2DEC(MID($B229,22,5))),"")</f>
        <v/>
      </c>
      <c r="O229" s="10" t="str" cm="1">
        <f t="array" ref="O229">IF(M229="ALU",INDEX(TMP!A:A,1+BIN2DEC(MID($B229,27,2))),"")</f>
        <v/>
      </c>
      <c r="P229" s="11" t="str">
        <f t="shared" si="25"/>
        <v/>
      </c>
      <c r="Q229" s="9" t="str">
        <f t="shared" si="26"/>
        <v/>
      </c>
      <c r="R229" s="9" t="str">
        <f t="shared" si="28"/>
        <v/>
      </c>
      <c r="S229" s="9" cm="1">
        <f t="array" ref="S229">IF(M229="Control",INDEX(IC!A:A,1+BIN2DEC(MID($B229,21,4))),"")</f>
        <v>0</v>
      </c>
      <c r="T229" s="9" cm="1">
        <f t="array" ref="T229">IF(M229="Control",INDEX(EC!A:A,1+BIN2DEC(MID($B229,25,3))),"")</f>
        <v>0</v>
      </c>
      <c r="U229" s="9" cm="1">
        <f t="array" ref="U229">IF(M229="Control",INDEX(SR!A:A,1+BIN2DEC(MID($B229,28,2))),"")</f>
        <v>0</v>
      </c>
    </row>
    <row r="230" spans="1:30" x14ac:dyDescent="0.25">
      <c r="A230" s="4" t="str">
        <f t="shared" si="22"/>
        <v>0E4</v>
      </c>
      <c r="B230" s="2" t="s">
        <v>111</v>
      </c>
      <c r="C230" s="2" t="s">
        <v>224</v>
      </c>
      <c r="D230" s="2" t="s">
        <v>928</v>
      </c>
      <c r="E230" s="2" t="s">
        <v>462</v>
      </c>
      <c r="F230" s="27" t="str" cm="1">
        <f t="array" ref="F230">INDEX(Sources!A:A, 1 + BIN2DEC(LEFT($B230,5)))</f>
        <v>Q</v>
      </c>
      <c r="G230" s="27" t="str" cm="1">
        <f t="array" ref="G230">INDEX(Dest1!A:A,1+BIN2DEC(MID($B230,6,5)))</f>
        <v>UNK10</v>
      </c>
      <c r="H230" s="27" t="str" cm="1">
        <f t="array" ref="H230">INDEX(Source2!A:A,1+BIN2DEC(MID($B230,11,4)))</f>
        <v>--</v>
      </c>
      <c r="I230" s="23" cm="1">
        <f t="array" ref="I230">INDEX('D2'!A:A,1+BIN2DEC(MID($B230,16,2)))</f>
        <v>0</v>
      </c>
      <c r="J230" s="6">
        <f t="shared" si="27"/>
        <v>0</v>
      </c>
      <c r="K230" s="6">
        <f t="shared" si="23"/>
        <v>0</v>
      </c>
      <c r="L230" s="6">
        <f t="shared" si="24"/>
        <v>0</v>
      </c>
      <c r="M230" s="3" t="str" cm="1">
        <f t="array" ref="M230">INDEX(Types!A:A,1+BIN2DEC(MID($B230,20,2)))</f>
        <v>Control</v>
      </c>
      <c r="N230" s="3" t="str" cm="1">
        <f t="array" ref="N230">IF(M230="ALU",INDEX(ALUOps!A:A,1+BIN2DEC(MID($B230,22,5))),"")</f>
        <v/>
      </c>
      <c r="O230" s="3" t="str" cm="1">
        <f t="array" ref="O230">IF(M230="ALU",INDEX(TMP!A:A,1+BIN2DEC(MID($B230,27,2))),"")</f>
        <v/>
      </c>
      <c r="P230" s="6" t="str">
        <f t="shared" si="25"/>
        <v/>
      </c>
      <c r="Q230" t="str">
        <f t="shared" si="26"/>
        <v/>
      </c>
      <c r="R230" t="str">
        <f t="shared" si="28"/>
        <v/>
      </c>
      <c r="S230" cm="1">
        <f t="array" ref="S230">IF(M230="Control",INDEX(IC!A:A,1+BIN2DEC(MID($B230,21,4))),"")</f>
        <v>0</v>
      </c>
      <c r="T230" cm="1">
        <f t="array" ref="T230">IF(M230="Control",INDEX(EC!A:A,1+BIN2DEC(MID($B230,25,3))),"")</f>
        <v>0</v>
      </c>
      <c r="U230" cm="1">
        <f t="array" ref="U230">IF(M230="Control",INDEX(SR!A:A,1+BIN2DEC(MID($B230,28,2))),"")</f>
        <v>0</v>
      </c>
      <c r="X230" t="s">
        <v>1020</v>
      </c>
      <c r="AD230" s="1" t="s">
        <v>225</v>
      </c>
    </row>
    <row r="231" spans="1:30" x14ac:dyDescent="0.25">
      <c r="A231" s="4" t="str">
        <f t="shared" si="22"/>
        <v>0E5</v>
      </c>
      <c r="B231" s="2" t="s">
        <v>226</v>
      </c>
      <c r="C231" s="3"/>
      <c r="D231" s="3"/>
      <c r="E231" s="3"/>
      <c r="F231" s="27" t="str" cm="1">
        <f t="array" ref="F231">INDEX(Sources!A:A, 1 + BIN2DEC(LEFT($B231,5)))</f>
        <v>Q</v>
      </c>
      <c r="G231" s="27" t="str" cm="1">
        <f t="array" ref="G231">INDEX(Dest1!A:A,1+BIN2DEC(MID($B231,6,5)))</f>
        <v>UNK8</v>
      </c>
      <c r="H231" s="27" t="str" cm="1">
        <f t="array" ref="H231">INDEX(Source2!A:A,1+BIN2DEC(MID($B231,11,4)))</f>
        <v>--</v>
      </c>
      <c r="I231" s="23" cm="1">
        <f t="array" ref="I231">INDEX('D2'!A:A,1+BIN2DEC(MID($B231,16,2)))</f>
        <v>0</v>
      </c>
      <c r="J231" s="6">
        <f t="shared" si="27"/>
        <v>0</v>
      </c>
      <c r="K231" s="6">
        <f t="shared" si="23"/>
        <v>0</v>
      </c>
      <c r="L231" s="6">
        <f t="shared" si="24"/>
        <v>0</v>
      </c>
      <c r="M231" s="3" t="str" cm="1">
        <f t="array" ref="M231">INDEX(Types!A:A,1+BIN2DEC(MID($B231,20,2)))</f>
        <v>ALU</v>
      </c>
      <c r="N231" s="3" cm="1">
        <f t="array" ref="N231">IF(M231="ALU",INDEX(ALUOps!A:A,1+BIN2DEC(MID($B231,22,5))),"")</f>
        <v>3</v>
      </c>
      <c r="O231" s="3" cm="1">
        <f t="array" ref="O231">IF(M231="ALU",INDEX(TMP!A:A,1+BIN2DEC(MID($B231,27,2))),"")</f>
        <v>3</v>
      </c>
      <c r="P231" s="6">
        <f t="shared" si="25"/>
        <v>1</v>
      </c>
      <c r="Q231" t="str">
        <f t="shared" si="26"/>
        <v/>
      </c>
      <c r="R231" t="str">
        <f t="shared" si="28"/>
        <v/>
      </c>
      <c r="S231" t="str" cm="1">
        <f t="array" ref="S231">IF(M231="Control",INDEX(IC!A:A,1+BIN2DEC(MID($B231,21,4))),"")</f>
        <v/>
      </c>
      <c r="T231" t="str" cm="1">
        <f t="array" ref="T231">IF(M231="Control",INDEX(EC!A:A,1+BIN2DEC(MID($B231,25,3))),"")</f>
        <v/>
      </c>
      <c r="U231" t="str" cm="1">
        <f t="array" ref="U231">IF(M231="Control",INDEX(SR!A:A,1+BIN2DEC(MID($B231,28,2))),"")</f>
        <v/>
      </c>
    </row>
    <row r="232" spans="1:30" x14ac:dyDescent="0.25">
      <c r="A232" s="4" t="str">
        <f t="shared" si="22"/>
        <v>0E6</v>
      </c>
      <c r="B232" s="2" t="s">
        <v>227</v>
      </c>
      <c r="C232" s="3"/>
      <c r="D232" s="3"/>
      <c r="E232" s="3"/>
      <c r="F232" s="27" t="str" cm="1">
        <f t="array" ref="F232">INDEX(Sources!A:A, 1 + BIN2DEC(LEFT($B232,5)))</f>
        <v>SP</v>
      </c>
      <c r="G232" s="27" t="str" cm="1">
        <f t="array" ref="G232">INDEX(Dest1!A:A,1+BIN2DEC(MID($B232,6,5)))</f>
        <v>UNK26</v>
      </c>
      <c r="H232" s="27" t="str" cm="1">
        <f t="array" ref="H232">INDEX(Source2!A:A,1+BIN2DEC(MID($B232,11,4)))</f>
        <v>3</v>
      </c>
      <c r="I232" s="23" t="str" cm="1">
        <f t="array" ref="I232">INDEX('D2'!A:A,1+BIN2DEC(MID($B232,16,2)))</f>
        <v>TMPB</v>
      </c>
      <c r="J232" s="6">
        <f t="shared" si="27"/>
        <v>0</v>
      </c>
      <c r="K232" s="6">
        <f t="shared" si="23"/>
        <v>0</v>
      </c>
      <c r="L232" s="6">
        <f t="shared" si="24"/>
        <v>0</v>
      </c>
      <c r="M232" s="3" t="str" cm="1">
        <f t="array" ref="M232">INDEX(Types!A:A,1+BIN2DEC(MID($B232,20,2)))</f>
        <v>Control</v>
      </c>
      <c r="N232" s="3" t="str" cm="1">
        <f t="array" ref="N232">IF(M232="ALU",INDEX(ALUOps!A:A,1+BIN2DEC(MID($B232,22,5))),"")</f>
        <v/>
      </c>
      <c r="O232" s="3" t="str" cm="1">
        <f t="array" ref="O232">IF(M232="ALU",INDEX(TMP!A:A,1+BIN2DEC(MID($B232,27,2))),"")</f>
        <v/>
      </c>
      <c r="P232" s="6" t="str">
        <f t="shared" si="25"/>
        <v/>
      </c>
      <c r="Q232" t="str">
        <f t="shared" si="26"/>
        <v/>
      </c>
      <c r="R232" t="str">
        <f t="shared" si="28"/>
        <v/>
      </c>
      <c r="S232" cm="1">
        <f t="array" ref="S232">IF(M232="Control",INDEX(IC!A:A,1+BIN2DEC(MID($B232,21,4))),"")</f>
        <v>7</v>
      </c>
      <c r="T232" cm="1">
        <f t="array" ref="T232">IF(M232="Control",INDEX(EC!A:A,1+BIN2DEC(MID($B232,25,3))),"")</f>
        <v>6</v>
      </c>
      <c r="U232" cm="1">
        <f t="array" ref="U232">IF(M232="Control",INDEX(SR!A:A,1+BIN2DEC(MID($B232,28,2))),"")</f>
        <v>1</v>
      </c>
    </row>
    <row r="233" spans="1:30" x14ac:dyDescent="0.25">
      <c r="A233" s="4" t="str">
        <f t="shared" si="22"/>
        <v>0E7</v>
      </c>
      <c r="B233" s="2" t="s">
        <v>4</v>
      </c>
      <c r="C233" s="3"/>
      <c r="D233" s="3"/>
      <c r="E233" s="3"/>
      <c r="F233" s="27" t="str" cm="1">
        <f t="array" ref="F233">INDEX(Sources!A:A, 1 + BIN2DEC(LEFT($B233,5)))</f>
        <v>--</v>
      </c>
      <c r="G233" s="27" t="str" cm="1">
        <f t="array" ref="G233">INDEX(Dest1!A:A,1+BIN2DEC(MID($B233,6,5)))</f>
        <v>--</v>
      </c>
      <c r="H233" s="27" t="str" cm="1">
        <f t="array" ref="H233">INDEX(Source2!A:A,1+BIN2DEC(MID($B233,11,4)))</f>
        <v>--</v>
      </c>
      <c r="I233" s="23" cm="1">
        <f t="array" ref="I233">INDEX('D2'!A:A,1+BIN2DEC(MID($B233,16,2)))</f>
        <v>0</v>
      </c>
      <c r="J233" s="6">
        <f t="shared" si="27"/>
        <v>0</v>
      </c>
      <c r="K233" s="6">
        <f t="shared" si="23"/>
        <v>0</v>
      </c>
      <c r="L233" s="6">
        <f t="shared" si="24"/>
        <v>0</v>
      </c>
      <c r="M233" s="3" t="str" cm="1">
        <f t="array" ref="M233">INDEX(Types!A:A,1+BIN2DEC(MID($B233,20,2)))</f>
        <v>Control</v>
      </c>
      <c r="N233" s="3" t="str" cm="1">
        <f t="array" ref="N233">IF(M233="ALU",INDEX(ALUOps!A:A,1+BIN2DEC(MID($B233,22,5))),"")</f>
        <v/>
      </c>
      <c r="O233" s="3" t="str" cm="1">
        <f t="array" ref="O233">IF(M233="ALU",INDEX(TMP!A:A,1+BIN2DEC(MID($B233,27,2))),"")</f>
        <v/>
      </c>
      <c r="P233" s="6" t="str">
        <f t="shared" si="25"/>
        <v/>
      </c>
      <c r="Q233" t="str">
        <f t="shared" si="26"/>
        <v/>
      </c>
      <c r="R233" t="str">
        <f t="shared" si="28"/>
        <v/>
      </c>
      <c r="S233" cm="1">
        <f t="array" ref="S233">IF(M233="Control",INDEX(IC!A:A,1+BIN2DEC(MID($B233,21,4))),"")</f>
        <v>0</v>
      </c>
      <c r="T233" cm="1">
        <f t="array" ref="T233">IF(M233="Control",INDEX(EC!A:A,1+BIN2DEC(MID($B233,25,3))),"")</f>
        <v>0</v>
      </c>
      <c r="U233" cm="1">
        <f t="array" ref="U233">IF(M233="Control",INDEX(SR!A:A,1+BIN2DEC(MID($B233,28,2))),"")</f>
        <v>0</v>
      </c>
    </row>
    <row r="234" spans="1:30" x14ac:dyDescent="0.25">
      <c r="A234" s="4" t="str">
        <f t="shared" si="22"/>
        <v>0E8</v>
      </c>
      <c r="B234" s="2" t="s">
        <v>228</v>
      </c>
      <c r="C234" s="2" t="s">
        <v>229</v>
      </c>
      <c r="D234" s="2" t="s">
        <v>928</v>
      </c>
      <c r="E234" s="2" t="s">
        <v>929</v>
      </c>
      <c r="F234" s="27" t="str" cm="1">
        <f t="array" ref="F234">INDEX(Sources!A:A, 1 + BIN2DEC(LEFT($B234,5)))</f>
        <v>SIGMA</v>
      </c>
      <c r="G234" s="27" t="str" cm="1">
        <f t="array" ref="G234">INDEX(Dest1!A:A,1+BIN2DEC(MID($B234,6,5)))</f>
        <v>TMPB</v>
      </c>
      <c r="H234" s="27" t="str" cm="1">
        <f t="array" ref="H234">INDEX(Source2!A:A,1+BIN2DEC(MID($B234,11,4)))</f>
        <v>--</v>
      </c>
      <c r="I234" s="23" cm="1">
        <f t="array" ref="I234">INDEX('D2'!A:A,1+BIN2DEC(MID($B234,16,2)))</f>
        <v>0</v>
      </c>
      <c r="J234" s="6">
        <f t="shared" si="27"/>
        <v>0</v>
      </c>
      <c r="K234" s="6">
        <f t="shared" si="23"/>
        <v>0</v>
      </c>
      <c r="L234" s="6">
        <f t="shared" si="24"/>
        <v>0</v>
      </c>
      <c r="M234" s="3" t="str" cm="1">
        <f t="array" ref="M234">INDEX(Types!A:A,1+BIN2DEC(MID($B234,20,2)))</f>
        <v>ALU</v>
      </c>
      <c r="N234" s="3" cm="1">
        <f t="array" ref="N234">IF(M234="ALU",INDEX(ALUOps!A:A,1+BIN2DEC(MID($B234,22,5))),"")</f>
        <v>31</v>
      </c>
      <c r="O234" s="3" cm="1">
        <f t="array" ref="O234">IF(M234="ALU",INDEX(TMP!A:A,1+BIN2DEC(MID($B234,27,2))),"")</f>
        <v>3</v>
      </c>
      <c r="P234" s="6">
        <f t="shared" si="25"/>
        <v>1</v>
      </c>
      <c r="Q234" t="str">
        <f t="shared" si="26"/>
        <v/>
      </c>
      <c r="R234" t="str">
        <f t="shared" si="28"/>
        <v/>
      </c>
      <c r="S234" t="str" cm="1">
        <f t="array" ref="S234">IF(M234="Control",INDEX(IC!A:A,1+BIN2DEC(MID($B234,21,4))),"")</f>
        <v/>
      </c>
      <c r="T234" t="str" cm="1">
        <f t="array" ref="T234">IF(M234="Control",INDEX(EC!A:A,1+BIN2DEC(MID($B234,25,3))),"")</f>
        <v/>
      </c>
      <c r="U234" t="str" cm="1">
        <f t="array" ref="U234">IF(M234="Control",INDEX(SR!A:A,1+BIN2DEC(MID($B234,28,2))),"")</f>
        <v/>
      </c>
      <c r="X234" t="s">
        <v>1019</v>
      </c>
      <c r="AD234" s="1" t="s">
        <v>230</v>
      </c>
    </row>
    <row r="235" spans="1:30" x14ac:dyDescent="0.25">
      <c r="A235" s="4" t="str">
        <f t="shared" si="22"/>
        <v>0E9</v>
      </c>
      <c r="B235" s="2" t="s">
        <v>15</v>
      </c>
      <c r="C235" s="3"/>
      <c r="D235" s="3"/>
      <c r="E235" s="3"/>
      <c r="F235" s="27" t="str" cm="1">
        <f t="array" ref="F235">INDEX(Sources!A:A, 1 + BIN2DEC(LEFT($B235,5)))</f>
        <v>SIGMA</v>
      </c>
      <c r="G235" s="27" t="str" cm="1">
        <f t="array" ref="G235">INDEX(Dest1!A:A,1+BIN2DEC(MID($B235,6,5)))</f>
        <v>SP</v>
      </c>
      <c r="H235" s="27" t="str" cm="1">
        <f t="array" ref="H235">INDEX(Source2!A:A,1+BIN2DEC(MID($B235,11,4)))</f>
        <v>--</v>
      </c>
      <c r="I235" s="23" cm="1">
        <f t="array" ref="I235">INDEX('D2'!A:A,1+BIN2DEC(MID($B235,16,2)))</f>
        <v>0</v>
      </c>
      <c r="J235" s="6">
        <f t="shared" si="27"/>
        <v>0</v>
      </c>
      <c r="K235" s="6">
        <f t="shared" si="23"/>
        <v>0</v>
      </c>
      <c r="L235" s="6">
        <f t="shared" si="24"/>
        <v>0</v>
      </c>
      <c r="M235" s="3" t="str" cm="1">
        <f t="array" ref="M235">INDEX(Types!A:A,1+BIN2DEC(MID($B235,20,2)))</f>
        <v>Control</v>
      </c>
      <c r="N235" s="3" t="str" cm="1">
        <f t="array" ref="N235">IF(M235="ALU",INDEX(ALUOps!A:A,1+BIN2DEC(MID($B235,22,5))),"")</f>
        <v/>
      </c>
      <c r="O235" s="3" t="str" cm="1">
        <f t="array" ref="O235">IF(M235="ALU",INDEX(TMP!A:A,1+BIN2DEC(MID($B235,27,2))),"")</f>
        <v/>
      </c>
      <c r="P235" s="6" t="str">
        <f t="shared" si="25"/>
        <v/>
      </c>
      <c r="Q235" t="str">
        <f t="shared" si="26"/>
        <v/>
      </c>
      <c r="R235" t="str">
        <f t="shared" si="28"/>
        <v/>
      </c>
      <c r="S235" cm="1">
        <f t="array" ref="S235">IF(M235="Control",INDEX(IC!A:A,1+BIN2DEC(MID($B235,21,4))),"")</f>
        <v>0</v>
      </c>
      <c r="T235" cm="1">
        <f t="array" ref="T235">IF(M235="Control",INDEX(EC!A:A,1+BIN2DEC(MID($B235,25,3))),"")</f>
        <v>0</v>
      </c>
      <c r="U235" cm="1">
        <f t="array" ref="U235">IF(M235="Control",INDEX(SR!A:A,1+BIN2DEC(MID($B235,28,2))),"")</f>
        <v>0</v>
      </c>
    </row>
    <row r="236" spans="1:30" x14ac:dyDescent="0.25">
      <c r="A236" s="4" t="str">
        <f t="shared" si="22"/>
        <v>0EA</v>
      </c>
      <c r="B236" s="2" t="s">
        <v>231</v>
      </c>
      <c r="C236" s="3"/>
      <c r="D236" s="3"/>
      <c r="E236" s="3"/>
      <c r="F236" s="27" t="str" cm="1">
        <f t="array" ref="F236">INDEX(Sources!A:A, 1 + BIN2DEC(LEFT($B236,5)))</f>
        <v>OUT</v>
      </c>
      <c r="G236" s="27" t="str" cm="1">
        <f t="array" ref="G236">INDEX(Dest1!A:A,1+BIN2DEC(MID($B236,6,5)))</f>
        <v>PC</v>
      </c>
      <c r="H236" s="27" t="str" cm="1">
        <f t="array" ref="H236">INDEX(Source2!A:A,1+BIN2DEC(MID($B236,11,4)))</f>
        <v>--</v>
      </c>
      <c r="I236" s="23" cm="1">
        <f t="array" ref="I236">INDEX('D2'!A:A,1+BIN2DEC(MID($B236,16,2)))</f>
        <v>1</v>
      </c>
      <c r="J236" s="6">
        <f t="shared" si="27"/>
        <v>1</v>
      </c>
      <c r="K236" s="6">
        <f t="shared" si="23"/>
        <v>0</v>
      </c>
      <c r="L236" s="6">
        <f t="shared" si="24"/>
        <v>1</v>
      </c>
      <c r="M236" s="3" t="str" cm="1">
        <f t="array" ref="M236">INDEX(Types!A:A,1+BIN2DEC(MID($B236,20,2)))</f>
        <v>Control</v>
      </c>
      <c r="N236" s="3" t="str" cm="1">
        <f t="array" ref="N236">IF(M236="ALU",INDEX(ALUOps!A:A,1+BIN2DEC(MID($B236,22,5))),"")</f>
        <v/>
      </c>
      <c r="O236" s="3" t="str" cm="1">
        <f t="array" ref="O236">IF(M236="ALU",INDEX(TMP!A:A,1+BIN2DEC(MID($B236,27,2))),"")</f>
        <v/>
      </c>
      <c r="P236" s="6" t="str">
        <f t="shared" si="25"/>
        <v/>
      </c>
      <c r="Q236" t="str">
        <f t="shared" si="26"/>
        <v/>
      </c>
      <c r="R236" t="str">
        <f t="shared" si="28"/>
        <v/>
      </c>
      <c r="S236" cm="1">
        <f t="array" ref="S236">IF(M236="Control",INDEX(IC!A:A,1+BIN2DEC(MID($B236,21,4))),"")</f>
        <v>6</v>
      </c>
      <c r="T236" cm="1">
        <f t="array" ref="T236">IF(M236="Control",INDEX(EC!A:A,1+BIN2DEC(MID($B236,25,3))),"")</f>
        <v>0</v>
      </c>
      <c r="U236" cm="1">
        <f t="array" ref="U236">IF(M236="Control",INDEX(SR!A:A,1+BIN2DEC(MID($B236,28,2))),"")</f>
        <v>0</v>
      </c>
    </row>
    <row r="237" spans="1:30" s="20" customFormat="1" ht="15.75" thickBot="1" x14ac:dyDescent="0.3">
      <c r="A237" s="17" t="str">
        <f t="shared" si="22"/>
        <v>0EB</v>
      </c>
      <c r="B237" s="18" t="s">
        <v>4</v>
      </c>
      <c r="C237" s="19"/>
      <c r="D237" s="19"/>
      <c r="E237" s="19"/>
      <c r="F237" s="29"/>
      <c r="G237" s="29" t="str" cm="1">
        <f t="array" ref="G237">INDEX(Dest1!A:A,1+BIN2DEC(MID($B237,6,5)))</f>
        <v>--</v>
      </c>
      <c r="H237" s="29" t="str" cm="1">
        <f t="array" ref="H237">INDEX(Source2!A:A,1+BIN2DEC(MID($B237,11,4)))</f>
        <v>--</v>
      </c>
      <c r="I237" s="25"/>
      <c r="J237" s="21"/>
      <c r="K237" s="21"/>
      <c r="L237" s="21"/>
      <c r="M237" s="19"/>
      <c r="N237" s="19" t="str" cm="1">
        <f t="array" ref="N237">IF(M237="ALU",INDEX(ALUOps!A:A,1+BIN2DEC(MID($B237,22,5))),"")</f>
        <v/>
      </c>
      <c r="O237" s="19"/>
      <c r="P237" s="21"/>
      <c r="Q237" s="20" t="str">
        <f t="shared" si="26"/>
        <v/>
      </c>
      <c r="R237" s="20" t="str">
        <f t="shared" si="28"/>
        <v/>
      </c>
      <c r="S237" s="20" t="str" cm="1">
        <f t="array" ref="S237">IF(M237="Control",INDEX(IC!A:A,1+BIN2DEC(MID($B237,21,4))),"")</f>
        <v/>
      </c>
      <c r="T237" s="20" t="str" cm="1">
        <f t="array" ref="T237">IF(M237="Control",INDEX(EC!A:A,1+BIN2DEC(MID($B237,25,3))),"")</f>
        <v/>
      </c>
      <c r="U237" s="20" t="str" cm="1">
        <f t="array" ref="U237">IF(M237="Control",INDEX(SR!A:A,1+BIN2DEC(MID($B237,28,2))),"")</f>
        <v/>
      </c>
    </row>
    <row r="238" spans="1:30" x14ac:dyDescent="0.25">
      <c r="A238" s="4" t="str">
        <f t="shared" si="22"/>
        <v>0EC</v>
      </c>
      <c r="B238" s="2" t="s">
        <v>232</v>
      </c>
      <c r="C238" s="2" t="s">
        <v>233</v>
      </c>
      <c r="D238" s="2" t="s">
        <v>928</v>
      </c>
      <c r="E238" s="2" t="s">
        <v>929</v>
      </c>
      <c r="F238" s="27" t="str" cm="1">
        <f t="array" ref="F238">INDEX(Sources!A:A, 1 + BIN2DEC(LEFT($B238,5)))</f>
        <v>SIGMA</v>
      </c>
      <c r="G238" s="27" t="str" cm="1">
        <f t="array" ref="G238">INDEX(Dest1!A:A,1+BIN2DEC(MID($B238,6,5)))</f>
        <v>UNK26</v>
      </c>
      <c r="H238" s="27" t="str" cm="1">
        <f t="array" ref="H238">INDEX(Source2!A:A,1+BIN2DEC(MID($B238,11,4)))</f>
        <v>11</v>
      </c>
      <c r="I238" s="23" t="str" cm="1">
        <f t="array" ref="I238">INDEX('D2'!A:A,1+BIN2DEC(MID($B238,16,2)))</f>
        <v>TMPB</v>
      </c>
      <c r="J238" s="6">
        <f t="shared" si="27"/>
        <v>0</v>
      </c>
      <c r="K238" s="6">
        <f t="shared" si="23"/>
        <v>0</v>
      </c>
      <c r="L238" s="6">
        <f t="shared" si="24"/>
        <v>0</v>
      </c>
      <c r="M238" s="3" t="str" cm="1">
        <f t="array" ref="M238">INDEX(Types!A:A,1+BIN2DEC(MID($B238,20,2)))</f>
        <v>Control</v>
      </c>
      <c r="N238" s="3" t="str" cm="1">
        <f t="array" ref="N238">IF(M238="ALU",INDEX(ALUOps!A:A,1+BIN2DEC(MID($B238,22,5))),"")</f>
        <v/>
      </c>
      <c r="O238" s="3" t="str" cm="1">
        <f t="array" ref="O238">IF(M238="ALU",INDEX(TMP!A:A,1+BIN2DEC(MID($B238,27,2))),"")</f>
        <v/>
      </c>
      <c r="P238" s="6" t="str">
        <f t="shared" si="25"/>
        <v/>
      </c>
      <c r="Q238" t="str">
        <f t="shared" si="26"/>
        <v/>
      </c>
      <c r="R238" t="str">
        <f t="shared" si="28"/>
        <v/>
      </c>
      <c r="S238" cm="1">
        <f t="array" ref="S238">IF(M238="Control",INDEX(IC!A:A,1+BIN2DEC(MID($B238,21,4))),"")</f>
        <v>0</v>
      </c>
      <c r="T238" cm="1">
        <f t="array" ref="T238">IF(M238="Control",INDEX(EC!A:A,1+BIN2DEC(MID($B238,25,3))),"")</f>
        <v>6</v>
      </c>
      <c r="U238" cm="1">
        <f t="array" ref="U238">IF(M238="Control",INDEX(SR!A:A,1+BIN2DEC(MID($B238,28,2))),"")</f>
        <v>1</v>
      </c>
      <c r="X238" t="s">
        <v>1018</v>
      </c>
      <c r="AD238" s="1" t="s">
        <v>234</v>
      </c>
    </row>
    <row r="239" spans="1:30" x14ac:dyDescent="0.25">
      <c r="A239" s="4" t="str">
        <f t="shared" si="22"/>
        <v>0ED</v>
      </c>
      <c r="B239" s="2" t="s">
        <v>235</v>
      </c>
      <c r="C239" s="3"/>
      <c r="D239" s="3"/>
      <c r="E239" s="3"/>
      <c r="F239" s="27" t="str" cm="1">
        <f t="array" ref="F239">INDEX(Sources!A:A, 1 + BIN2DEC(LEFT($B239,5)))</f>
        <v>SIGMA</v>
      </c>
      <c r="G239" s="27" t="str" cm="1">
        <f t="array" ref="G239">INDEX(Dest1!A:A,1+BIN2DEC(MID($B239,6,5)))</f>
        <v>TMPB</v>
      </c>
      <c r="H239" s="27" t="str" cm="1">
        <f t="array" ref="H239">INDEX(Source2!A:A,1+BIN2DEC(MID($B239,11,4)))</f>
        <v>--</v>
      </c>
      <c r="I239" s="23" cm="1">
        <f t="array" ref="I239">INDEX('D2'!A:A,1+BIN2DEC(MID($B239,16,2)))</f>
        <v>0</v>
      </c>
      <c r="J239" s="6">
        <f t="shared" si="27"/>
        <v>0</v>
      </c>
      <c r="K239" s="6">
        <f t="shared" si="23"/>
        <v>0</v>
      </c>
      <c r="L239" s="6">
        <f t="shared" si="24"/>
        <v>0</v>
      </c>
      <c r="M239" s="3" t="str" cm="1">
        <f t="array" ref="M239">INDEX(Types!A:A,1+BIN2DEC(MID($B239,20,2)))</f>
        <v>Control</v>
      </c>
      <c r="N239" s="3" t="str" cm="1">
        <f t="array" ref="N239">IF(M239="ALU",INDEX(ALUOps!A:A,1+BIN2DEC(MID($B239,22,5))),"")</f>
        <v/>
      </c>
      <c r="O239" s="3" t="str" cm="1">
        <f t="array" ref="O239">IF(M239="ALU",INDEX(TMP!A:A,1+BIN2DEC(MID($B239,27,2))),"")</f>
        <v/>
      </c>
      <c r="P239" s="6" t="str">
        <f t="shared" si="25"/>
        <v/>
      </c>
      <c r="Q239" t="str">
        <f t="shared" si="26"/>
        <v/>
      </c>
      <c r="R239" t="str">
        <f t="shared" si="28"/>
        <v/>
      </c>
      <c r="S239" cm="1">
        <f t="array" ref="S239">IF(M239="Control",INDEX(IC!A:A,1+BIN2DEC(MID($B239,21,4))),"")</f>
        <v>1</v>
      </c>
      <c r="T239" cm="1">
        <f t="array" ref="T239">IF(M239="Control",INDEX(EC!A:A,1+BIN2DEC(MID($B239,25,3))),"")</f>
        <v>3</v>
      </c>
      <c r="U239" cm="1">
        <f t="array" ref="U239">IF(M239="Control",INDEX(SR!A:A,1+BIN2DEC(MID($B239,28,2))),"")</f>
        <v>3</v>
      </c>
    </row>
    <row r="240" spans="1:30" s="15" customFormat="1" x14ac:dyDescent="0.25">
      <c r="A240" s="12" t="str">
        <f t="shared" si="22"/>
        <v>0EE</v>
      </c>
      <c r="B240" s="13" t="s">
        <v>4</v>
      </c>
      <c r="C240" s="14"/>
      <c r="D240" s="14"/>
      <c r="E240" s="14"/>
      <c r="F240" s="28"/>
      <c r="G240" s="28" t="str" cm="1">
        <f t="array" ref="G240">INDEX(Dest1!A:A,1+BIN2DEC(MID($B240,6,5)))</f>
        <v>--</v>
      </c>
      <c r="H240" s="28" t="str" cm="1">
        <f t="array" ref="H240">INDEX(Source2!A:A,1+BIN2DEC(MID($B240,11,4)))</f>
        <v>--</v>
      </c>
      <c r="I240" s="24"/>
      <c r="J240" s="16"/>
      <c r="K240" s="16"/>
      <c r="L240" s="16"/>
      <c r="M240" s="14"/>
      <c r="N240" s="14" t="str" cm="1">
        <f t="array" ref="N240">IF(M240="ALU",INDEX(ALUOps!A:A,1+BIN2DEC(MID($B240,22,5))),"")</f>
        <v/>
      </c>
      <c r="O240" s="14"/>
      <c r="P240" s="16"/>
      <c r="Q240" s="15" t="str">
        <f t="shared" si="26"/>
        <v/>
      </c>
      <c r="R240" s="15" t="str">
        <f t="shared" si="28"/>
        <v/>
      </c>
      <c r="S240" s="15" t="str" cm="1">
        <f t="array" ref="S240">IF(M240="Control",INDEX(IC!A:A,1+BIN2DEC(MID($B240,21,4))),"")</f>
        <v/>
      </c>
      <c r="T240" s="15" t="str" cm="1">
        <f t="array" ref="T240">IF(M240="Control",INDEX(EC!A:A,1+BIN2DEC(MID($B240,25,3))),"")</f>
        <v/>
      </c>
      <c r="U240" s="15" t="str" cm="1">
        <f t="array" ref="U240">IF(M240="Control",INDEX(SR!A:A,1+BIN2DEC(MID($B240,28,2))),"")</f>
        <v/>
      </c>
    </row>
    <row r="241" spans="1:30" s="20" customFormat="1" ht="15.75" thickBot="1" x14ac:dyDescent="0.3">
      <c r="A241" s="17" t="str">
        <f t="shared" si="22"/>
        <v>0EF</v>
      </c>
      <c r="B241" s="18" t="s">
        <v>4</v>
      </c>
      <c r="C241" s="19"/>
      <c r="D241" s="19"/>
      <c r="E241" s="19"/>
      <c r="F241" s="29"/>
      <c r="G241" s="29" t="str" cm="1">
        <f t="array" ref="G241">INDEX(Dest1!A:A,1+BIN2DEC(MID($B241,6,5)))</f>
        <v>--</v>
      </c>
      <c r="H241" s="29" t="str" cm="1">
        <f t="array" ref="H241">INDEX(Source2!A:A,1+BIN2DEC(MID($B241,11,4)))</f>
        <v>--</v>
      </c>
      <c r="I241" s="25"/>
      <c r="J241" s="21"/>
      <c r="K241" s="21"/>
      <c r="L241" s="21"/>
      <c r="M241" s="19"/>
      <c r="N241" s="19" t="str" cm="1">
        <f t="array" ref="N241">IF(M241="ALU",INDEX(ALUOps!A:A,1+BIN2DEC(MID($B241,22,5))),"")</f>
        <v/>
      </c>
      <c r="O241" s="19"/>
      <c r="P241" s="21"/>
      <c r="Q241" s="20" t="str">
        <f t="shared" si="26"/>
        <v/>
      </c>
      <c r="R241" s="20" t="str">
        <f t="shared" si="28"/>
        <v/>
      </c>
      <c r="S241" s="20" t="str" cm="1">
        <f t="array" ref="S241">IF(M241="Control",INDEX(IC!A:A,1+BIN2DEC(MID($B241,21,4))),"")</f>
        <v/>
      </c>
      <c r="T241" s="20" t="str" cm="1">
        <f t="array" ref="T241">IF(M241="Control",INDEX(EC!A:A,1+BIN2DEC(MID($B241,25,3))),"")</f>
        <v/>
      </c>
      <c r="U241" s="20" t="str" cm="1">
        <f t="array" ref="U241">IF(M241="Control",INDEX(SR!A:A,1+BIN2DEC(MID($B241,28,2))),"")</f>
        <v/>
      </c>
    </row>
    <row r="242" spans="1:30" x14ac:dyDescent="0.25">
      <c r="A242" s="4" t="str">
        <f t="shared" si="22"/>
        <v>0F0</v>
      </c>
      <c r="B242" s="2" t="s">
        <v>227</v>
      </c>
      <c r="C242" s="2" t="s">
        <v>236</v>
      </c>
      <c r="D242" s="2" t="s">
        <v>928</v>
      </c>
      <c r="E242" s="2" t="s">
        <v>462</v>
      </c>
      <c r="F242" s="27" t="str" cm="1">
        <f t="array" ref="F242">INDEX(Sources!A:A, 1 + BIN2DEC(LEFT($B242,5)))</f>
        <v>SP</v>
      </c>
      <c r="G242" s="27" t="str" cm="1">
        <f t="array" ref="G242">INDEX(Dest1!A:A,1+BIN2DEC(MID($B242,6,5)))</f>
        <v>UNK26</v>
      </c>
      <c r="H242" s="27" t="str" cm="1">
        <f t="array" ref="H242">INDEX(Source2!A:A,1+BIN2DEC(MID($B242,11,4)))</f>
        <v>3</v>
      </c>
      <c r="I242" s="23" t="str" cm="1">
        <f t="array" ref="I242">INDEX('D2'!A:A,1+BIN2DEC(MID($B242,16,2)))</f>
        <v>TMPB</v>
      </c>
      <c r="J242" s="6">
        <f t="shared" si="27"/>
        <v>0</v>
      </c>
      <c r="K242" s="6">
        <f t="shared" si="23"/>
        <v>0</v>
      </c>
      <c r="L242" s="6">
        <f t="shared" si="24"/>
        <v>0</v>
      </c>
      <c r="M242" s="3" t="str" cm="1">
        <f t="array" ref="M242">INDEX(Types!A:A,1+BIN2DEC(MID($B242,20,2)))</f>
        <v>Control</v>
      </c>
      <c r="N242" s="3" t="str" cm="1">
        <f t="array" ref="N242">IF(M242="ALU",INDEX(ALUOps!A:A,1+BIN2DEC(MID($B242,22,5))),"")</f>
        <v/>
      </c>
      <c r="O242" s="3" t="str" cm="1">
        <f t="array" ref="O242">IF(M242="ALU",INDEX(TMP!A:A,1+BIN2DEC(MID($B242,27,2))),"")</f>
        <v/>
      </c>
      <c r="P242" s="6" t="str">
        <f t="shared" si="25"/>
        <v/>
      </c>
      <c r="Q242" t="str">
        <f t="shared" si="26"/>
        <v/>
      </c>
      <c r="R242" t="str">
        <f t="shared" si="28"/>
        <v/>
      </c>
      <c r="S242" cm="1">
        <f t="array" ref="S242">IF(M242="Control",INDEX(IC!A:A,1+BIN2DEC(MID($B242,21,4))),"")</f>
        <v>7</v>
      </c>
      <c r="T242" cm="1">
        <f t="array" ref="T242">IF(M242="Control",INDEX(EC!A:A,1+BIN2DEC(MID($B242,25,3))),"")</f>
        <v>6</v>
      </c>
      <c r="U242" cm="1">
        <f t="array" ref="U242">IF(M242="Control",INDEX(SR!A:A,1+BIN2DEC(MID($B242,28,2))),"")</f>
        <v>1</v>
      </c>
      <c r="X242" t="s">
        <v>1021</v>
      </c>
      <c r="AD242" s="1" t="s">
        <v>237</v>
      </c>
    </row>
    <row r="243" spans="1:30" x14ac:dyDescent="0.25">
      <c r="A243" s="4" t="str">
        <f t="shared" si="22"/>
        <v>0F1</v>
      </c>
      <c r="B243" s="2" t="s">
        <v>238</v>
      </c>
      <c r="C243" s="3"/>
      <c r="D243" s="3"/>
      <c r="E243" s="3"/>
      <c r="F243" s="27" t="str" cm="1">
        <f t="array" ref="F243">INDEX(Sources!A:A, 1 + BIN2DEC(LEFT($B243,5)))</f>
        <v>--</v>
      </c>
      <c r="G243" s="27" t="str" cm="1">
        <f t="array" ref="G243">INDEX(Dest1!A:A,1+BIN2DEC(MID($B243,6,5)))</f>
        <v>--</v>
      </c>
      <c r="H243" s="27" t="str" cm="1">
        <f t="array" ref="H243">INDEX(Source2!A:A,1+BIN2DEC(MID($B243,11,4)))</f>
        <v>--</v>
      </c>
      <c r="I243" s="23" cm="1">
        <f t="array" ref="I243">INDEX('D2'!A:A,1+BIN2DEC(MID($B243,16,2)))</f>
        <v>0</v>
      </c>
      <c r="J243" s="6">
        <f t="shared" si="27"/>
        <v>0</v>
      </c>
      <c r="K243" s="6">
        <f t="shared" si="23"/>
        <v>0</v>
      </c>
      <c r="L243" s="6">
        <f t="shared" si="24"/>
        <v>0</v>
      </c>
      <c r="M243" s="3" t="str" cm="1">
        <f t="array" ref="M243">INDEX(Types!A:A,1+BIN2DEC(MID($B243,20,2)))</f>
        <v>ALU</v>
      </c>
      <c r="N243" s="3" cm="1">
        <f t="array" ref="N243">IF(M243="ALU",INDEX(ALUOps!A:A,1+BIN2DEC(MID($B243,22,5))),"")</f>
        <v>3</v>
      </c>
      <c r="O243" s="3" cm="1">
        <f t="array" ref="O243">IF(M243="ALU",INDEX(TMP!A:A,1+BIN2DEC(MID($B243,27,2))),"")</f>
        <v>3</v>
      </c>
      <c r="P243" s="6">
        <f t="shared" si="25"/>
        <v>1</v>
      </c>
      <c r="Q243" t="str">
        <f t="shared" si="26"/>
        <v/>
      </c>
      <c r="R243" t="str">
        <f t="shared" si="28"/>
        <v/>
      </c>
      <c r="S243" t="str" cm="1">
        <f t="array" ref="S243">IF(M243="Control",INDEX(IC!A:A,1+BIN2DEC(MID($B243,21,4))),"")</f>
        <v/>
      </c>
      <c r="T243" t="str" cm="1">
        <f t="array" ref="T243">IF(M243="Control",INDEX(EC!A:A,1+BIN2DEC(MID($B243,25,3))),"")</f>
        <v/>
      </c>
      <c r="U243" t="str" cm="1">
        <f t="array" ref="U243">IF(M243="Control",INDEX(SR!A:A,1+BIN2DEC(MID($B243,28,2))),"")</f>
        <v/>
      </c>
    </row>
    <row r="244" spans="1:30" x14ac:dyDescent="0.25">
      <c r="A244" s="4" t="str">
        <f t="shared" si="22"/>
        <v>0F2</v>
      </c>
      <c r="B244" s="2" t="s">
        <v>15</v>
      </c>
      <c r="C244" s="3"/>
      <c r="D244" s="3"/>
      <c r="E244" s="3"/>
      <c r="F244" s="27" t="str" cm="1">
        <f t="array" ref="F244">INDEX(Sources!A:A, 1 + BIN2DEC(LEFT($B244,5)))</f>
        <v>SIGMA</v>
      </c>
      <c r="G244" s="27" t="str" cm="1">
        <f t="array" ref="G244">INDEX(Dest1!A:A,1+BIN2DEC(MID($B244,6,5)))</f>
        <v>SP</v>
      </c>
      <c r="H244" s="27" t="str" cm="1">
        <f t="array" ref="H244">INDEX(Source2!A:A,1+BIN2DEC(MID($B244,11,4)))</f>
        <v>--</v>
      </c>
      <c r="I244" s="23" cm="1">
        <f t="array" ref="I244">INDEX('D2'!A:A,1+BIN2DEC(MID($B244,16,2)))</f>
        <v>0</v>
      </c>
      <c r="J244" s="6">
        <f t="shared" si="27"/>
        <v>0</v>
      </c>
      <c r="K244" s="6">
        <f t="shared" si="23"/>
        <v>0</v>
      </c>
      <c r="L244" s="6">
        <f t="shared" si="24"/>
        <v>0</v>
      </c>
      <c r="M244" s="3" t="str" cm="1">
        <f t="array" ref="M244">INDEX(Types!A:A,1+BIN2DEC(MID($B244,20,2)))</f>
        <v>Control</v>
      </c>
      <c r="N244" s="3" t="str" cm="1">
        <f t="array" ref="N244">IF(M244="ALU",INDEX(ALUOps!A:A,1+BIN2DEC(MID($B244,22,5))),"")</f>
        <v/>
      </c>
      <c r="O244" s="3" t="str" cm="1">
        <f t="array" ref="O244">IF(M244="ALU",INDEX(TMP!A:A,1+BIN2DEC(MID($B244,27,2))),"")</f>
        <v/>
      </c>
      <c r="P244" s="6" t="str">
        <f t="shared" si="25"/>
        <v/>
      </c>
      <c r="Q244" t="str">
        <f t="shared" si="26"/>
        <v/>
      </c>
      <c r="R244" t="str">
        <f t="shared" si="28"/>
        <v/>
      </c>
      <c r="S244" cm="1">
        <f t="array" ref="S244">IF(M244="Control",INDEX(IC!A:A,1+BIN2DEC(MID($B244,21,4))),"")</f>
        <v>0</v>
      </c>
      <c r="T244" cm="1">
        <f t="array" ref="T244">IF(M244="Control",INDEX(EC!A:A,1+BIN2DEC(MID($B244,25,3))),"")</f>
        <v>0</v>
      </c>
      <c r="U244" cm="1">
        <f t="array" ref="U244">IF(M244="Control",INDEX(SR!A:A,1+BIN2DEC(MID($B244,28,2))),"")</f>
        <v>0</v>
      </c>
    </row>
    <row r="245" spans="1:30" s="9" customFormat="1" ht="15.75" thickBot="1" x14ac:dyDescent="0.3">
      <c r="A245" s="7" t="str">
        <f t="shared" si="22"/>
        <v>0F3</v>
      </c>
      <c r="B245" s="8" t="s">
        <v>231</v>
      </c>
      <c r="C245" s="10"/>
      <c r="D245" s="10"/>
      <c r="E245" s="10"/>
      <c r="F245" s="30" t="str" cm="1">
        <f t="array" ref="F245">INDEX(Sources!A:A, 1 + BIN2DEC(LEFT($B245,5)))</f>
        <v>OUT</v>
      </c>
      <c r="G245" s="30" t="str" cm="1">
        <f t="array" ref="G245">INDEX(Dest1!A:A,1+BIN2DEC(MID($B245,6,5)))</f>
        <v>PC</v>
      </c>
      <c r="H245" s="30" t="str" cm="1">
        <f t="array" ref="H245">INDEX(Source2!A:A,1+BIN2DEC(MID($B245,11,4)))</f>
        <v>--</v>
      </c>
      <c r="I245" s="26" cm="1">
        <f t="array" ref="I245">INDEX('D2'!A:A,1+BIN2DEC(MID($B245,16,2)))</f>
        <v>1</v>
      </c>
      <c r="J245" s="11">
        <f t="shared" si="27"/>
        <v>1</v>
      </c>
      <c r="K245" s="11">
        <f t="shared" si="23"/>
        <v>0</v>
      </c>
      <c r="L245" s="11">
        <f t="shared" si="24"/>
        <v>1</v>
      </c>
      <c r="M245" s="10" t="str" cm="1">
        <f t="array" ref="M245">INDEX(Types!A:A,1+BIN2DEC(MID($B245,20,2)))</f>
        <v>Control</v>
      </c>
      <c r="N245" s="10" t="str" cm="1">
        <f t="array" ref="N245">IF(M245="ALU",INDEX(ALUOps!A:A,1+BIN2DEC(MID($B245,22,5))),"")</f>
        <v/>
      </c>
      <c r="O245" s="10" t="str" cm="1">
        <f t="array" ref="O245">IF(M245="ALU",INDEX(TMP!A:A,1+BIN2DEC(MID($B245,27,2))),"")</f>
        <v/>
      </c>
      <c r="P245" s="11" t="str">
        <f t="shared" si="25"/>
        <v/>
      </c>
      <c r="Q245" s="9" t="str">
        <f t="shared" si="26"/>
        <v/>
      </c>
      <c r="R245" s="9" t="str">
        <f t="shared" si="28"/>
        <v/>
      </c>
      <c r="S245" s="9" cm="1">
        <f t="array" ref="S245">IF(M245="Control",INDEX(IC!A:A,1+BIN2DEC(MID($B245,21,4))),"")</f>
        <v>6</v>
      </c>
      <c r="T245" s="9" cm="1">
        <f t="array" ref="T245">IF(M245="Control",INDEX(EC!A:A,1+BIN2DEC(MID($B245,25,3))),"")</f>
        <v>0</v>
      </c>
      <c r="U245" s="9" cm="1">
        <f t="array" ref="U245">IF(M245="Control",INDEX(SR!A:A,1+BIN2DEC(MID($B245,28,2))),"")</f>
        <v>0</v>
      </c>
    </row>
    <row r="246" spans="1:30" x14ac:dyDescent="0.25">
      <c r="A246" s="4" t="str">
        <f t="shared" si="22"/>
        <v>0F4</v>
      </c>
      <c r="B246" s="2" t="s">
        <v>227</v>
      </c>
      <c r="C246" s="2" t="s">
        <v>239</v>
      </c>
      <c r="D246" s="2" t="s">
        <v>928</v>
      </c>
      <c r="E246" s="2" t="s">
        <v>462</v>
      </c>
      <c r="F246" s="27" t="str" cm="1">
        <f t="array" ref="F246">INDEX(Sources!A:A, 1 + BIN2DEC(LEFT($B246,5)))</f>
        <v>SP</v>
      </c>
      <c r="G246" s="27" t="str" cm="1">
        <f t="array" ref="G246">INDEX(Dest1!A:A,1+BIN2DEC(MID($B246,6,5)))</f>
        <v>UNK26</v>
      </c>
      <c r="H246" s="27" t="str" cm="1">
        <f t="array" ref="H246">INDEX(Source2!A:A,1+BIN2DEC(MID($B246,11,4)))</f>
        <v>3</v>
      </c>
      <c r="I246" s="23" t="str" cm="1">
        <f t="array" ref="I246">INDEX('D2'!A:A,1+BIN2DEC(MID($B246,16,2)))</f>
        <v>TMPB</v>
      </c>
      <c r="J246" s="6">
        <f t="shared" si="27"/>
        <v>0</v>
      </c>
      <c r="K246" s="6">
        <f t="shared" si="23"/>
        <v>0</v>
      </c>
      <c r="L246" s="6">
        <f t="shared" si="24"/>
        <v>0</v>
      </c>
      <c r="M246" s="3" t="str" cm="1">
        <f t="array" ref="M246">INDEX(Types!A:A,1+BIN2DEC(MID($B246,20,2)))</f>
        <v>Control</v>
      </c>
      <c r="N246" s="3" t="str" cm="1">
        <f t="array" ref="N246">IF(M246="ALU",INDEX(ALUOps!A:A,1+BIN2DEC(MID($B246,22,5))),"")</f>
        <v/>
      </c>
      <c r="O246" s="3" t="str" cm="1">
        <f t="array" ref="O246">IF(M246="ALU",INDEX(TMP!A:A,1+BIN2DEC(MID($B246,27,2))),"")</f>
        <v/>
      </c>
      <c r="P246" s="6" t="str">
        <f t="shared" si="25"/>
        <v/>
      </c>
      <c r="Q246" t="str">
        <f t="shared" si="26"/>
        <v/>
      </c>
      <c r="R246" t="str">
        <f t="shared" si="28"/>
        <v/>
      </c>
      <c r="S246" cm="1">
        <f t="array" ref="S246">IF(M246="Control",INDEX(IC!A:A,1+BIN2DEC(MID($B246,21,4))),"")</f>
        <v>7</v>
      </c>
      <c r="T246" cm="1">
        <f t="array" ref="T246">IF(M246="Control",INDEX(EC!A:A,1+BIN2DEC(MID($B246,25,3))),"")</f>
        <v>6</v>
      </c>
      <c r="U246" cm="1">
        <f t="array" ref="U246">IF(M246="Control",INDEX(SR!A:A,1+BIN2DEC(MID($B246,28,2))),"")</f>
        <v>1</v>
      </c>
      <c r="X246" t="s">
        <v>1019</v>
      </c>
      <c r="AD246" s="1" t="s">
        <v>240</v>
      </c>
    </row>
    <row r="247" spans="1:30" x14ac:dyDescent="0.25">
      <c r="A247" s="4" t="str">
        <f t="shared" si="22"/>
        <v>0F5</v>
      </c>
      <c r="B247" s="2" t="s">
        <v>241</v>
      </c>
      <c r="C247" s="3"/>
      <c r="D247" s="3"/>
      <c r="E247" s="3"/>
      <c r="F247" s="27" t="str" cm="1">
        <f t="array" ref="F247">INDEX(Sources!A:A, 1 + BIN2DEC(LEFT($B247,5)))</f>
        <v>UNK22</v>
      </c>
      <c r="G247" s="27" t="str" cm="1">
        <f t="array" ref="G247">INDEX(Dest1!A:A,1+BIN2DEC(MID($B247,6,5)))</f>
        <v>TMPA</v>
      </c>
      <c r="H247" s="27" t="str" cm="1">
        <f t="array" ref="H247">INDEX(Source2!A:A,1+BIN2DEC(MID($B247,11,4)))</f>
        <v>--</v>
      </c>
      <c r="I247" s="23" cm="1">
        <f t="array" ref="I247">INDEX('D2'!A:A,1+BIN2DEC(MID($B247,16,2)))</f>
        <v>0</v>
      </c>
      <c r="J247" s="6">
        <f t="shared" si="27"/>
        <v>0</v>
      </c>
      <c r="K247" s="6">
        <f t="shared" si="23"/>
        <v>0</v>
      </c>
      <c r="L247" s="6">
        <f t="shared" si="24"/>
        <v>0</v>
      </c>
      <c r="M247" s="3" t="str" cm="1">
        <f t="array" ref="M247">INDEX(Types!A:A,1+BIN2DEC(MID($B247,20,2)))</f>
        <v>ALU</v>
      </c>
      <c r="N247" s="3" cm="1">
        <f t="array" ref="N247">IF(M247="ALU",INDEX(ALUOps!A:A,1+BIN2DEC(MID($B247,22,5))),"")</f>
        <v>3</v>
      </c>
      <c r="O247" s="3" cm="1">
        <f t="array" ref="O247">IF(M247="ALU",INDEX(TMP!A:A,1+BIN2DEC(MID($B247,27,2))),"")</f>
        <v>3</v>
      </c>
      <c r="P247" s="6">
        <f t="shared" si="25"/>
        <v>1</v>
      </c>
      <c r="Q247" t="str">
        <f t="shared" si="26"/>
        <v/>
      </c>
      <c r="R247" t="str">
        <f t="shared" si="28"/>
        <v/>
      </c>
      <c r="S247" t="str" cm="1">
        <f t="array" ref="S247">IF(M247="Control",INDEX(IC!A:A,1+BIN2DEC(MID($B247,21,4))),"")</f>
        <v/>
      </c>
      <c r="T247" t="str" cm="1">
        <f t="array" ref="T247">IF(M247="Control",INDEX(EC!A:A,1+BIN2DEC(MID($B247,25,3))),"")</f>
        <v/>
      </c>
      <c r="U247" t="str" cm="1">
        <f t="array" ref="U247">IF(M247="Control",INDEX(SR!A:A,1+BIN2DEC(MID($B247,28,2))),"")</f>
        <v/>
      </c>
    </row>
    <row r="248" spans="1:30" x14ac:dyDescent="0.25">
      <c r="A248" s="4" t="str">
        <f t="shared" si="22"/>
        <v>0F6</v>
      </c>
      <c r="B248" s="2" t="s">
        <v>232</v>
      </c>
      <c r="C248" s="3"/>
      <c r="D248" s="3"/>
      <c r="E248" s="3"/>
      <c r="F248" s="27" t="str" cm="1">
        <f t="array" ref="F248">INDEX(Sources!A:A, 1 + BIN2DEC(LEFT($B248,5)))</f>
        <v>SIGMA</v>
      </c>
      <c r="G248" s="27" t="str" cm="1">
        <f t="array" ref="G248">INDEX(Dest1!A:A,1+BIN2DEC(MID($B248,6,5)))</f>
        <v>UNK26</v>
      </c>
      <c r="H248" s="27" t="str" cm="1">
        <f t="array" ref="H248">INDEX(Source2!A:A,1+BIN2DEC(MID($B248,11,4)))</f>
        <v>11</v>
      </c>
      <c r="I248" s="23" t="str" cm="1">
        <f t="array" ref="I248">INDEX('D2'!A:A,1+BIN2DEC(MID($B248,16,2)))</f>
        <v>TMPB</v>
      </c>
      <c r="J248" s="6">
        <f t="shared" si="27"/>
        <v>0</v>
      </c>
      <c r="K248" s="6">
        <f t="shared" si="23"/>
        <v>0</v>
      </c>
      <c r="L248" s="6">
        <f t="shared" si="24"/>
        <v>0</v>
      </c>
      <c r="M248" s="3" t="str" cm="1">
        <f t="array" ref="M248">INDEX(Types!A:A,1+BIN2DEC(MID($B248,20,2)))</f>
        <v>Control</v>
      </c>
      <c r="N248" s="3" t="str" cm="1">
        <f t="array" ref="N248">IF(M248="ALU",INDEX(ALUOps!A:A,1+BIN2DEC(MID($B248,22,5))),"")</f>
        <v/>
      </c>
      <c r="O248" s="3" t="str" cm="1">
        <f t="array" ref="O248">IF(M248="ALU",INDEX(TMP!A:A,1+BIN2DEC(MID($B248,27,2))),"")</f>
        <v/>
      </c>
      <c r="P248" s="6" t="str">
        <f t="shared" si="25"/>
        <v/>
      </c>
      <c r="Q248" t="str">
        <f t="shared" si="26"/>
        <v/>
      </c>
      <c r="R248" t="str">
        <f t="shared" si="28"/>
        <v/>
      </c>
      <c r="S248" cm="1">
        <f t="array" ref="S248">IF(M248="Control",INDEX(IC!A:A,1+BIN2DEC(MID($B248,21,4))),"")</f>
        <v>0</v>
      </c>
      <c r="T248" cm="1">
        <f t="array" ref="T248">IF(M248="Control",INDEX(EC!A:A,1+BIN2DEC(MID($B248,25,3))),"")</f>
        <v>6</v>
      </c>
      <c r="U248" cm="1">
        <f t="array" ref="U248">IF(M248="Control",INDEX(SR!A:A,1+BIN2DEC(MID($B248,28,2))),"")</f>
        <v>1</v>
      </c>
    </row>
    <row r="249" spans="1:30" s="9" customFormat="1" ht="15.75" thickBot="1" x14ac:dyDescent="0.3">
      <c r="A249" s="7" t="str">
        <f t="shared" si="22"/>
        <v>0F7</v>
      </c>
      <c r="B249" s="8" t="s">
        <v>235</v>
      </c>
      <c r="C249" s="10"/>
      <c r="D249" s="10"/>
      <c r="E249" s="10"/>
      <c r="F249" s="30" t="str" cm="1">
        <f t="array" ref="F249">INDEX(Sources!A:A, 1 + BIN2DEC(LEFT($B249,5)))</f>
        <v>SIGMA</v>
      </c>
      <c r="G249" s="30" t="str" cm="1">
        <f t="array" ref="G249">INDEX(Dest1!A:A,1+BIN2DEC(MID($B249,6,5)))</f>
        <v>TMPB</v>
      </c>
      <c r="H249" s="30" t="str" cm="1">
        <f t="array" ref="H249">INDEX(Source2!A:A,1+BIN2DEC(MID($B249,11,4)))</f>
        <v>--</v>
      </c>
      <c r="I249" s="26" cm="1">
        <f t="array" ref="I249">INDEX('D2'!A:A,1+BIN2DEC(MID($B249,16,2)))</f>
        <v>0</v>
      </c>
      <c r="J249" s="11">
        <f t="shared" si="27"/>
        <v>0</v>
      </c>
      <c r="K249" s="11">
        <f t="shared" si="23"/>
        <v>0</v>
      </c>
      <c r="L249" s="11">
        <f t="shared" si="24"/>
        <v>0</v>
      </c>
      <c r="M249" s="10" t="str" cm="1">
        <f t="array" ref="M249">INDEX(Types!A:A,1+BIN2DEC(MID($B249,20,2)))</f>
        <v>Control</v>
      </c>
      <c r="N249" s="10" t="str" cm="1">
        <f t="array" ref="N249">IF(M249="ALU",INDEX(ALUOps!A:A,1+BIN2DEC(MID($B249,22,5))),"")</f>
        <v/>
      </c>
      <c r="O249" s="10" t="str" cm="1">
        <f t="array" ref="O249">IF(M249="ALU",INDEX(TMP!A:A,1+BIN2DEC(MID($B249,27,2))),"")</f>
        <v/>
      </c>
      <c r="P249" s="11" t="str">
        <f t="shared" si="25"/>
        <v/>
      </c>
      <c r="Q249" s="9" t="str">
        <f t="shared" si="26"/>
        <v/>
      </c>
      <c r="R249" s="9" t="str">
        <f t="shared" si="28"/>
        <v/>
      </c>
      <c r="S249" s="9" cm="1">
        <f t="array" ref="S249">IF(M249="Control",INDEX(IC!A:A,1+BIN2DEC(MID($B249,21,4))),"")</f>
        <v>1</v>
      </c>
      <c r="T249" s="9" cm="1">
        <f t="array" ref="T249">IF(M249="Control",INDEX(EC!A:A,1+BIN2DEC(MID($B249,25,3))),"")</f>
        <v>3</v>
      </c>
      <c r="U249" s="9" cm="1">
        <f t="array" ref="U249">IF(M249="Control",INDEX(SR!A:A,1+BIN2DEC(MID($B249,28,2))),"")</f>
        <v>3</v>
      </c>
    </row>
    <row r="250" spans="1:30" x14ac:dyDescent="0.25">
      <c r="A250" s="4" t="str">
        <f t="shared" si="22"/>
        <v>0F8</v>
      </c>
      <c r="B250" s="2" t="s">
        <v>242</v>
      </c>
      <c r="C250" s="2" t="s">
        <v>243</v>
      </c>
      <c r="D250" s="2" t="s">
        <v>928</v>
      </c>
      <c r="E250" s="2" t="s">
        <v>462</v>
      </c>
      <c r="F250" s="27" t="str" cm="1">
        <f t="array" ref="F250">INDEX(Sources!A:A, 1 + BIN2DEC(LEFT($B250,5)))</f>
        <v>OUT</v>
      </c>
      <c r="G250" s="27" t="str" cm="1">
        <f t="array" ref="G250">INDEX(Dest1!A:A,1+BIN2DEC(MID($B250,6,5)))</f>
        <v>REG</v>
      </c>
      <c r="H250" s="27" t="str" cm="1">
        <f t="array" ref="H250">INDEX(Source2!A:A,1+BIN2DEC(MID($B250,11,4)))</f>
        <v>11</v>
      </c>
      <c r="I250" s="23" cm="1">
        <f t="array" ref="I250">INDEX('D2'!A:A,1+BIN2DEC(MID($B250,16,2)))</f>
        <v>1</v>
      </c>
      <c r="J250" s="6">
        <f t="shared" si="27"/>
        <v>1</v>
      </c>
      <c r="K250" s="6">
        <f t="shared" si="23"/>
        <v>0</v>
      </c>
      <c r="L250" s="6">
        <f t="shared" si="24"/>
        <v>0</v>
      </c>
      <c r="M250" s="3" t="str" cm="1">
        <f t="array" ref="M250">INDEX(Types!A:A,1+BIN2DEC(MID($B250,20,2)))</f>
        <v>ALU</v>
      </c>
      <c r="N250" s="3" cm="1">
        <f t="array" ref="N250">IF(M250="ALU",INDEX(ALUOps!A:A,1+BIN2DEC(MID($B250,22,5))),"")</f>
        <v>3</v>
      </c>
      <c r="O250" s="3" cm="1">
        <f t="array" ref="O250">IF(M250="ALU",INDEX(TMP!A:A,1+BIN2DEC(MID($B250,27,2))),"")</f>
        <v>2</v>
      </c>
      <c r="P250" s="6">
        <f t="shared" si="25"/>
        <v>1</v>
      </c>
      <c r="Q250" t="str">
        <f t="shared" si="26"/>
        <v/>
      </c>
      <c r="R250" t="str">
        <f t="shared" si="28"/>
        <v/>
      </c>
      <c r="S250" t="str" cm="1">
        <f t="array" ref="S250">IF(M250="Control",INDEX(IC!A:A,1+BIN2DEC(MID($B250,21,4))),"")</f>
        <v/>
      </c>
      <c r="T250" t="str" cm="1">
        <f t="array" ref="T250">IF(M250="Control",INDEX(EC!A:A,1+BIN2DEC(MID($B250,25,3))),"")</f>
        <v/>
      </c>
      <c r="U250" t="str" cm="1">
        <f t="array" ref="U250">IF(M250="Control",INDEX(SR!A:A,1+BIN2DEC(MID($B250,28,2))),"")</f>
        <v/>
      </c>
      <c r="X250" t="s">
        <v>1045</v>
      </c>
      <c r="AD250" s="1" t="s">
        <v>244</v>
      </c>
    </row>
    <row r="251" spans="1:30" x14ac:dyDescent="0.25">
      <c r="A251" s="4" t="str">
        <f t="shared" si="22"/>
        <v>0F9</v>
      </c>
      <c r="B251" s="2" t="s">
        <v>245</v>
      </c>
      <c r="C251" s="3"/>
      <c r="D251" s="3"/>
      <c r="E251" s="3"/>
      <c r="F251" s="27" t="str" cm="1">
        <f t="array" ref="F251">INDEX(Sources!A:A, 1 + BIN2DEC(LEFT($B251,5)))</f>
        <v>SIGMA</v>
      </c>
      <c r="G251" s="27" t="str" cm="1">
        <f t="array" ref="G251">INDEX(Dest1!A:A,1+BIN2DEC(MID($B251,6,5)))</f>
        <v>UNK26</v>
      </c>
      <c r="H251" s="27" t="str" cm="1">
        <f t="array" ref="H251">INDEX(Source2!A:A,1+BIN2DEC(MID($B251,11,4)))</f>
        <v>--</v>
      </c>
      <c r="I251" s="23" cm="1">
        <f t="array" ref="I251">INDEX('D2'!A:A,1+BIN2DEC(MID($B251,16,2)))</f>
        <v>0</v>
      </c>
      <c r="J251" s="6">
        <f t="shared" si="27"/>
        <v>0</v>
      </c>
      <c r="K251" s="6">
        <f t="shared" si="23"/>
        <v>0</v>
      </c>
      <c r="L251" s="6">
        <f t="shared" si="24"/>
        <v>0</v>
      </c>
      <c r="M251" s="3" t="str" cm="1">
        <f t="array" ref="M251">INDEX(Types!A:A,1+BIN2DEC(MID($B251,20,2)))</f>
        <v>Control</v>
      </c>
      <c r="N251" s="3" t="str" cm="1">
        <f t="array" ref="N251">IF(M251="ALU",INDEX(ALUOps!A:A,1+BIN2DEC(MID($B251,22,5))),"")</f>
        <v/>
      </c>
      <c r="O251" s="3" t="str" cm="1">
        <f t="array" ref="O251">IF(M251="ALU",INDEX(TMP!A:A,1+BIN2DEC(MID($B251,27,2))),"")</f>
        <v/>
      </c>
      <c r="P251" s="6" t="str">
        <f t="shared" si="25"/>
        <v/>
      </c>
      <c r="Q251" t="str">
        <f t="shared" si="26"/>
        <v/>
      </c>
      <c r="R251" t="str">
        <f t="shared" si="28"/>
        <v/>
      </c>
      <c r="S251" cm="1">
        <f t="array" ref="S251">IF(M251="Control",INDEX(IC!A:A,1+BIN2DEC(MID($B251,21,4))),"")</f>
        <v>0</v>
      </c>
      <c r="T251" cm="1">
        <f t="array" ref="T251">IF(M251="Control",INDEX(EC!A:A,1+BIN2DEC(MID($B251,25,3))),"")</f>
        <v>6</v>
      </c>
      <c r="U251" cm="1">
        <f t="array" ref="U251">IF(M251="Control",INDEX(SR!A:A,1+BIN2DEC(MID($B251,28,2))),"")</f>
        <v>0</v>
      </c>
    </row>
    <row r="252" spans="1:30" x14ac:dyDescent="0.25">
      <c r="A252" s="4" t="str">
        <f t="shared" si="22"/>
        <v>0FA</v>
      </c>
      <c r="B252" s="2" t="s">
        <v>246</v>
      </c>
      <c r="C252" s="3"/>
      <c r="D252" s="3"/>
      <c r="E252" s="3"/>
      <c r="F252" s="27" t="str" cm="1">
        <f t="array" ref="F252">INDEX(Sources!A:A, 1 + BIN2DEC(LEFT($B252,5)))</f>
        <v>OUT</v>
      </c>
      <c r="G252" s="27" t="str" cm="1">
        <f t="array" ref="G252">INDEX(Dest1!A:A,1+BIN2DEC(MID($B252,6,5)))</f>
        <v>ES</v>
      </c>
      <c r="H252" s="27" t="str" cm="1">
        <f t="array" ref="H252">INDEX(Source2!A:A,1+BIN2DEC(MID($B252,11,4)))</f>
        <v>--</v>
      </c>
      <c r="I252" s="23" cm="1">
        <f t="array" ref="I252">INDEX('D2'!A:A,1+BIN2DEC(MID($B252,16,2)))</f>
        <v>1</v>
      </c>
      <c r="J252" s="6">
        <f t="shared" si="27"/>
        <v>1</v>
      </c>
      <c r="K252" s="6">
        <f t="shared" si="23"/>
        <v>0</v>
      </c>
      <c r="L252" s="6">
        <f t="shared" si="24"/>
        <v>1</v>
      </c>
      <c r="M252" s="3" t="str" cm="1">
        <f t="array" ref="M252">INDEX(Types!A:A,1+BIN2DEC(MID($B252,20,2)))</f>
        <v>Control</v>
      </c>
      <c r="N252" s="3" t="str" cm="1">
        <f t="array" ref="N252">IF(M252="ALU",INDEX(ALUOps!A:A,1+BIN2DEC(MID($B252,22,5))),"")</f>
        <v/>
      </c>
      <c r="O252" s="3" t="str" cm="1">
        <f t="array" ref="O252">IF(M252="ALU",INDEX(TMP!A:A,1+BIN2DEC(MID($B252,27,2))),"")</f>
        <v/>
      </c>
      <c r="P252" s="6" t="str">
        <f t="shared" si="25"/>
        <v/>
      </c>
      <c r="Q252" t="str">
        <f t="shared" si="26"/>
        <v/>
      </c>
      <c r="R252" t="str">
        <f t="shared" si="28"/>
        <v/>
      </c>
      <c r="S252" cm="1">
        <f t="array" ref="S252">IF(M252="Control",INDEX(IC!A:A,1+BIN2DEC(MID($B252,21,4))),"")</f>
        <v>0</v>
      </c>
      <c r="T252" cm="1">
        <f t="array" ref="T252">IF(M252="Control",INDEX(EC!A:A,1+BIN2DEC(MID($B252,25,3))),"")</f>
        <v>0</v>
      </c>
      <c r="U252" cm="1">
        <f t="array" ref="U252">IF(M252="Control",INDEX(SR!A:A,1+BIN2DEC(MID($B252,28,2))),"")</f>
        <v>0</v>
      </c>
    </row>
    <row r="253" spans="1:30" s="20" customFormat="1" ht="15.75" thickBot="1" x14ac:dyDescent="0.3">
      <c r="A253" s="17" t="str">
        <f t="shared" si="22"/>
        <v>0FB</v>
      </c>
      <c r="B253" s="18" t="s">
        <v>4</v>
      </c>
      <c r="C253" s="19"/>
      <c r="D253" s="19"/>
      <c r="E253" s="19"/>
      <c r="F253" s="29" t="str" cm="1">
        <f t="array" ref="F253">INDEX(Sources!A:A, 1 + BIN2DEC(LEFT($B253,5)))</f>
        <v>--</v>
      </c>
      <c r="G253" s="29" t="str" cm="1">
        <f t="array" ref="G253">INDEX(Dest1!A:A,1+BIN2DEC(MID($B253,6,5)))</f>
        <v>--</v>
      </c>
      <c r="H253" s="29" t="str" cm="1">
        <f t="array" ref="H253">INDEX(Source2!A:A,1+BIN2DEC(MID($B253,11,4)))</f>
        <v>--</v>
      </c>
      <c r="I253" s="25" cm="1">
        <f t="array" ref="I253">INDEX('D2'!A:A,1+BIN2DEC(MID($B253,16,2)))</f>
        <v>0</v>
      </c>
      <c r="J253" s="21">
        <f t="shared" si="27"/>
        <v>0</v>
      </c>
      <c r="K253" s="21">
        <f t="shared" si="23"/>
        <v>0</v>
      </c>
      <c r="L253" s="21">
        <f t="shared" si="24"/>
        <v>0</v>
      </c>
      <c r="M253" s="19" t="str" cm="1">
        <f t="array" ref="M253">INDEX(Types!A:A,1+BIN2DEC(MID($B253,20,2)))</f>
        <v>Control</v>
      </c>
      <c r="N253" s="19" t="str" cm="1">
        <f t="array" ref="N253">IF(M253="ALU",INDEX(ALUOps!A:A,1+BIN2DEC(MID($B253,22,5))),"")</f>
        <v/>
      </c>
      <c r="O253" s="19" t="str" cm="1">
        <f t="array" ref="O253">IF(M253="ALU",INDEX(TMP!A:A,1+BIN2DEC(MID($B253,27,2))),"")</f>
        <v/>
      </c>
      <c r="P253" s="21" t="str">
        <f t="shared" si="25"/>
        <v/>
      </c>
      <c r="Q253" s="20" t="str">
        <f t="shared" si="26"/>
        <v/>
      </c>
      <c r="R253" s="20" t="str">
        <f t="shared" si="28"/>
        <v/>
      </c>
      <c r="S253" s="20" cm="1">
        <f t="array" ref="S253">IF(M253="Control",INDEX(IC!A:A,1+BIN2DEC(MID($B253,21,4))),"")</f>
        <v>0</v>
      </c>
      <c r="T253" s="20" cm="1">
        <f t="array" ref="T253">IF(M253="Control",INDEX(EC!A:A,1+BIN2DEC(MID($B253,25,3))),"")</f>
        <v>0</v>
      </c>
      <c r="U253" s="20" cm="1">
        <f t="array" ref="U253">IF(M253="Control",INDEX(SR!A:A,1+BIN2DEC(MID($B253,28,2))),"")</f>
        <v>0</v>
      </c>
    </row>
    <row r="254" spans="1:30" x14ac:dyDescent="0.25">
      <c r="A254" s="4" t="str">
        <f t="shared" si="22"/>
        <v>0FC</v>
      </c>
      <c r="B254" s="2" t="s">
        <v>242</v>
      </c>
      <c r="C254" s="2" t="s">
        <v>247</v>
      </c>
      <c r="D254" s="2" t="s">
        <v>928</v>
      </c>
      <c r="E254" s="2" t="s">
        <v>462</v>
      </c>
      <c r="F254" s="27" t="str" cm="1">
        <f t="array" ref="F254">INDEX(Sources!A:A, 1 + BIN2DEC(LEFT($B254,5)))</f>
        <v>OUT</v>
      </c>
      <c r="G254" s="27" t="str" cm="1">
        <f t="array" ref="G254">INDEX(Dest1!A:A,1+BIN2DEC(MID($B254,6,5)))</f>
        <v>REG</v>
      </c>
      <c r="H254" s="27" t="str" cm="1">
        <f t="array" ref="H254">INDEX(Source2!A:A,1+BIN2DEC(MID($B254,11,4)))</f>
        <v>11</v>
      </c>
      <c r="I254" s="23" cm="1">
        <f t="array" ref="I254">INDEX('D2'!A:A,1+BIN2DEC(MID($B254,16,2)))</f>
        <v>1</v>
      </c>
      <c r="J254" s="6">
        <f t="shared" si="27"/>
        <v>1</v>
      </c>
      <c r="K254" s="6">
        <f t="shared" si="23"/>
        <v>0</v>
      </c>
      <c r="L254" s="6">
        <f t="shared" si="24"/>
        <v>0</v>
      </c>
      <c r="M254" s="3" t="str" cm="1">
        <f t="array" ref="M254">INDEX(Types!A:A,1+BIN2DEC(MID($B254,20,2)))</f>
        <v>ALU</v>
      </c>
      <c r="N254" s="3" cm="1">
        <f t="array" ref="N254">IF(M254="ALU",INDEX(ALUOps!A:A,1+BIN2DEC(MID($B254,22,5))),"")</f>
        <v>3</v>
      </c>
      <c r="O254" s="3" cm="1">
        <f t="array" ref="O254">IF(M254="ALU",INDEX(TMP!A:A,1+BIN2DEC(MID($B254,27,2))),"")</f>
        <v>2</v>
      </c>
      <c r="P254" s="6">
        <f t="shared" si="25"/>
        <v>1</v>
      </c>
      <c r="Q254" t="str">
        <f t="shared" si="26"/>
        <v/>
      </c>
      <c r="R254" t="str">
        <f t="shared" si="28"/>
        <v/>
      </c>
      <c r="S254" t="str" cm="1">
        <f t="array" ref="S254">IF(M254="Control",INDEX(IC!A:A,1+BIN2DEC(MID($B254,21,4))),"")</f>
        <v/>
      </c>
      <c r="T254" t="str" cm="1">
        <f t="array" ref="T254">IF(M254="Control",INDEX(EC!A:A,1+BIN2DEC(MID($B254,25,3))),"")</f>
        <v/>
      </c>
      <c r="U254" t="str" cm="1">
        <f t="array" ref="U254">IF(M254="Control",INDEX(SR!A:A,1+BIN2DEC(MID($B254,28,2))),"")</f>
        <v/>
      </c>
      <c r="X254" t="s">
        <v>1046</v>
      </c>
      <c r="AD254" s="1" t="s">
        <v>248</v>
      </c>
    </row>
    <row r="255" spans="1:30" x14ac:dyDescent="0.25">
      <c r="A255" s="4" t="str">
        <f t="shared" si="22"/>
        <v>0FD</v>
      </c>
      <c r="B255" s="2" t="s">
        <v>245</v>
      </c>
      <c r="C255" s="3"/>
      <c r="D255" s="3"/>
      <c r="E255" s="3"/>
      <c r="F255" s="27" t="str" cm="1">
        <f t="array" ref="F255">INDEX(Sources!A:A, 1 + BIN2DEC(LEFT($B255,5)))</f>
        <v>SIGMA</v>
      </c>
      <c r="G255" s="27" t="str" cm="1">
        <f t="array" ref="G255">INDEX(Dest1!A:A,1+BIN2DEC(MID($B255,6,5)))</f>
        <v>UNK26</v>
      </c>
      <c r="H255" s="27" t="str" cm="1">
        <f t="array" ref="H255">INDEX(Source2!A:A,1+BIN2DEC(MID($B255,11,4)))</f>
        <v>--</v>
      </c>
      <c r="I255" s="23" cm="1">
        <f t="array" ref="I255">INDEX('D2'!A:A,1+BIN2DEC(MID($B255,16,2)))</f>
        <v>0</v>
      </c>
      <c r="J255" s="6">
        <f t="shared" si="27"/>
        <v>0</v>
      </c>
      <c r="K255" s="6">
        <f t="shared" si="23"/>
        <v>0</v>
      </c>
      <c r="L255" s="6">
        <f t="shared" si="24"/>
        <v>0</v>
      </c>
      <c r="M255" s="3" t="str" cm="1">
        <f t="array" ref="M255">INDEX(Types!A:A,1+BIN2DEC(MID($B255,20,2)))</f>
        <v>Control</v>
      </c>
      <c r="N255" s="3" t="str" cm="1">
        <f t="array" ref="N255">IF(M255="ALU",INDEX(ALUOps!A:A,1+BIN2DEC(MID($B255,22,5))),"")</f>
        <v/>
      </c>
      <c r="O255" s="3" t="str" cm="1">
        <f t="array" ref="O255">IF(M255="ALU",INDEX(TMP!A:A,1+BIN2DEC(MID($B255,27,2))),"")</f>
        <v/>
      </c>
      <c r="P255" s="6" t="str">
        <f t="shared" si="25"/>
        <v/>
      </c>
      <c r="Q255" t="str">
        <f t="shared" si="26"/>
        <v/>
      </c>
      <c r="R255" t="str">
        <f t="shared" si="28"/>
        <v/>
      </c>
      <c r="S255" cm="1">
        <f t="array" ref="S255">IF(M255="Control",INDEX(IC!A:A,1+BIN2DEC(MID($B255,21,4))),"")</f>
        <v>0</v>
      </c>
      <c r="T255" cm="1">
        <f t="array" ref="T255">IF(M255="Control",INDEX(EC!A:A,1+BIN2DEC(MID($B255,25,3))),"")</f>
        <v>6</v>
      </c>
      <c r="U255" cm="1">
        <f t="array" ref="U255">IF(M255="Control",INDEX(SR!A:A,1+BIN2DEC(MID($B255,28,2))),"")</f>
        <v>0</v>
      </c>
    </row>
    <row r="256" spans="1:30" x14ac:dyDescent="0.25">
      <c r="A256" s="4" t="str">
        <f t="shared" si="22"/>
        <v>0FE</v>
      </c>
      <c r="B256" s="2" t="s">
        <v>249</v>
      </c>
      <c r="C256" s="3"/>
      <c r="D256" s="3"/>
      <c r="E256" s="3"/>
      <c r="F256" s="27" t="str" cm="1">
        <f t="array" ref="F256">INDEX(Sources!A:A, 1 + BIN2DEC(LEFT($B256,5)))</f>
        <v>OUT</v>
      </c>
      <c r="G256" s="27" t="str" cm="1">
        <f t="array" ref="G256">INDEX(Dest1!A:A,1+BIN2DEC(MID($B256,6,5)))</f>
        <v>DS</v>
      </c>
      <c r="H256" s="27" t="str" cm="1">
        <f t="array" ref="H256">INDEX(Source2!A:A,1+BIN2DEC(MID($B256,11,4)))</f>
        <v>--</v>
      </c>
      <c r="I256" s="23" cm="1">
        <f t="array" ref="I256">INDEX('D2'!A:A,1+BIN2DEC(MID($B256,16,2)))</f>
        <v>1</v>
      </c>
      <c r="J256" s="6">
        <f t="shared" si="27"/>
        <v>1</v>
      </c>
      <c r="K256" s="6">
        <f t="shared" si="23"/>
        <v>0</v>
      </c>
      <c r="L256" s="6">
        <f t="shared" si="24"/>
        <v>1</v>
      </c>
      <c r="M256" s="3" t="str" cm="1">
        <f t="array" ref="M256">INDEX(Types!A:A,1+BIN2DEC(MID($B256,20,2)))</f>
        <v>Control</v>
      </c>
      <c r="N256" s="3" t="str" cm="1">
        <f t="array" ref="N256">IF(M256="ALU",INDEX(ALUOps!A:A,1+BIN2DEC(MID($B256,22,5))),"")</f>
        <v/>
      </c>
      <c r="O256" s="3" t="str" cm="1">
        <f t="array" ref="O256">IF(M256="ALU",INDEX(TMP!A:A,1+BIN2DEC(MID($B256,27,2))),"")</f>
        <v/>
      </c>
      <c r="P256" s="6" t="str">
        <f t="shared" si="25"/>
        <v/>
      </c>
      <c r="Q256" t="str">
        <f t="shared" si="26"/>
        <v/>
      </c>
      <c r="R256" t="str">
        <f t="shared" si="28"/>
        <v/>
      </c>
      <c r="S256" cm="1">
        <f t="array" ref="S256">IF(M256="Control",INDEX(IC!A:A,1+BIN2DEC(MID($B256,21,4))),"")</f>
        <v>0</v>
      </c>
      <c r="T256" cm="1">
        <f t="array" ref="T256">IF(M256="Control",INDEX(EC!A:A,1+BIN2DEC(MID($B256,25,3))),"")</f>
        <v>0</v>
      </c>
      <c r="U256" cm="1">
        <f t="array" ref="U256">IF(M256="Control",INDEX(SR!A:A,1+BIN2DEC(MID($B256,28,2))),"")</f>
        <v>0</v>
      </c>
    </row>
    <row r="257" spans="1:30" s="20" customFormat="1" ht="15.75" thickBot="1" x14ac:dyDescent="0.3">
      <c r="A257" s="17" t="str">
        <f t="shared" si="22"/>
        <v>0FF</v>
      </c>
      <c r="B257" s="18" t="s">
        <v>4</v>
      </c>
      <c r="C257" s="19"/>
      <c r="D257" s="19"/>
      <c r="E257" s="19"/>
      <c r="F257" s="29" t="str" cm="1">
        <f t="array" ref="F257">INDEX(Sources!A:A, 1 + BIN2DEC(LEFT($B257,5)))</f>
        <v>--</v>
      </c>
      <c r="G257" s="29" t="str" cm="1">
        <f t="array" ref="G257">INDEX(Dest1!A:A,1+BIN2DEC(MID($B257,6,5)))</f>
        <v>--</v>
      </c>
      <c r="H257" s="29" t="str" cm="1">
        <f t="array" ref="H257">INDEX(Source2!A:A,1+BIN2DEC(MID($B257,11,4)))</f>
        <v>--</v>
      </c>
      <c r="I257" s="25" cm="1">
        <f t="array" ref="I257">INDEX('D2'!A:A,1+BIN2DEC(MID($B257,16,2)))</f>
        <v>0</v>
      </c>
      <c r="J257" s="21">
        <f t="shared" si="27"/>
        <v>0</v>
      </c>
      <c r="K257" s="21">
        <f t="shared" si="23"/>
        <v>0</v>
      </c>
      <c r="L257" s="21">
        <f t="shared" si="24"/>
        <v>0</v>
      </c>
      <c r="M257" s="19" t="str" cm="1">
        <f t="array" ref="M257">INDEX(Types!A:A,1+BIN2DEC(MID($B257,20,2)))</f>
        <v>Control</v>
      </c>
      <c r="N257" s="19" t="str" cm="1">
        <f t="array" ref="N257">IF(M257="ALU",INDEX(ALUOps!A:A,1+BIN2DEC(MID($B257,22,5))),"")</f>
        <v/>
      </c>
      <c r="O257" s="19" t="str" cm="1">
        <f t="array" ref="O257">IF(M257="ALU",INDEX(TMP!A:A,1+BIN2DEC(MID($B257,27,2))),"")</f>
        <v/>
      </c>
      <c r="P257" s="21" t="str">
        <f t="shared" si="25"/>
        <v/>
      </c>
      <c r="Q257" s="20" t="str">
        <f t="shared" si="26"/>
        <v/>
      </c>
      <c r="R257" s="20" t="str">
        <f t="shared" si="28"/>
        <v/>
      </c>
      <c r="S257" s="20" cm="1">
        <f t="array" ref="S257">IF(M257="Control",INDEX(IC!A:A,1+BIN2DEC(MID($B257,21,4))),"")</f>
        <v>0</v>
      </c>
      <c r="T257" s="20" cm="1">
        <f t="array" ref="T257">IF(M257="Control",INDEX(EC!A:A,1+BIN2DEC(MID($B257,25,3))),"")</f>
        <v>0</v>
      </c>
      <c r="U257" s="20" cm="1">
        <f t="array" ref="U257">IF(M257="Control",INDEX(SR!A:A,1+BIN2DEC(MID($B257,28,2))),"")</f>
        <v>0</v>
      </c>
    </row>
    <row r="258" spans="1:30" x14ac:dyDescent="0.25">
      <c r="A258" s="4" t="str">
        <f t="shared" si="22"/>
        <v>100</v>
      </c>
      <c r="B258" s="2" t="s">
        <v>63</v>
      </c>
      <c r="C258" s="2" t="s">
        <v>250</v>
      </c>
      <c r="D258" s="2" t="s">
        <v>928</v>
      </c>
      <c r="E258" s="2" t="s">
        <v>462</v>
      </c>
      <c r="F258" s="27" t="str" cm="1">
        <f t="array" ref="F258">INDEX(Sources!A:A, 1 + BIN2DEC(LEFT($B258,5)))</f>
        <v>Q</v>
      </c>
      <c r="G258" s="27" t="str" cm="1">
        <f t="array" ref="G258">INDEX(Dest1!A:A,1+BIN2DEC(MID($B258,6,5)))</f>
        <v>UNK10</v>
      </c>
      <c r="H258" s="27" t="str" cm="1">
        <f t="array" ref="H258">INDEX(Source2!A:A,1+BIN2DEC(MID($B258,11,4)))</f>
        <v>--</v>
      </c>
      <c r="I258" s="23" cm="1">
        <f t="array" ref="I258">INDEX('D2'!A:A,1+BIN2DEC(MID($B258,16,2)))</f>
        <v>0</v>
      </c>
      <c r="J258" s="6">
        <f t="shared" si="27"/>
        <v>0</v>
      </c>
      <c r="K258" s="6">
        <f t="shared" si="23"/>
        <v>0</v>
      </c>
      <c r="L258" s="6">
        <f t="shared" si="24"/>
        <v>0</v>
      </c>
      <c r="M258" s="3" t="str" cm="1">
        <f t="array" ref="M258">INDEX(Types!A:A,1+BIN2DEC(MID($B258,20,2)))</f>
        <v>Jump</v>
      </c>
      <c r="N258" s="3" t="str" cm="1">
        <f t="array" ref="N258">IF(M258="ALU",INDEX(ALUOps!A:A,1+BIN2DEC(MID($B258,22,5))),"")</f>
        <v/>
      </c>
      <c r="O258" s="3" t="str" cm="1">
        <f t="array" ref="O258">IF(M258="ALU",INDEX(TMP!A:A,1+BIN2DEC(MID($B258,27,2))),"")</f>
        <v/>
      </c>
      <c r="P258" s="6" t="str">
        <f t="shared" si="25"/>
        <v/>
      </c>
      <c r="Q258">
        <f t="shared" si="26"/>
        <v>8</v>
      </c>
      <c r="R258">
        <f t="shared" si="28"/>
        <v>2</v>
      </c>
      <c r="S258" t="str" cm="1">
        <f t="array" ref="S258">IF(M258="Control",INDEX(IC!A:A,1+BIN2DEC(MID($B258,21,4))),"")</f>
        <v/>
      </c>
      <c r="T258" t="str" cm="1">
        <f t="array" ref="T258">IF(M258="Control",INDEX(EC!A:A,1+BIN2DEC(MID($B258,25,3))),"")</f>
        <v/>
      </c>
      <c r="U258" t="str" cm="1">
        <f t="array" ref="U258">IF(M258="Control",INDEX(SR!A:A,1+BIN2DEC(MID($B258,28,2))),"")</f>
        <v/>
      </c>
      <c r="X258" t="s">
        <v>1059</v>
      </c>
      <c r="AD258" s="1" t="s">
        <v>251</v>
      </c>
    </row>
    <row r="259" spans="1:30" x14ac:dyDescent="0.25">
      <c r="A259" s="4" t="str">
        <f t="shared" ref="A259:A322" si="29">DEC2HEX(ROW(A258)-ROW($A$1),3)</f>
        <v>101</v>
      </c>
      <c r="B259" s="2" t="s">
        <v>66</v>
      </c>
      <c r="C259" s="3"/>
      <c r="D259" s="3"/>
      <c r="E259" s="3"/>
      <c r="F259" s="27" t="str" cm="1">
        <f t="array" ref="F259">INDEX(Sources!A:A, 1 + BIN2DEC(LEFT($B259,5)))</f>
        <v>Q</v>
      </c>
      <c r="G259" s="27" t="str" cm="1">
        <f t="array" ref="G259">INDEX(Dest1!A:A,1+BIN2DEC(MID($B259,6,5)))</f>
        <v>UNK8</v>
      </c>
      <c r="H259" s="27" t="str" cm="1">
        <f t="array" ref="H259">INDEX(Source2!A:A,1+BIN2DEC(MID($B259,11,4)))</f>
        <v>--</v>
      </c>
      <c r="I259" s="23" cm="1">
        <f t="array" ref="I259">INDEX('D2'!A:A,1+BIN2DEC(MID($B259,16,2)))</f>
        <v>0</v>
      </c>
      <c r="J259" s="6">
        <f t="shared" si="27"/>
        <v>0</v>
      </c>
      <c r="K259" s="6">
        <f t="shared" ref="K259:K322" si="30">BIN2DEC(MID($B259,18,1))</f>
        <v>0</v>
      </c>
      <c r="L259" s="6">
        <f t="shared" ref="L259:L322" si="31">BIN2DEC(MID($B259,19,1))</f>
        <v>0</v>
      </c>
      <c r="M259" s="3" t="str" cm="1">
        <f t="array" ref="M259">INDEX(Types!A:A,1+BIN2DEC(MID($B259,20,2)))</f>
        <v>Control</v>
      </c>
      <c r="N259" s="3" t="str" cm="1">
        <f t="array" ref="N259">IF(M259="ALU",INDEX(ALUOps!A:A,1+BIN2DEC(MID($B259,22,5))),"")</f>
        <v/>
      </c>
      <c r="O259" s="3" t="str" cm="1">
        <f t="array" ref="O259">IF(M259="ALU",INDEX(TMP!A:A,1+BIN2DEC(MID($B259,27,2))),"")</f>
        <v/>
      </c>
      <c r="P259" s="6" t="str">
        <f t="shared" ref="P259:P322" si="32">IF(M259="ALU",BIN2DEC(MID($B259,29,1)),"")</f>
        <v/>
      </c>
      <c r="Q259" t="str">
        <f t="shared" ref="Q259:Q322" si="33">IF(M259="Jump",BIN2DEC(MID($B259,22,4)),"")</f>
        <v/>
      </c>
      <c r="R259" t="str">
        <f t="shared" si="28"/>
        <v/>
      </c>
      <c r="S259" cm="1">
        <f t="array" ref="S259">IF(M259="Control",INDEX(IC!A:A,1+BIN2DEC(MID($B259,21,4))),"")</f>
        <v>0</v>
      </c>
      <c r="T259" cm="1">
        <f t="array" ref="T259">IF(M259="Control",INDEX(EC!A:A,1+BIN2DEC(MID($B259,25,3))),"")</f>
        <v>0</v>
      </c>
      <c r="U259" cm="1">
        <f t="array" ref="U259">IF(M259="Control",INDEX(SR!A:A,1+BIN2DEC(MID($B259,28,2))),"")</f>
        <v>0</v>
      </c>
    </row>
    <row r="260" spans="1:30" x14ac:dyDescent="0.25">
      <c r="A260" s="4" t="str">
        <f t="shared" si="29"/>
        <v>102</v>
      </c>
      <c r="B260" s="2" t="s">
        <v>252</v>
      </c>
      <c r="C260" s="3"/>
      <c r="D260" s="3"/>
      <c r="E260" s="3"/>
      <c r="F260" s="27" t="str" cm="1">
        <f t="array" ref="F260">INDEX(Sources!A:A, 1 + BIN2DEC(LEFT($B260,5)))</f>
        <v>TMPA</v>
      </c>
      <c r="G260" s="27" t="str" cm="1">
        <f t="array" ref="G260">INDEX(Dest1!A:A,1+BIN2DEC(MID($B260,6,5)))</f>
        <v>OPR</v>
      </c>
      <c r="H260" s="27" t="str" cm="1">
        <f t="array" ref="H260">INDEX(Source2!A:A,1+BIN2DEC(MID($B260,11,4)))</f>
        <v>--</v>
      </c>
      <c r="I260" s="23" cm="1">
        <f t="array" ref="I260">INDEX('D2'!A:A,1+BIN2DEC(MID($B260,16,2)))</f>
        <v>0</v>
      </c>
      <c r="J260" s="6">
        <f t="shared" ref="J260:J323" si="34">BIN2DEC(MID($B260,17,1))</f>
        <v>0</v>
      </c>
      <c r="K260" s="6">
        <f t="shared" si="30"/>
        <v>0</v>
      </c>
      <c r="L260" s="6">
        <f t="shared" si="31"/>
        <v>1</v>
      </c>
      <c r="M260" s="3" t="str" cm="1">
        <f t="array" ref="M260">INDEX(Types!A:A,1+BIN2DEC(MID($B260,20,2)))</f>
        <v>Control</v>
      </c>
      <c r="N260" s="3" t="str" cm="1">
        <f t="array" ref="N260">IF(M260="ALU",INDEX(ALUOps!A:A,1+BIN2DEC(MID($B260,22,5))),"")</f>
        <v/>
      </c>
      <c r="O260" s="3" t="str" cm="1">
        <f t="array" ref="O260">IF(M260="ALU",INDEX(TMP!A:A,1+BIN2DEC(MID($B260,27,2))),"")</f>
        <v/>
      </c>
      <c r="P260" s="6" t="str">
        <f t="shared" si="32"/>
        <v/>
      </c>
      <c r="Q260" t="str">
        <f t="shared" si="33"/>
        <v/>
      </c>
      <c r="R260" t="str">
        <f t="shared" si="28"/>
        <v/>
      </c>
      <c r="S260" cm="1">
        <f t="array" ref="S260">IF(M260="Control",INDEX(IC!A:A,1+BIN2DEC(MID($B260,21,4))),"")</f>
        <v>0</v>
      </c>
      <c r="T260" cm="1">
        <f t="array" ref="T260">IF(M260="Control",INDEX(EC!A:A,1+BIN2DEC(MID($B260,25,3))),"")</f>
        <v>1</v>
      </c>
      <c r="U260" cm="1">
        <f t="array" ref="U260">IF(M260="Control",INDEX(SR!A:A,1+BIN2DEC(MID($B260,28,2))),"")</f>
        <v>0</v>
      </c>
    </row>
    <row r="261" spans="1:30" s="20" customFormat="1" ht="15.75" thickBot="1" x14ac:dyDescent="0.3">
      <c r="A261" s="17" t="str">
        <f t="shared" si="29"/>
        <v>103</v>
      </c>
      <c r="B261" s="18" t="s">
        <v>4</v>
      </c>
      <c r="C261" s="19"/>
      <c r="D261" s="19"/>
      <c r="E261" s="19"/>
      <c r="F261" s="29"/>
      <c r="G261" s="29" t="str" cm="1">
        <f t="array" ref="G261">INDEX(Dest1!A:A,1+BIN2DEC(MID($B261,6,5)))</f>
        <v>--</v>
      </c>
      <c r="H261" s="29" t="str" cm="1">
        <f t="array" ref="H261">INDEX(Source2!A:A,1+BIN2DEC(MID($B261,11,4)))</f>
        <v>--</v>
      </c>
      <c r="I261" s="25"/>
      <c r="J261" s="21"/>
      <c r="K261" s="21"/>
      <c r="L261" s="21"/>
      <c r="M261" s="19"/>
      <c r="N261" s="19" t="str" cm="1">
        <f t="array" ref="N261">IF(M261="ALU",INDEX(ALUOps!A:A,1+BIN2DEC(MID($B261,22,5))),"")</f>
        <v/>
      </c>
      <c r="O261" s="19"/>
      <c r="P261" s="21"/>
      <c r="Q261" s="20" t="str">
        <f t="shared" si="33"/>
        <v/>
      </c>
      <c r="R261" s="20" t="str">
        <f t="shared" si="28"/>
        <v/>
      </c>
      <c r="S261" s="20" t="str" cm="1">
        <f t="array" ref="S261">IF(M261="Control",INDEX(IC!A:A,1+BIN2DEC(MID($B261,21,4))),"")</f>
        <v/>
      </c>
      <c r="T261" s="20" t="str" cm="1">
        <f t="array" ref="T261">IF(M261="Control",INDEX(EC!A:A,1+BIN2DEC(MID($B261,25,3))),"")</f>
        <v/>
      </c>
      <c r="U261" s="20" t="str" cm="1">
        <f t="array" ref="U261">IF(M261="Control",INDEX(SR!A:A,1+BIN2DEC(MID($B261,28,2))),"")</f>
        <v/>
      </c>
    </row>
    <row r="262" spans="1:30" x14ac:dyDescent="0.25">
      <c r="A262" s="4" t="str">
        <f t="shared" si="29"/>
        <v>104</v>
      </c>
      <c r="B262" s="2" t="s">
        <v>253</v>
      </c>
      <c r="C262" s="2" t="s">
        <v>254</v>
      </c>
      <c r="D262" s="2" t="s">
        <v>928</v>
      </c>
      <c r="E262" s="2" t="s">
        <v>462</v>
      </c>
      <c r="F262" s="27" t="str" cm="1">
        <f t="array" ref="F262">INDEX(Sources!A:A, 1 + BIN2DEC(LEFT($B262,5)))</f>
        <v>REG</v>
      </c>
      <c r="G262" s="27" t="str" cm="1">
        <f t="array" ref="G262">INDEX(Dest1!A:A,1+BIN2DEC(MID($B262,6,5)))</f>
        <v>UNK10</v>
      </c>
      <c r="H262" s="27" t="str" cm="1">
        <f t="array" ref="H262">INDEX(Source2!A:A,1+BIN2DEC(MID($B262,11,4)))</f>
        <v>15</v>
      </c>
      <c r="I262" s="23" cm="1">
        <f t="array" ref="I262">INDEX('D2'!A:A,1+BIN2DEC(MID($B262,16,2)))</f>
        <v>0</v>
      </c>
      <c r="J262" s="6">
        <f t="shared" si="34"/>
        <v>0</v>
      </c>
      <c r="K262" s="6">
        <f t="shared" si="30"/>
        <v>0</v>
      </c>
      <c r="L262" s="6">
        <f t="shared" si="31"/>
        <v>0</v>
      </c>
      <c r="M262" s="3" t="str" cm="1">
        <f t="array" ref="M262">INDEX(Types!A:A,1+BIN2DEC(MID($B262,20,2)))</f>
        <v>Control</v>
      </c>
      <c r="N262" s="3" t="str" cm="1">
        <f t="array" ref="N262">IF(M262="ALU",INDEX(ALUOps!A:A,1+BIN2DEC(MID($B262,22,5))),"")</f>
        <v/>
      </c>
      <c r="O262" s="3" t="str" cm="1">
        <f t="array" ref="O262">IF(M262="ALU",INDEX(TMP!A:A,1+BIN2DEC(MID($B262,27,2))),"")</f>
        <v/>
      </c>
      <c r="P262" s="6" t="str">
        <f t="shared" si="32"/>
        <v/>
      </c>
      <c r="Q262" t="str">
        <f t="shared" si="33"/>
        <v/>
      </c>
      <c r="R262" t="str">
        <f t="shared" si="28"/>
        <v/>
      </c>
      <c r="S262" cm="1">
        <f t="array" ref="S262">IF(M262="Control",INDEX(IC!A:A,1+BIN2DEC(MID($B262,21,4))),"")</f>
        <v>7</v>
      </c>
      <c r="T262" cm="1">
        <f t="array" ref="T262">IF(M262="Control",INDEX(EC!A:A,1+BIN2DEC(MID($B262,25,3))),"")</f>
        <v>0</v>
      </c>
      <c r="U262" cm="1">
        <f t="array" ref="U262">IF(M262="Control",INDEX(SR!A:A,1+BIN2DEC(MID($B262,28,2))),"")</f>
        <v>0</v>
      </c>
      <c r="X262" t="s">
        <v>1047</v>
      </c>
      <c r="AD262" s="1" t="s">
        <v>255</v>
      </c>
    </row>
    <row r="263" spans="1:30" x14ac:dyDescent="0.25">
      <c r="A263" s="4" t="str">
        <f t="shared" si="29"/>
        <v>105</v>
      </c>
      <c r="B263" s="2" t="s">
        <v>256</v>
      </c>
      <c r="C263" s="3"/>
      <c r="D263" s="3"/>
      <c r="E263" s="3"/>
      <c r="F263" s="27" t="str" cm="1">
        <f t="array" ref="F263">INDEX(Sources!A:A, 1 + BIN2DEC(LEFT($B263,5)))</f>
        <v>--</v>
      </c>
      <c r="G263" s="27" t="str" cm="1">
        <f t="array" ref="G263">INDEX(Dest1!A:A,1+BIN2DEC(MID($B263,6,5)))</f>
        <v>--</v>
      </c>
      <c r="H263" s="27" t="str" cm="1">
        <f t="array" ref="H263">INDEX(Source2!A:A,1+BIN2DEC(MID($B263,11,4)))</f>
        <v>--</v>
      </c>
      <c r="I263" s="23" cm="1">
        <f t="array" ref="I263">INDEX('D2'!A:A,1+BIN2DEC(MID($B263,16,2)))</f>
        <v>0</v>
      </c>
      <c r="J263" s="6">
        <f t="shared" si="34"/>
        <v>0</v>
      </c>
      <c r="K263" s="6">
        <f t="shared" si="30"/>
        <v>0</v>
      </c>
      <c r="L263" s="6">
        <f t="shared" si="31"/>
        <v>0</v>
      </c>
      <c r="M263" s="3" t="str" cm="1">
        <f t="array" ref="M263">INDEX(Types!A:A,1+BIN2DEC(MID($B263,20,2)))</f>
        <v>Control</v>
      </c>
      <c r="N263" s="3" t="str" cm="1">
        <f t="array" ref="N263">IF(M263="ALU",INDEX(ALUOps!A:A,1+BIN2DEC(MID($B263,22,5))),"")</f>
        <v/>
      </c>
      <c r="O263" s="3" t="str" cm="1">
        <f t="array" ref="O263">IF(M263="ALU",INDEX(TMP!A:A,1+BIN2DEC(MID($B263,27,2))),"")</f>
        <v/>
      </c>
      <c r="P263" s="6" t="str">
        <f t="shared" si="32"/>
        <v/>
      </c>
      <c r="Q263" t="str">
        <f t="shared" si="33"/>
        <v/>
      </c>
      <c r="R263" t="str">
        <f t="shared" ref="R263:R326" si="35">IF(M263="Jump",15-BIN2DEC(MID($B263,26,4)),"")</f>
        <v/>
      </c>
      <c r="S263" cm="1">
        <f t="array" ref="S263">IF(M263="Control",INDEX(IC!A:A,1+BIN2DEC(MID($B263,21,4))),"")</f>
        <v>1</v>
      </c>
      <c r="T263" cm="1">
        <f t="array" ref="T263">IF(M263="Control",INDEX(EC!A:A,1+BIN2DEC(MID($B263,25,3))),"")</f>
        <v>7</v>
      </c>
      <c r="U263" cm="1">
        <f t="array" ref="U263">IF(M263="Control",INDEX(SR!A:A,1+BIN2DEC(MID($B263,28,2))),"")</f>
        <v>1</v>
      </c>
    </row>
    <row r="264" spans="1:30" s="15" customFormat="1" x14ac:dyDescent="0.25">
      <c r="A264" s="12" t="str">
        <f t="shared" si="29"/>
        <v>106</v>
      </c>
      <c r="B264" s="13" t="s">
        <v>4</v>
      </c>
      <c r="C264" s="14"/>
      <c r="D264" s="14"/>
      <c r="E264" s="14"/>
      <c r="F264" s="28"/>
      <c r="G264" s="28" t="str" cm="1">
        <f t="array" ref="G264">INDEX(Dest1!A:A,1+BIN2DEC(MID($B264,6,5)))</f>
        <v>--</v>
      </c>
      <c r="H264" s="28" t="str" cm="1">
        <f t="array" ref="H264">INDEX(Source2!A:A,1+BIN2DEC(MID($B264,11,4)))</f>
        <v>--</v>
      </c>
      <c r="I264" s="24"/>
      <c r="J264" s="16"/>
      <c r="K264" s="16"/>
      <c r="L264" s="16"/>
      <c r="M264" s="14"/>
      <c r="N264" s="14" t="str" cm="1">
        <f t="array" ref="N264">IF(M264="ALU",INDEX(ALUOps!A:A,1+BIN2DEC(MID($B264,22,5))),"")</f>
        <v/>
      </c>
      <c r="O264" s="14"/>
      <c r="P264" s="16"/>
      <c r="Q264" s="15" t="str">
        <f t="shared" si="33"/>
        <v/>
      </c>
      <c r="R264" s="15" t="str">
        <f t="shared" si="35"/>
        <v/>
      </c>
      <c r="S264" s="15" t="str" cm="1">
        <f t="array" ref="S264">IF(M264="Control",INDEX(IC!A:A,1+BIN2DEC(MID($B264,21,4))),"")</f>
        <v/>
      </c>
      <c r="T264" s="15" t="str" cm="1">
        <f t="array" ref="T264">IF(M264="Control",INDEX(EC!A:A,1+BIN2DEC(MID($B264,25,3))),"")</f>
        <v/>
      </c>
      <c r="U264" s="15" t="str" cm="1">
        <f t="array" ref="U264">IF(M264="Control",INDEX(SR!A:A,1+BIN2DEC(MID($B264,28,2))),"")</f>
        <v/>
      </c>
    </row>
    <row r="265" spans="1:30" s="20" customFormat="1" ht="15.75" thickBot="1" x14ac:dyDescent="0.3">
      <c r="A265" s="17" t="str">
        <f t="shared" si="29"/>
        <v>107</v>
      </c>
      <c r="B265" s="18" t="s">
        <v>4</v>
      </c>
      <c r="C265" s="19"/>
      <c r="D265" s="19"/>
      <c r="E265" s="19"/>
      <c r="F265" s="29"/>
      <c r="G265" s="29" t="str" cm="1">
        <f t="array" ref="G265">INDEX(Dest1!A:A,1+BIN2DEC(MID($B265,6,5)))</f>
        <v>--</v>
      </c>
      <c r="H265" s="29" t="str" cm="1">
        <f t="array" ref="H265">INDEX(Source2!A:A,1+BIN2DEC(MID($B265,11,4)))</f>
        <v>--</v>
      </c>
      <c r="I265" s="25"/>
      <c r="J265" s="21"/>
      <c r="K265" s="21"/>
      <c r="L265" s="21"/>
      <c r="M265" s="19"/>
      <c r="N265" s="19" t="str" cm="1">
        <f t="array" ref="N265">IF(M265="ALU",INDEX(ALUOps!A:A,1+BIN2DEC(MID($B265,22,5))),"")</f>
        <v/>
      </c>
      <c r="O265" s="19"/>
      <c r="P265" s="21"/>
      <c r="Q265" s="20" t="str">
        <f t="shared" si="33"/>
        <v/>
      </c>
      <c r="R265" s="20" t="str">
        <f t="shared" si="35"/>
        <v/>
      </c>
      <c r="S265" s="20" t="str" cm="1">
        <f t="array" ref="S265">IF(M265="Control",INDEX(IC!A:A,1+BIN2DEC(MID($B265,21,4))),"")</f>
        <v/>
      </c>
      <c r="T265" s="20" t="str" cm="1">
        <f t="array" ref="T265">IF(M265="Control",INDEX(EC!A:A,1+BIN2DEC(MID($B265,25,3))),"")</f>
        <v/>
      </c>
      <c r="U265" s="20" t="str" cm="1">
        <f t="array" ref="U265">IF(M265="Control",INDEX(SR!A:A,1+BIN2DEC(MID($B265,28,2))),"")</f>
        <v/>
      </c>
    </row>
    <row r="266" spans="1:30" x14ac:dyDescent="0.25">
      <c r="A266" s="4" t="str">
        <f t="shared" si="29"/>
        <v>108</v>
      </c>
      <c r="B266" s="2" t="s">
        <v>257</v>
      </c>
      <c r="C266" s="2" t="s">
        <v>258</v>
      </c>
      <c r="D266" s="2" t="s">
        <v>928</v>
      </c>
      <c r="E266" s="2" t="s">
        <v>462</v>
      </c>
      <c r="F266" s="27" t="str" cm="1">
        <f t="array" ref="F266">INDEX(Sources!A:A, 1 + BIN2DEC(LEFT($B266,5)))</f>
        <v>Q</v>
      </c>
      <c r="G266" s="27" t="str" cm="1">
        <f t="array" ref="G266">INDEX(Dest1!A:A,1+BIN2DEC(MID($B266,6,5)))</f>
        <v>UNK10</v>
      </c>
      <c r="H266" s="27" t="str" cm="1">
        <f t="array" ref="H266">INDEX(Source2!A:A,1+BIN2DEC(MID($B266,11,4)))</f>
        <v>--</v>
      </c>
      <c r="I266" s="23" cm="1">
        <f t="array" ref="I266">INDEX('D2'!A:A,1+BIN2DEC(MID($B266,16,2)))</f>
        <v>0</v>
      </c>
      <c r="J266" s="6">
        <f t="shared" si="34"/>
        <v>0</v>
      </c>
      <c r="K266" s="6">
        <f t="shared" si="30"/>
        <v>0</v>
      </c>
      <c r="L266" s="6">
        <f t="shared" si="31"/>
        <v>0</v>
      </c>
      <c r="M266" s="3" t="str" cm="1">
        <f t="array" ref="M266">INDEX(Types!A:A,1+BIN2DEC(MID($B266,20,2)))</f>
        <v>Control</v>
      </c>
      <c r="N266" s="3" t="str" cm="1">
        <f t="array" ref="N266">IF(M266="ALU",INDEX(ALUOps!A:A,1+BIN2DEC(MID($B266,22,5))),"")</f>
        <v/>
      </c>
      <c r="O266" s="3" t="str" cm="1">
        <f t="array" ref="O266">IF(M266="ALU",INDEX(TMP!A:A,1+BIN2DEC(MID($B266,27,2))),"")</f>
        <v/>
      </c>
      <c r="P266" s="6" t="str">
        <f t="shared" si="32"/>
        <v/>
      </c>
      <c r="Q266" t="str">
        <f t="shared" si="33"/>
        <v/>
      </c>
      <c r="R266" t="str">
        <f t="shared" si="35"/>
        <v/>
      </c>
      <c r="S266" cm="1">
        <f t="array" ref="S266">IF(M266="Control",INDEX(IC!A:A,1+BIN2DEC(MID($B266,21,4))),"")</f>
        <v>1</v>
      </c>
      <c r="T266" cm="1">
        <f t="array" ref="T266">IF(M266="Control",INDEX(EC!A:A,1+BIN2DEC(MID($B266,25,3))),"")</f>
        <v>7</v>
      </c>
      <c r="U266" cm="1">
        <f t="array" ref="U266">IF(M266="Control",INDEX(SR!A:A,1+BIN2DEC(MID($B266,28,2))),"")</f>
        <v>1</v>
      </c>
      <c r="X266" t="s">
        <v>1048</v>
      </c>
      <c r="AD266" s="1" t="s">
        <v>259</v>
      </c>
    </row>
    <row r="267" spans="1:30" s="15" customFormat="1" x14ac:dyDescent="0.25">
      <c r="A267" s="12" t="str">
        <f t="shared" si="29"/>
        <v>109</v>
      </c>
      <c r="B267" s="13" t="s">
        <v>4</v>
      </c>
      <c r="C267" s="14"/>
      <c r="D267" s="14"/>
      <c r="E267" s="14"/>
      <c r="F267" s="28"/>
      <c r="G267" s="28" t="str" cm="1">
        <f t="array" ref="G267">INDEX(Dest1!A:A,1+BIN2DEC(MID($B267,6,5)))</f>
        <v>--</v>
      </c>
      <c r="H267" s="28" t="str" cm="1">
        <f t="array" ref="H267">INDEX(Source2!A:A,1+BIN2DEC(MID($B267,11,4)))</f>
        <v>--</v>
      </c>
      <c r="I267" s="24"/>
      <c r="J267" s="16"/>
      <c r="K267" s="16"/>
      <c r="L267" s="16"/>
      <c r="M267" s="14"/>
      <c r="N267" s="14" t="str" cm="1">
        <f t="array" ref="N267">IF(M267="ALU",INDEX(ALUOps!A:A,1+BIN2DEC(MID($B267,22,5))),"")</f>
        <v/>
      </c>
      <c r="O267" s="14"/>
      <c r="P267" s="16"/>
      <c r="Q267" s="15" t="str">
        <f t="shared" si="33"/>
        <v/>
      </c>
      <c r="R267" s="15" t="str">
        <f t="shared" si="35"/>
        <v/>
      </c>
      <c r="S267" s="15" t="str" cm="1">
        <f t="array" ref="S267">IF(M267="Control",INDEX(IC!A:A,1+BIN2DEC(MID($B267,21,4))),"")</f>
        <v/>
      </c>
      <c r="T267" s="15" t="str" cm="1">
        <f t="array" ref="T267">IF(M267="Control",INDEX(EC!A:A,1+BIN2DEC(MID($B267,25,3))),"")</f>
        <v/>
      </c>
      <c r="U267" s="15" t="str" cm="1">
        <f t="array" ref="U267">IF(M267="Control",INDEX(SR!A:A,1+BIN2DEC(MID($B267,28,2))),"")</f>
        <v/>
      </c>
    </row>
    <row r="268" spans="1:30" s="15" customFormat="1" x14ac:dyDescent="0.25">
      <c r="A268" s="12" t="str">
        <f t="shared" si="29"/>
        <v>10A</v>
      </c>
      <c r="B268" s="13" t="s">
        <v>4</v>
      </c>
      <c r="C268" s="14"/>
      <c r="D268" s="14"/>
      <c r="E268" s="14"/>
      <c r="F268" s="28"/>
      <c r="G268" s="28" t="str" cm="1">
        <f t="array" ref="G268">INDEX(Dest1!A:A,1+BIN2DEC(MID($B268,6,5)))</f>
        <v>--</v>
      </c>
      <c r="H268" s="28" t="str" cm="1">
        <f t="array" ref="H268">INDEX(Source2!A:A,1+BIN2DEC(MID($B268,11,4)))</f>
        <v>--</v>
      </c>
      <c r="I268" s="24"/>
      <c r="J268" s="16"/>
      <c r="K268" s="16"/>
      <c r="L268" s="16"/>
      <c r="M268" s="14"/>
      <c r="N268" s="14" t="str" cm="1">
        <f t="array" ref="N268">IF(M268="ALU",INDEX(ALUOps!A:A,1+BIN2DEC(MID($B268,22,5))),"")</f>
        <v/>
      </c>
      <c r="O268" s="14"/>
      <c r="P268" s="16"/>
      <c r="Q268" s="15" t="str">
        <f t="shared" si="33"/>
        <v/>
      </c>
      <c r="R268" s="15" t="str">
        <f t="shared" si="35"/>
        <v/>
      </c>
      <c r="S268" s="15" t="str" cm="1">
        <f t="array" ref="S268">IF(M268="Control",INDEX(IC!A:A,1+BIN2DEC(MID($B268,21,4))),"")</f>
        <v/>
      </c>
      <c r="T268" s="15" t="str" cm="1">
        <f t="array" ref="T268">IF(M268="Control",INDEX(EC!A:A,1+BIN2DEC(MID($B268,25,3))),"")</f>
        <v/>
      </c>
      <c r="U268" s="15" t="str" cm="1">
        <f t="array" ref="U268">IF(M268="Control",INDEX(SR!A:A,1+BIN2DEC(MID($B268,28,2))),"")</f>
        <v/>
      </c>
    </row>
    <row r="269" spans="1:30" s="20" customFormat="1" ht="15.75" thickBot="1" x14ac:dyDescent="0.3">
      <c r="A269" s="17" t="str">
        <f t="shared" si="29"/>
        <v>10B</v>
      </c>
      <c r="B269" s="18" t="s">
        <v>4</v>
      </c>
      <c r="C269" s="19"/>
      <c r="D269" s="19"/>
      <c r="E269" s="19"/>
      <c r="F269" s="29"/>
      <c r="G269" s="29" t="str" cm="1">
        <f t="array" ref="G269">INDEX(Dest1!A:A,1+BIN2DEC(MID($B269,6,5)))</f>
        <v>--</v>
      </c>
      <c r="H269" s="29" t="str" cm="1">
        <f t="array" ref="H269">INDEX(Source2!A:A,1+BIN2DEC(MID($B269,11,4)))</f>
        <v>--</v>
      </c>
      <c r="I269" s="25"/>
      <c r="J269" s="21"/>
      <c r="K269" s="21"/>
      <c r="L269" s="21"/>
      <c r="M269" s="19"/>
      <c r="N269" s="19" t="str" cm="1">
        <f t="array" ref="N269">IF(M269="ALU",INDEX(ALUOps!A:A,1+BIN2DEC(MID($B269,22,5))),"")</f>
        <v/>
      </c>
      <c r="O269" s="19"/>
      <c r="P269" s="21"/>
      <c r="Q269" s="20" t="str">
        <f t="shared" si="33"/>
        <v/>
      </c>
      <c r="R269" s="20" t="str">
        <f t="shared" si="35"/>
        <v/>
      </c>
      <c r="S269" s="20" t="str" cm="1">
        <f t="array" ref="S269">IF(M269="Control",INDEX(IC!A:A,1+BIN2DEC(MID($B269,21,4))),"")</f>
        <v/>
      </c>
      <c r="T269" s="20" t="str" cm="1">
        <f t="array" ref="T269">IF(M269="Control",INDEX(EC!A:A,1+BIN2DEC(MID($B269,25,3))),"")</f>
        <v/>
      </c>
      <c r="U269" s="20" t="str" cm="1">
        <f t="array" ref="U269">IF(M269="Control",INDEX(SR!A:A,1+BIN2DEC(MID($B269,28,2))),"")</f>
        <v/>
      </c>
    </row>
    <row r="270" spans="1:30" x14ac:dyDescent="0.25">
      <c r="A270" s="4" t="str">
        <f t="shared" si="29"/>
        <v>10C</v>
      </c>
      <c r="B270" s="2" t="s">
        <v>260</v>
      </c>
      <c r="C270" s="2" t="s">
        <v>261</v>
      </c>
      <c r="D270" s="2" t="s">
        <v>928</v>
      </c>
      <c r="E270" s="2" t="s">
        <v>462</v>
      </c>
      <c r="F270" s="27" t="str" cm="1">
        <f t="array" ref="F270">INDEX(Sources!A:A, 1 + BIN2DEC(LEFT($B270,5)))</f>
        <v>REG</v>
      </c>
      <c r="G270" s="27" t="str" cm="1">
        <f t="array" ref="G270">INDEX(Dest1!A:A,1+BIN2DEC(MID($B270,6,5)))</f>
        <v>UNK10</v>
      </c>
      <c r="H270" s="27" t="str" cm="1">
        <f t="array" ref="H270">INDEX(Source2!A:A,1+BIN2DEC(MID($B270,11,4)))</f>
        <v>14</v>
      </c>
      <c r="I270" s="23" t="str" cm="1">
        <f t="array" ref="I270">INDEX('D2'!A:A,1+BIN2DEC(MID($B270,16,2)))</f>
        <v>TMPB</v>
      </c>
      <c r="J270" s="6">
        <f t="shared" si="34"/>
        <v>0</v>
      </c>
      <c r="K270" s="6">
        <f t="shared" si="30"/>
        <v>0</v>
      </c>
      <c r="L270" s="6">
        <f t="shared" si="31"/>
        <v>0</v>
      </c>
      <c r="M270" s="3" t="str" cm="1">
        <f t="array" ref="M270">INDEX(Types!A:A,1+BIN2DEC(MID($B270,20,2)))</f>
        <v>Jump</v>
      </c>
      <c r="N270" s="3" t="str" cm="1">
        <f t="array" ref="N270">IF(M270="ALU",INDEX(ALUOps!A:A,1+BIN2DEC(MID($B270,22,5))),"")</f>
        <v/>
      </c>
      <c r="O270" s="3" t="str" cm="1">
        <f t="array" ref="O270">IF(M270="ALU",INDEX(TMP!A:A,1+BIN2DEC(MID($B270,27,2))),"")</f>
        <v/>
      </c>
      <c r="P270" s="6" t="str">
        <f t="shared" si="32"/>
        <v/>
      </c>
      <c r="Q270">
        <f t="shared" si="33"/>
        <v>5</v>
      </c>
      <c r="R270">
        <f t="shared" si="35"/>
        <v>3</v>
      </c>
      <c r="S270" t="str" cm="1">
        <f t="array" ref="S270">IF(M270="Control",INDEX(IC!A:A,1+BIN2DEC(MID($B270,21,4))),"")</f>
        <v/>
      </c>
      <c r="T270" t="str" cm="1">
        <f t="array" ref="T270">IF(M270="Control",INDEX(EC!A:A,1+BIN2DEC(MID($B270,25,3))),"")</f>
        <v/>
      </c>
      <c r="U270" t="str" cm="1">
        <f t="array" ref="U270">IF(M270="Control",INDEX(SR!A:A,1+BIN2DEC(MID($B270,28,2))),"")</f>
        <v/>
      </c>
      <c r="X270" t="s">
        <v>1049</v>
      </c>
      <c r="AD270" s="1" t="s">
        <v>262</v>
      </c>
    </row>
    <row r="271" spans="1:30" x14ac:dyDescent="0.25">
      <c r="A271" s="4" t="str">
        <f t="shared" si="29"/>
        <v>10D</v>
      </c>
      <c r="B271" s="2" t="s">
        <v>39</v>
      </c>
      <c r="C271" s="3"/>
      <c r="D271" s="3"/>
      <c r="E271" s="3"/>
      <c r="F271" s="27" t="str" cm="1">
        <f t="array" ref="F271">INDEX(Sources!A:A, 1 + BIN2DEC(LEFT($B271,5)))</f>
        <v>--</v>
      </c>
      <c r="G271" s="27" t="str" cm="1">
        <f t="array" ref="G271">INDEX(Dest1!A:A,1+BIN2DEC(MID($B271,6,5)))</f>
        <v>--</v>
      </c>
      <c r="H271" s="27" t="str" cm="1">
        <f t="array" ref="H271">INDEX(Source2!A:A,1+BIN2DEC(MID($B271,11,4)))</f>
        <v>--</v>
      </c>
      <c r="I271" s="23" cm="1">
        <f t="array" ref="I271">INDEX('D2'!A:A,1+BIN2DEC(MID($B271,16,2)))</f>
        <v>0</v>
      </c>
      <c r="J271" s="6">
        <f t="shared" si="34"/>
        <v>0</v>
      </c>
      <c r="K271" s="6">
        <f t="shared" si="30"/>
        <v>0</v>
      </c>
      <c r="L271" s="6">
        <f t="shared" si="31"/>
        <v>1</v>
      </c>
      <c r="M271" s="3" t="str" cm="1">
        <f t="array" ref="M271">INDEX(Types!A:A,1+BIN2DEC(MID($B271,20,2)))</f>
        <v>Control</v>
      </c>
      <c r="N271" s="3" t="str" cm="1">
        <f t="array" ref="N271">IF(M271="ALU",INDEX(ALUOps!A:A,1+BIN2DEC(MID($B271,22,5))),"")</f>
        <v/>
      </c>
      <c r="O271" s="3" t="str" cm="1">
        <f t="array" ref="O271">IF(M271="ALU",INDEX(TMP!A:A,1+BIN2DEC(MID($B271,27,2))),"")</f>
        <v/>
      </c>
      <c r="P271" s="6" t="str">
        <f t="shared" si="32"/>
        <v/>
      </c>
      <c r="Q271" t="str">
        <f t="shared" si="33"/>
        <v/>
      </c>
      <c r="R271" t="str">
        <f t="shared" si="35"/>
        <v/>
      </c>
      <c r="S271" cm="1">
        <f t="array" ref="S271">IF(M271="Control",INDEX(IC!A:A,1+BIN2DEC(MID($B271,21,4))),"")</f>
        <v>0</v>
      </c>
      <c r="T271" cm="1">
        <f t="array" ref="T271">IF(M271="Control",INDEX(EC!A:A,1+BIN2DEC(MID($B271,25,3))),"")</f>
        <v>0</v>
      </c>
      <c r="U271" cm="1">
        <f t="array" ref="U271">IF(M271="Control",INDEX(SR!A:A,1+BIN2DEC(MID($B271,28,2))),"")</f>
        <v>0</v>
      </c>
    </row>
    <row r="272" spans="1:30" x14ac:dyDescent="0.25">
      <c r="A272" s="4" t="str">
        <f t="shared" si="29"/>
        <v>10E</v>
      </c>
      <c r="B272" s="2" t="s">
        <v>4</v>
      </c>
      <c r="C272" s="3"/>
      <c r="D272" s="3"/>
      <c r="E272" s="3"/>
      <c r="F272" s="27" t="str" cm="1">
        <f t="array" ref="F272">INDEX(Sources!A:A, 1 + BIN2DEC(LEFT($B272,5)))</f>
        <v>--</v>
      </c>
      <c r="G272" s="27" t="str" cm="1">
        <f t="array" ref="G272">INDEX(Dest1!A:A,1+BIN2DEC(MID($B272,6,5)))</f>
        <v>--</v>
      </c>
      <c r="H272" s="27" t="str" cm="1">
        <f t="array" ref="H272">INDEX(Source2!A:A,1+BIN2DEC(MID($B272,11,4)))</f>
        <v>--</v>
      </c>
      <c r="I272" s="23" cm="1">
        <f t="array" ref="I272">INDEX('D2'!A:A,1+BIN2DEC(MID($B272,16,2)))</f>
        <v>0</v>
      </c>
      <c r="J272" s="6">
        <f t="shared" si="34"/>
        <v>0</v>
      </c>
      <c r="K272" s="6">
        <f t="shared" si="30"/>
        <v>0</v>
      </c>
      <c r="L272" s="6">
        <f t="shared" si="31"/>
        <v>0</v>
      </c>
      <c r="M272" s="3" t="str" cm="1">
        <f t="array" ref="M272">INDEX(Types!A:A,1+BIN2DEC(MID($B272,20,2)))</f>
        <v>Control</v>
      </c>
      <c r="N272" s="3" t="str" cm="1">
        <f t="array" ref="N272">IF(M272="ALU",INDEX(ALUOps!A:A,1+BIN2DEC(MID($B272,22,5))),"")</f>
        <v/>
      </c>
      <c r="O272" s="3" t="str" cm="1">
        <f t="array" ref="O272">IF(M272="ALU",INDEX(TMP!A:A,1+BIN2DEC(MID($B272,27,2))),"")</f>
        <v/>
      </c>
      <c r="P272" s="6" t="str">
        <f t="shared" si="32"/>
        <v/>
      </c>
      <c r="Q272" t="str">
        <f t="shared" si="33"/>
        <v/>
      </c>
      <c r="R272" t="str">
        <f t="shared" si="35"/>
        <v/>
      </c>
      <c r="S272" cm="1">
        <f t="array" ref="S272">IF(M272="Control",INDEX(IC!A:A,1+BIN2DEC(MID($B272,21,4))),"")</f>
        <v>0</v>
      </c>
      <c r="T272" cm="1">
        <f t="array" ref="T272">IF(M272="Control",INDEX(EC!A:A,1+BIN2DEC(MID($B272,25,3))),"")</f>
        <v>0</v>
      </c>
      <c r="U272" cm="1">
        <f t="array" ref="U272">IF(M272="Control",INDEX(SR!A:A,1+BIN2DEC(MID($B272,28,2))),"")</f>
        <v>0</v>
      </c>
    </row>
    <row r="273" spans="1:30" s="9" customFormat="1" ht="15.75" thickBot="1" x14ac:dyDescent="0.3">
      <c r="A273" s="7" t="str">
        <f t="shared" si="29"/>
        <v>10F</v>
      </c>
      <c r="B273" s="8" t="s">
        <v>256</v>
      </c>
      <c r="C273" s="10"/>
      <c r="D273" s="10"/>
      <c r="E273" s="10"/>
      <c r="F273" s="30" t="str" cm="1">
        <f t="array" ref="F273">INDEX(Sources!A:A, 1 + BIN2DEC(LEFT($B273,5)))</f>
        <v>--</v>
      </c>
      <c r="G273" s="30" t="str" cm="1">
        <f t="array" ref="G273">INDEX(Dest1!A:A,1+BIN2DEC(MID($B273,6,5)))</f>
        <v>--</v>
      </c>
      <c r="H273" s="30" t="str" cm="1">
        <f t="array" ref="H273">INDEX(Source2!A:A,1+BIN2DEC(MID($B273,11,4)))</f>
        <v>--</v>
      </c>
      <c r="I273" s="26" cm="1">
        <f t="array" ref="I273">INDEX('D2'!A:A,1+BIN2DEC(MID($B273,16,2)))</f>
        <v>0</v>
      </c>
      <c r="J273" s="11">
        <f t="shared" si="34"/>
        <v>0</v>
      </c>
      <c r="K273" s="11">
        <f t="shared" si="30"/>
        <v>0</v>
      </c>
      <c r="L273" s="11">
        <f t="shared" si="31"/>
        <v>0</v>
      </c>
      <c r="M273" s="10" t="str" cm="1">
        <f t="array" ref="M273">INDEX(Types!A:A,1+BIN2DEC(MID($B273,20,2)))</f>
        <v>Control</v>
      </c>
      <c r="N273" s="10" t="str" cm="1">
        <f t="array" ref="N273">IF(M273="ALU",INDEX(ALUOps!A:A,1+BIN2DEC(MID($B273,22,5))),"")</f>
        <v/>
      </c>
      <c r="O273" s="10" t="str" cm="1">
        <f t="array" ref="O273">IF(M273="ALU",INDEX(TMP!A:A,1+BIN2DEC(MID($B273,27,2))),"")</f>
        <v/>
      </c>
      <c r="P273" s="11" t="str">
        <f t="shared" si="32"/>
        <v/>
      </c>
      <c r="Q273" s="9" t="str">
        <f t="shared" si="33"/>
        <v/>
      </c>
      <c r="R273" s="9" t="str">
        <f t="shared" si="35"/>
        <v/>
      </c>
      <c r="S273" s="9" cm="1">
        <f t="array" ref="S273">IF(M273="Control",INDEX(IC!A:A,1+BIN2DEC(MID($B273,21,4))),"")</f>
        <v>1</v>
      </c>
      <c r="T273" s="9" cm="1">
        <f t="array" ref="T273">IF(M273="Control",INDEX(EC!A:A,1+BIN2DEC(MID($B273,25,3))),"")</f>
        <v>7</v>
      </c>
      <c r="U273" s="9" cm="1">
        <f t="array" ref="U273">IF(M273="Control",INDEX(SR!A:A,1+BIN2DEC(MID($B273,28,2))),"")</f>
        <v>1</v>
      </c>
    </row>
    <row r="274" spans="1:30" x14ac:dyDescent="0.25">
      <c r="A274" s="4" t="str">
        <f t="shared" si="29"/>
        <v>110</v>
      </c>
      <c r="B274" s="2" t="s">
        <v>227</v>
      </c>
      <c r="C274" s="2" t="s">
        <v>263</v>
      </c>
      <c r="D274" s="2" t="s">
        <v>928</v>
      </c>
      <c r="E274" s="2" t="s">
        <v>462</v>
      </c>
      <c r="F274" s="27" t="str" cm="1">
        <f t="array" ref="F274">INDEX(Sources!A:A, 1 + BIN2DEC(LEFT($B274,5)))</f>
        <v>SP</v>
      </c>
      <c r="G274" s="27" t="str" cm="1">
        <f t="array" ref="G274">INDEX(Dest1!A:A,1+BIN2DEC(MID($B274,6,5)))</f>
        <v>UNK26</v>
      </c>
      <c r="H274" s="27" t="str" cm="1">
        <f t="array" ref="H274">INDEX(Source2!A:A,1+BIN2DEC(MID($B274,11,4)))</f>
        <v>3</v>
      </c>
      <c r="I274" s="23" t="str" cm="1">
        <f t="array" ref="I274">INDEX('D2'!A:A,1+BIN2DEC(MID($B274,16,2)))</f>
        <v>TMPB</v>
      </c>
      <c r="J274" s="6">
        <f t="shared" si="34"/>
        <v>0</v>
      </c>
      <c r="K274" s="6">
        <f t="shared" si="30"/>
        <v>0</v>
      </c>
      <c r="L274" s="6">
        <f t="shared" si="31"/>
        <v>0</v>
      </c>
      <c r="M274" s="3" t="str" cm="1">
        <f t="array" ref="M274">INDEX(Types!A:A,1+BIN2DEC(MID($B274,20,2)))</f>
        <v>Control</v>
      </c>
      <c r="N274" s="3" t="str" cm="1">
        <f t="array" ref="N274">IF(M274="ALU",INDEX(ALUOps!A:A,1+BIN2DEC(MID($B274,22,5))),"")</f>
        <v/>
      </c>
      <c r="O274" s="3" t="str" cm="1">
        <f t="array" ref="O274">IF(M274="ALU",INDEX(TMP!A:A,1+BIN2DEC(MID($B274,27,2))),"")</f>
        <v/>
      </c>
      <c r="P274" s="6" t="str">
        <f t="shared" si="32"/>
        <v/>
      </c>
      <c r="Q274" t="str">
        <f t="shared" si="33"/>
        <v/>
      </c>
      <c r="R274" t="str">
        <f t="shared" si="35"/>
        <v/>
      </c>
      <c r="S274" cm="1">
        <f t="array" ref="S274">IF(M274="Control",INDEX(IC!A:A,1+BIN2DEC(MID($B274,21,4))),"")</f>
        <v>7</v>
      </c>
      <c r="T274" cm="1">
        <f t="array" ref="T274">IF(M274="Control",INDEX(EC!A:A,1+BIN2DEC(MID($B274,25,3))),"")</f>
        <v>6</v>
      </c>
      <c r="U274" cm="1">
        <f t="array" ref="U274">IF(M274="Control",INDEX(SR!A:A,1+BIN2DEC(MID($B274,28,2))),"")</f>
        <v>1</v>
      </c>
      <c r="X274" t="s">
        <v>1050</v>
      </c>
      <c r="AD274" s="1" t="s">
        <v>264</v>
      </c>
    </row>
    <row r="275" spans="1:30" x14ac:dyDescent="0.25">
      <c r="A275" s="4" t="str">
        <f t="shared" si="29"/>
        <v>111</v>
      </c>
      <c r="B275" s="2" t="s">
        <v>265</v>
      </c>
      <c r="C275" s="3"/>
      <c r="D275" s="3"/>
      <c r="E275" s="3"/>
      <c r="F275" s="27" t="str" cm="1">
        <f t="array" ref="F275">INDEX(Sources!A:A, 1 + BIN2DEC(LEFT($B275,5)))</f>
        <v>--</v>
      </c>
      <c r="G275" s="27" t="str" cm="1">
        <f t="array" ref="G275">INDEX(Dest1!A:A,1+BIN2DEC(MID($B275,6,5)))</f>
        <v>--</v>
      </c>
      <c r="H275" s="27" t="str" cm="1">
        <f t="array" ref="H275">INDEX(Source2!A:A,1+BIN2DEC(MID($B275,11,4)))</f>
        <v>--</v>
      </c>
      <c r="I275" s="23" cm="1">
        <f t="array" ref="I275">INDEX('D2'!A:A,1+BIN2DEC(MID($B275,16,2)))</f>
        <v>0</v>
      </c>
      <c r="J275" s="6">
        <f t="shared" si="34"/>
        <v>0</v>
      </c>
      <c r="K275" s="6">
        <f t="shared" si="30"/>
        <v>0</v>
      </c>
      <c r="L275" s="6">
        <f t="shared" si="31"/>
        <v>0</v>
      </c>
      <c r="M275" s="3" t="str" cm="1">
        <f t="array" ref="M275">INDEX(Types!A:A,1+BIN2DEC(MID($B275,20,2)))</f>
        <v>Control</v>
      </c>
      <c r="N275" s="3" t="str" cm="1">
        <f t="array" ref="N275">IF(M275="ALU",INDEX(ALUOps!A:A,1+BIN2DEC(MID($B275,22,5))),"")</f>
        <v/>
      </c>
      <c r="O275" s="3" t="str" cm="1">
        <f t="array" ref="O275">IF(M275="ALU",INDEX(TMP!A:A,1+BIN2DEC(MID($B275,27,2))),"")</f>
        <v/>
      </c>
      <c r="P275" s="6" t="str">
        <f t="shared" si="32"/>
        <v/>
      </c>
      <c r="Q275" t="str">
        <f t="shared" si="33"/>
        <v/>
      </c>
      <c r="R275" t="str">
        <f t="shared" si="35"/>
        <v/>
      </c>
      <c r="S275" cm="1">
        <f t="array" ref="S275">IF(M275="Control",INDEX(IC!A:A,1+BIN2DEC(MID($B275,21,4))),"")</f>
        <v>1</v>
      </c>
      <c r="T275" cm="1">
        <f t="array" ref="T275">IF(M275="Control",INDEX(EC!A:A,1+BIN2DEC(MID($B275,25,3))),"")</f>
        <v>7</v>
      </c>
      <c r="U275" cm="1">
        <f t="array" ref="U275">IF(M275="Control",INDEX(SR!A:A,1+BIN2DEC(MID($B275,28,2))),"")</f>
        <v>2</v>
      </c>
    </row>
    <row r="276" spans="1:30" x14ac:dyDescent="0.25">
      <c r="A276" s="4" t="str">
        <f t="shared" si="29"/>
        <v>112</v>
      </c>
      <c r="B276" s="2" t="s">
        <v>4</v>
      </c>
      <c r="C276" s="3"/>
      <c r="D276" s="3"/>
      <c r="E276" s="3"/>
      <c r="F276" s="27" t="str" cm="1">
        <f t="array" ref="F276">INDEX(Sources!A:A, 1 + BIN2DEC(LEFT($B276,5)))</f>
        <v>--</v>
      </c>
      <c r="G276" s="27" t="str" cm="1">
        <f t="array" ref="G276">INDEX(Dest1!A:A,1+BIN2DEC(MID($B276,6,5)))</f>
        <v>--</v>
      </c>
      <c r="H276" s="27" t="str" cm="1">
        <f t="array" ref="H276">INDEX(Source2!A:A,1+BIN2DEC(MID($B276,11,4)))</f>
        <v>--</v>
      </c>
      <c r="I276" s="23" cm="1">
        <f t="array" ref="I276">INDEX('D2'!A:A,1+BIN2DEC(MID($B276,16,2)))</f>
        <v>0</v>
      </c>
      <c r="J276" s="6">
        <f t="shared" si="34"/>
        <v>0</v>
      </c>
      <c r="K276" s="6">
        <f t="shared" si="30"/>
        <v>0</v>
      </c>
      <c r="L276" s="6">
        <f t="shared" si="31"/>
        <v>0</v>
      </c>
      <c r="M276" s="3" t="str" cm="1">
        <f t="array" ref="M276">INDEX(Types!A:A,1+BIN2DEC(MID($B276,20,2)))</f>
        <v>Control</v>
      </c>
      <c r="N276" s="3" t="str" cm="1">
        <f t="array" ref="N276">IF(M276="ALU",INDEX(ALUOps!A:A,1+BIN2DEC(MID($B276,22,5))),"")</f>
        <v/>
      </c>
      <c r="O276" s="3" t="str" cm="1">
        <f t="array" ref="O276">IF(M276="ALU",INDEX(TMP!A:A,1+BIN2DEC(MID($B276,27,2))),"")</f>
        <v/>
      </c>
      <c r="P276" s="6" t="str">
        <f t="shared" si="32"/>
        <v/>
      </c>
      <c r="Q276" t="str">
        <f t="shared" si="33"/>
        <v/>
      </c>
      <c r="R276" t="str">
        <f t="shared" si="35"/>
        <v/>
      </c>
      <c r="S276" cm="1">
        <f t="array" ref="S276">IF(M276="Control",INDEX(IC!A:A,1+BIN2DEC(MID($B276,21,4))),"")</f>
        <v>0</v>
      </c>
      <c r="T276" cm="1">
        <f t="array" ref="T276">IF(M276="Control",INDEX(EC!A:A,1+BIN2DEC(MID($B276,25,3))),"")</f>
        <v>0</v>
      </c>
      <c r="U276" cm="1">
        <f t="array" ref="U276">IF(M276="Control",INDEX(SR!A:A,1+BIN2DEC(MID($B276,28,2))),"")</f>
        <v>0</v>
      </c>
    </row>
    <row r="277" spans="1:30" s="9" customFormat="1" ht="15.75" thickBot="1" x14ac:dyDescent="0.3">
      <c r="A277" s="7" t="str">
        <f>DEC2HEX(ROW(A276)-ROW($A$1),3)</f>
        <v>113</v>
      </c>
      <c r="B277" s="8" t="s">
        <v>4</v>
      </c>
      <c r="C277" s="10"/>
      <c r="D277" s="10"/>
      <c r="E277" s="10"/>
      <c r="F277" s="30" t="str" cm="1">
        <f t="array" ref="F277">INDEX(Sources!A:A, 1 + BIN2DEC(LEFT($B277,5)))</f>
        <v>--</v>
      </c>
      <c r="G277" s="30" t="str" cm="1">
        <f t="array" ref="G277">INDEX(Dest1!A:A,1+BIN2DEC(MID($B277,6,5)))</f>
        <v>--</v>
      </c>
      <c r="H277" s="30" t="str" cm="1">
        <f t="array" ref="H277">INDEX(Source2!A:A,1+BIN2DEC(MID($B277,11,4)))</f>
        <v>--</v>
      </c>
      <c r="I277" s="26" cm="1">
        <f t="array" ref="I277">INDEX('D2'!A:A,1+BIN2DEC(MID($B277,16,2)))</f>
        <v>0</v>
      </c>
      <c r="J277" s="11">
        <f t="shared" si="34"/>
        <v>0</v>
      </c>
      <c r="K277" s="11">
        <f t="shared" si="30"/>
        <v>0</v>
      </c>
      <c r="L277" s="11">
        <f t="shared" si="31"/>
        <v>0</v>
      </c>
      <c r="M277" s="10" t="str" cm="1">
        <f t="array" ref="M277">INDEX(Types!A:A,1+BIN2DEC(MID($B277,20,2)))</f>
        <v>Control</v>
      </c>
      <c r="N277" s="10" t="str" cm="1">
        <f t="array" ref="N277">IF(M277="ALU",INDEX(ALUOps!A:A,1+BIN2DEC(MID($B277,22,5))),"")</f>
        <v/>
      </c>
      <c r="O277" s="10" t="str" cm="1">
        <f t="array" ref="O277">IF(M277="ALU",INDEX(TMP!A:A,1+BIN2DEC(MID($B277,27,2))),"")</f>
        <v/>
      </c>
      <c r="P277" s="11" t="str">
        <f t="shared" si="32"/>
        <v/>
      </c>
      <c r="Q277" s="9" t="str">
        <f t="shared" si="33"/>
        <v/>
      </c>
      <c r="R277" s="9" t="str">
        <f t="shared" si="35"/>
        <v/>
      </c>
      <c r="S277" s="9" cm="1">
        <f t="array" ref="S277">IF(M277="Control",INDEX(IC!A:A,1+BIN2DEC(MID($B277,21,4))),"")</f>
        <v>0</v>
      </c>
      <c r="T277" s="9" cm="1">
        <f t="array" ref="T277">IF(M277="Control",INDEX(EC!A:A,1+BIN2DEC(MID($B277,25,3))),"")</f>
        <v>0</v>
      </c>
      <c r="U277" s="9" cm="1">
        <f t="array" ref="U277">IF(M277="Control",INDEX(SR!A:A,1+BIN2DEC(MID($B277,28,2))),"")</f>
        <v>0</v>
      </c>
    </row>
    <row r="278" spans="1:30" x14ac:dyDescent="0.25">
      <c r="A278" s="4" t="str">
        <f t="shared" si="29"/>
        <v>114</v>
      </c>
      <c r="B278" s="2" t="s">
        <v>266</v>
      </c>
      <c r="C278" s="2" t="s">
        <v>267</v>
      </c>
      <c r="D278" s="2" t="s">
        <v>928</v>
      </c>
      <c r="E278" s="2" t="s">
        <v>462</v>
      </c>
      <c r="F278" s="27" t="str" cm="1">
        <f t="array" ref="F278">INDEX(Sources!A:A, 1 + BIN2DEC(LEFT($B278,5)))</f>
        <v>REG</v>
      </c>
      <c r="G278" s="27" t="str" cm="1">
        <f t="array" ref="G278">INDEX(Dest1!A:A,1+BIN2DEC(MID($B278,6,5)))</f>
        <v>LC</v>
      </c>
      <c r="H278" s="27" t="str" cm="1">
        <f t="array" ref="H278">INDEX(Source2!A:A,1+BIN2DEC(MID($B278,11,4)))</f>
        <v>15</v>
      </c>
      <c r="I278" s="23" cm="1">
        <f t="array" ref="I278">INDEX('D2'!A:A,1+BIN2DEC(MID($B278,16,2)))</f>
        <v>0</v>
      </c>
      <c r="J278" s="6">
        <f t="shared" si="34"/>
        <v>0</v>
      </c>
      <c r="K278" s="6">
        <f t="shared" si="30"/>
        <v>0</v>
      </c>
      <c r="L278" s="6">
        <f t="shared" si="31"/>
        <v>0</v>
      </c>
      <c r="M278" s="3" t="str" cm="1">
        <f t="array" ref="M278">INDEX(Types!A:A,1+BIN2DEC(MID($B278,20,2)))</f>
        <v>Control</v>
      </c>
      <c r="N278" s="3" t="str" cm="1">
        <f t="array" ref="N278">IF(M278="ALU",INDEX(ALUOps!A:A,1+BIN2DEC(MID($B278,22,5))),"")</f>
        <v/>
      </c>
      <c r="O278" s="3" t="str" cm="1">
        <f t="array" ref="O278">IF(M278="ALU",INDEX(TMP!A:A,1+BIN2DEC(MID($B278,27,2))),"")</f>
        <v/>
      </c>
      <c r="P278" s="6" t="str">
        <f t="shared" si="32"/>
        <v/>
      </c>
      <c r="Q278" t="str">
        <f t="shared" si="33"/>
        <v/>
      </c>
      <c r="R278" t="str">
        <f t="shared" si="35"/>
        <v/>
      </c>
      <c r="S278" cm="1">
        <f t="array" ref="S278">IF(M278="Control",INDEX(IC!A:A,1+BIN2DEC(MID($B278,21,4))),"")</f>
        <v>0</v>
      </c>
      <c r="T278" cm="1">
        <f t="array" ref="T278">IF(M278="Control",INDEX(EC!A:A,1+BIN2DEC(MID($B278,25,3))),"")</f>
        <v>0</v>
      </c>
      <c r="U278" cm="1">
        <f t="array" ref="U278">IF(M278="Control",INDEX(SR!A:A,1+BIN2DEC(MID($B278,28,2))),"")</f>
        <v>0</v>
      </c>
      <c r="X278" t="s">
        <v>1052</v>
      </c>
      <c r="AD278" s="1" t="s">
        <v>268</v>
      </c>
    </row>
    <row r="279" spans="1:30" x14ac:dyDescent="0.25">
      <c r="A279" s="4" t="str">
        <f t="shared" si="29"/>
        <v>115</v>
      </c>
      <c r="B279" s="2" t="s">
        <v>269</v>
      </c>
      <c r="C279" s="3"/>
      <c r="D279" s="3"/>
      <c r="E279" s="3"/>
      <c r="F279" s="27" t="str" cm="1">
        <f t="array" ref="F279">INDEX(Sources!A:A, 1 + BIN2DEC(LEFT($B279,5)))</f>
        <v>OPR</v>
      </c>
      <c r="G279" s="27" t="str" cm="1">
        <f t="array" ref="G279">INDEX(Dest1!A:A,1+BIN2DEC(MID($B279,6,5)))</f>
        <v>TMPA</v>
      </c>
      <c r="H279" s="27" t="str" cm="1">
        <f t="array" ref="H279">INDEX(Source2!A:A,1+BIN2DEC(MID($B279,11,4)))</f>
        <v>--</v>
      </c>
      <c r="I279" s="23" cm="1">
        <f t="array" ref="I279">INDEX('D2'!A:A,1+BIN2DEC(MID($B279,16,2)))</f>
        <v>0</v>
      </c>
      <c r="J279" s="6">
        <f t="shared" si="34"/>
        <v>0</v>
      </c>
      <c r="K279" s="6">
        <f t="shared" si="30"/>
        <v>0</v>
      </c>
      <c r="L279" s="6">
        <f t="shared" si="31"/>
        <v>0</v>
      </c>
      <c r="M279" s="3" t="str" cm="1">
        <f t="array" ref="M279">INDEX(Types!A:A,1+BIN2DEC(MID($B279,20,2)))</f>
        <v>ALU</v>
      </c>
      <c r="N279" s="3" cm="1">
        <f t="array" ref="N279">IF(M279="ALU",INDEX(ALUOps!A:A,1+BIN2DEC(MID($B279,22,5))),"")</f>
        <v>0</v>
      </c>
      <c r="O279" s="3" cm="1">
        <f t="array" ref="O279">IF(M279="ALU",INDEX(TMP!A:A,1+BIN2DEC(MID($B279,27,2))),"")</f>
        <v>2</v>
      </c>
      <c r="P279" s="6">
        <f t="shared" si="32"/>
        <v>1</v>
      </c>
      <c r="Q279" t="str">
        <f t="shared" si="33"/>
        <v/>
      </c>
      <c r="R279" t="str">
        <f t="shared" si="35"/>
        <v/>
      </c>
      <c r="S279" t="str" cm="1">
        <f t="array" ref="S279">IF(M279="Control",INDEX(IC!A:A,1+BIN2DEC(MID($B279,21,4))),"")</f>
        <v/>
      </c>
      <c r="T279" t="str" cm="1">
        <f t="array" ref="T279">IF(M279="Control",INDEX(EC!A:A,1+BIN2DEC(MID($B279,25,3))),"")</f>
        <v/>
      </c>
      <c r="U279" t="str" cm="1">
        <f t="array" ref="U279">IF(M279="Control",INDEX(SR!A:A,1+BIN2DEC(MID($B279,28,2))),"")</f>
        <v/>
      </c>
    </row>
    <row r="280" spans="1:30" x14ac:dyDescent="0.25">
      <c r="A280" s="4" t="str">
        <f t="shared" si="29"/>
        <v>116</v>
      </c>
      <c r="B280" s="2" t="s">
        <v>270</v>
      </c>
      <c r="C280" s="3"/>
      <c r="D280" s="3"/>
      <c r="E280" s="3"/>
      <c r="F280" s="27" t="str" cm="1">
        <f t="array" ref="F280">INDEX(Sources!A:A, 1 + BIN2DEC(LEFT($B280,5)))</f>
        <v>SIGMA</v>
      </c>
      <c r="G280" s="27" t="str" cm="1">
        <f t="array" ref="G280">INDEX(Dest1!A:A,1+BIN2DEC(MID($B280,6,5)))</f>
        <v>TMPA</v>
      </c>
      <c r="H280" s="27" t="str" cm="1">
        <f t="array" ref="H280">INDEX(Source2!A:A,1+BIN2DEC(MID($B280,11,4)))</f>
        <v>--</v>
      </c>
      <c r="I280" s="23" cm="1">
        <f t="array" ref="I280">INDEX('D2'!A:A,1+BIN2DEC(MID($B280,16,2)))</f>
        <v>0</v>
      </c>
      <c r="J280" s="6">
        <f t="shared" si="34"/>
        <v>0</v>
      </c>
      <c r="K280" s="6">
        <f t="shared" si="30"/>
        <v>1</v>
      </c>
      <c r="L280" s="6">
        <f t="shared" si="31"/>
        <v>0</v>
      </c>
      <c r="M280" s="3" t="str" cm="1">
        <f t="array" ref="M280">INDEX(Types!A:A,1+BIN2DEC(MID($B280,20,2)))</f>
        <v>ALU</v>
      </c>
      <c r="N280" s="3" cm="1">
        <f t="array" ref="N280">IF(M280="ALU",INDEX(ALUOps!A:A,1+BIN2DEC(MID($B280,22,5))),"")</f>
        <v>9</v>
      </c>
      <c r="O280" s="3" cm="1">
        <f t="array" ref="O280">IF(M280="ALU",INDEX(TMP!A:A,1+BIN2DEC(MID($B280,27,2))),"")</f>
        <v>2</v>
      </c>
      <c r="P280" s="6">
        <f t="shared" si="32"/>
        <v>0</v>
      </c>
      <c r="Q280" t="str">
        <f t="shared" si="33"/>
        <v/>
      </c>
      <c r="R280" t="str">
        <f t="shared" si="35"/>
        <v/>
      </c>
      <c r="S280" t="str" cm="1">
        <f t="array" ref="S280">IF(M280="Control",INDEX(IC!A:A,1+BIN2DEC(MID($B280,21,4))),"")</f>
        <v/>
      </c>
      <c r="T280" t="str" cm="1">
        <f t="array" ref="T280">IF(M280="Control",INDEX(EC!A:A,1+BIN2DEC(MID($B280,25,3))),"")</f>
        <v/>
      </c>
      <c r="U280" t="str" cm="1">
        <f t="array" ref="U280">IF(M280="Control",INDEX(SR!A:A,1+BIN2DEC(MID($B280,28,2))),"")</f>
        <v/>
      </c>
    </row>
    <row r="281" spans="1:30" s="9" customFormat="1" ht="15.75" thickBot="1" x14ac:dyDescent="0.3">
      <c r="A281" s="7" t="str">
        <f t="shared" si="29"/>
        <v>117</v>
      </c>
      <c r="B281" s="8" t="s">
        <v>271</v>
      </c>
      <c r="C281" s="10"/>
      <c r="D281" s="10"/>
      <c r="E281" s="10"/>
      <c r="F281" s="30" t="str" cm="1">
        <f t="array" ref="F281">INDEX(Sources!A:A, 1 + BIN2DEC(LEFT($B281,5)))</f>
        <v>SIGMA</v>
      </c>
      <c r="G281" s="30" t="str" cm="1">
        <f t="array" ref="G281">INDEX(Dest1!A:A,1+BIN2DEC(MID($B281,6,5)))</f>
        <v>OPR</v>
      </c>
      <c r="H281" s="30" t="str" cm="1">
        <f t="array" ref="H281">INDEX(Source2!A:A,1+BIN2DEC(MID($B281,11,4)))</f>
        <v>--</v>
      </c>
      <c r="I281" s="26" cm="1">
        <f t="array" ref="I281">INDEX('D2'!A:A,1+BIN2DEC(MID($B281,16,2)))</f>
        <v>0</v>
      </c>
      <c r="J281" s="11">
        <f t="shared" si="34"/>
        <v>0</v>
      </c>
      <c r="K281" s="11">
        <f t="shared" si="30"/>
        <v>0</v>
      </c>
      <c r="L281" s="11">
        <f t="shared" si="31"/>
        <v>1</v>
      </c>
      <c r="M281" s="10" t="str" cm="1">
        <f t="array" ref="M281">INDEX(Types!A:A,1+BIN2DEC(MID($B281,20,2)))</f>
        <v>Control</v>
      </c>
      <c r="N281" s="10" t="str" cm="1">
        <f t="array" ref="N281">IF(M281="ALU",INDEX(ALUOps!A:A,1+BIN2DEC(MID($B281,22,5))),"")</f>
        <v/>
      </c>
      <c r="O281" s="10" t="str" cm="1">
        <f t="array" ref="O281">IF(M281="ALU",INDEX(TMP!A:A,1+BIN2DEC(MID($B281,27,2))),"")</f>
        <v/>
      </c>
      <c r="P281" s="11" t="str">
        <f t="shared" si="32"/>
        <v/>
      </c>
      <c r="Q281" s="9" t="str">
        <f t="shared" si="33"/>
        <v/>
      </c>
      <c r="R281" s="9" t="str">
        <f t="shared" si="35"/>
        <v/>
      </c>
      <c r="S281" s="9" cm="1">
        <f t="array" ref="S281">IF(M281="Control",INDEX(IC!A:A,1+BIN2DEC(MID($B281,21,4))),"")</f>
        <v>0</v>
      </c>
      <c r="T281" s="9" cm="1">
        <f t="array" ref="T281">IF(M281="Control",INDEX(EC!A:A,1+BIN2DEC(MID($B281,25,3))),"")</f>
        <v>1</v>
      </c>
      <c r="U281" s="9" cm="1">
        <f t="array" ref="U281">IF(M281="Control",INDEX(SR!A:A,1+BIN2DEC(MID($B281,28,2))),"")</f>
        <v>0</v>
      </c>
    </row>
    <row r="282" spans="1:30" x14ac:dyDescent="0.25">
      <c r="A282" s="4" t="str">
        <f t="shared" si="29"/>
        <v>118</v>
      </c>
      <c r="B282" s="2" t="s">
        <v>272</v>
      </c>
      <c r="C282" s="2" t="s">
        <v>273</v>
      </c>
      <c r="D282" s="2" t="s">
        <v>928</v>
      </c>
      <c r="E282" s="2" t="s">
        <v>462</v>
      </c>
      <c r="F282" s="27" t="str" cm="1">
        <f t="array" ref="F282">INDEX(Sources!A:A, 1 + BIN2DEC(LEFT($B282,5)))</f>
        <v>OPR</v>
      </c>
      <c r="G282" s="27" t="str" cm="1">
        <f t="array" ref="G282">INDEX(Dest1!A:A,1+BIN2DEC(MID($B282,6,5)))</f>
        <v>TMPA</v>
      </c>
      <c r="H282" s="27" t="str" cm="1">
        <f t="array" ref="H282">INDEX(Source2!A:A,1+BIN2DEC(MID($B282,11,4)))</f>
        <v>--</v>
      </c>
      <c r="I282" s="23" cm="1">
        <f t="array" ref="I282">INDEX('D2'!A:A,1+BIN2DEC(MID($B282,16,2)))</f>
        <v>0</v>
      </c>
      <c r="J282" s="6">
        <f t="shared" si="34"/>
        <v>0</v>
      </c>
      <c r="K282" s="6">
        <f t="shared" si="30"/>
        <v>0</v>
      </c>
      <c r="L282" s="6">
        <f t="shared" si="31"/>
        <v>0</v>
      </c>
      <c r="M282" s="3" t="str" cm="1">
        <f t="array" ref="M282">INDEX(Types!A:A,1+BIN2DEC(MID($B282,20,2)))</f>
        <v>ALU</v>
      </c>
      <c r="N282" s="3" cm="1">
        <f t="array" ref="N282">IF(M282="ALU",INDEX(ALUOps!A:A,1+BIN2DEC(MID($B282,22,5))),"")</f>
        <v>0</v>
      </c>
      <c r="O282" s="3" cm="1">
        <f t="array" ref="O282">IF(M282="ALU",INDEX(TMP!A:A,1+BIN2DEC(MID($B282,27,2))),"")</f>
        <v>3</v>
      </c>
      <c r="P282" s="6">
        <f t="shared" si="32"/>
        <v>1</v>
      </c>
      <c r="Q282" t="str">
        <f t="shared" si="33"/>
        <v/>
      </c>
      <c r="R282" t="str">
        <f t="shared" si="35"/>
        <v/>
      </c>
      <c r="S282" t="str" cm="1">
        <f t="array" ref="S282">IF(M282="Control",INDEX(IC!A:A,1+BIN2DEC(MID($B282,21,4))),"")</f>
        <v/>
      </c>
      <c r="T282" t="str" cm="1">
        <f t="array" ref="T282">IF(M282="Control",INDEX(EC!A:A,1+BIN2DEC(MID($B282,25,3))),"")</f>
        <v/>
      </c>
      <c r="U282" t="str" cm="1">
        <f t="array" ref="U282">IF(M282="Control",INDEX(SR!A:A,1+BIN2DEC(MID($B282,28,2))),"")</f>
        <v/>
      </c>
      <c r="X282" t="s">
        <v>1051</v>
      </c>
      <c r="AD282" s="1" t="s">
        <v>274</v>
      </c>
    </row>
    <row r="283" spans="1:30" x14ac:dyDescent="0.25">
      <c r="A283" s="4" t="str">
        <f t="shared" si="29"/>
        <v>119</v>
      </c>
      <c r="B283" s="2" t="s">
        <v>275</v>
      </c>
      <c r="C283" s="3"/>
      <c r="D283" s="3"/>
      <c r="E283" s="3"/>
      <c r="F283" s="27" t="str" cm="1">
        <f t="array" ref="F283">INDEX(Sources!A:A, 1 + BIN2DEC(LEFT($B283,5)))</f>
        <v>C</v>
      </c>
      <c r="G283" s="27" t="str" cm="1">
        <f t="array" ref="G283">INDEX(Dest1!A:A,1+BIN2DEC(MID($B283,6,5)))</f>
        <v>UNK11</v>
      </c>
      <c r="H283" s="27" t="str" cm="1">
        <f t="array" ref="H283">INDEX(Source2!A:A,1+BIN2DEC(MID($B283,11,4)))</f>
        <v>--</v>
      </c>
      <c r="I283" s="23" cm="1">
        <f t="array" ref="I283">INDEX('D2'!A:A,1+BIN2DEC(MID($B283,16,2)))</f>
        <v>0</v>
      </c>
      <c r="J283" s="6">
        <f t="shared" si="34"/>
        <v>0</v>
      </c>
      <c r="K283" s="6">
        <f t="shared" si="30"/>
        <v>0</v>
      </c>
      <c r="L283" s="6">
        <f t="shared" si="31"/>
        <v>0</v>
      </c>
      <c r="M283" s="3" t="str" cm="1">
        <f t="array" ref="M283">INDEX(Types!A:A,1+BIN2DEC(MID($B283,20,2)))</f>
        <v>Control</v>
      </c>
      <c r="N283" s="3" t="str" cm="1">
        <f t="array" ref="N283">IF(M283="ALU",INDEX(ALUOps!A:A,1+BIN2DEC(MID($B283,22,5))),"")</f>
        <v/>
      </c>
      <c r="O283" s="3" t="str" cm="1">
        <f t="array" ref="O283">IF(M283="ALU",INDEX(TMP!A:A,1+BIN2DEC(MID($B283,27,2))),"")</f>
        <v/>
      </c>
      <c r="P283" s="6" t="str">
        <f t="shared" si="32"/>
        <v/>
      </c>
      <c r="Q283" t="str">
        <f t="shared" si="33"/>
        <v/>
      </c>
      <c r="R283" t="str">
        <f t="shared" si="35"/>
        <v/>
      </c>
      <c r="S283" cm="1">
        <f t="array" ref="S283">IF(M283="Control",INDEX(IC!A:A,1+BIN2DEC(MID($B283,21,4))),"")</f>
        <v>0</v>
      </c>
      <c r="T283" cm="1">
        <f t="array" ref="T283">IF(M283="Control",INDEX(EC!A:A,1+BIN2DEC(MID($B283,25,3))),"")</f>
        <v>0</v>
      </c>
      <c r="U283" cm="1">
        <f t="array" ref="U283">IF(M283="Control",INDEX(SR!A:A,1+BIN2DEC(MID($B283,28,2))),"")</f>
        <v>0</v>
      </c>
    </row>
    <row r="284" spans="1:30" x14ac:dyDescent="0.25">
      <c r="A284" s="4" t="str">
        <f t="shared" si="29"/>
        <v>11A</v>
      </c>
      <c r="B284" s="2" t="s">
        <v>276</v>
      </c>
      <c r="C284" s="3"/>
      <c r="D284" s="3"/>
      <c r="E284" s="3"/>
      <c r="F284" s="27" t="str" cm="1">
        <f t="array" ref="F284">INDEX(Sources!A:A, 1 + BIN2DEC(LEFT($B284,5)))</f>
        <v>TMPB</v>
      </c>
      <c r="G284" s="27" t="str" cm="1">
        <f t="array" ref="G284">INDEX(Dest1!A:A,1+BIN2DEC(MID($B284,6,5)))</f>
        <v>LC</v>
      </c>
      <c r="H284" s="27" t="str" cm="1">
        <f t="array" ref="H284">INDEX(Source2!A:A,1+BIN2DEC(MID($B284,11,4)))</f>
        <v>11</v>
      </c>
      <c r="I284" s="23" cm="1">
        <f t="array" ref="I284">INDEX('D2'!A:A,1+BIN2DEC(MID($B284,16,2)))</f>
        <v>0</v>
      </c>
      <c r="J284" s="6">
        <f t="shared" si="34"/>
        <v>0</v>
      </c>
      <c r="K284" s="6">
        <f t="shared" si="30"/>
        <v>0</v>
      </c>
      <c r="L284" s="6">
        <f t="shared" si="31"/>
        <v>0</v>
      </c>
      <c r="M284" s="3" t="str" cm="1">
        <f t="array" ref="M284">INDEX(Types!A:A,1+BIN2DEC(MID($B284,20,2)))</f>
        <v>ALU</v>
      </c>
      <c r="N284" s="3" cm="1">
        <f t="array" ref="N284">IF(M284="ALU",INDEX(ALUOps!A:A,1+BIN2DEC(MID($B284,22,5))),"")</f>
        <v>0</v>
      </c>
      <c r="O284" s="3" cm="1">
        <f t="array" ref="O284">IF(M284="ALU",INDEX(TMP!A:A,1+BIN2DEC(MID($B284,27,2))),"")</f>
        <v>2</v>
      </c>
      <c r="P284" s="6">
        <f t="shared" si="32"/>
        <v>1</v>
      </c>
      <c r="Q284" t="str">
        <f t="shared" si="33"/>
        <v/>
      </c>
      <c r="R284" t="str">
        <f t="shared" si="35"/>
        <v/>
      </c>
      <c r="S284" t="str" cm="1">
        <f t="array" ref="S284">IF(M284="Control",INDEX(IC!A:A,1+BIN2DEC(MID($B284,21,4))),"")</f>
        <v/>
      </c>
      <c r="T284" t="str" cm="1">
        <f t="array" ref="T284">IF(M284="Control",INDEX(EC!A:A,1+BIN2DEC(MID($B284,25,3))),"")</f>
        <v/>
      </c>
      <c r="U284" t="str" cm="1">
        <f t="array" ref="U284">IF(M284="Control",INDEX(SR!A:A,1+BIN2DEC(MID($B284,28,2))),"")</f>
        <v/>
      </c>
    </row>
    <row r="285" spans="1:30" s="9" customFormat="1" ht="15.75" thickBot="1" x14ac:dyDescent="0.3">
      <c r="A285" s="7" t="str">
        <f t="shared" si="29"/>
        <v>11B</v>
      </c>
      <c r="B285" s="8" t="s">
        <v>277</v>
      </c>
      <c r="C285" s="10"/>
      <c r="D285" s="10"/>
      <c r="E285" s="10"/>
      <c r="F285" s="30" t="str" cm="1">
        <f t="array" ref="F285">INDEX(Sources!A:A, 1 + BIN2DEC(LEFT($B285,5)))</f>
        <v>--</v>
      </c>
      <c r="G285" s="30" t="str" cm="1">
        <f t="array" ref="G285">INDEX(Dest1!A:A,1+BIN2DEC(MID($B285,6,5)))</f>
        <v>--</v>
      </c>
      <c r="H285" s="30" t="str" cm="1">
        <f t="array" ref="H285">INDEX(Source2!A:A,1+BIN2DEC(MID($B285,11,4)))</f>
        <v>--</v>
      </c>
      <c r="I285" s="26" cm="1">
        <f t="array" ref="I285">INDEX('D2'!A:A,1+BIN2DEC(MID($B285,16,2)))</f>
        <v>0</v>
      </c>
      <c r="J285" s="11">
        <f t="shared" si="34"/>
        <v>0</v>
      </c>
      <c r="K285" s="11">
        <f t="shared" si="30"/>
        <v>0</v>
      </c>
      <c r="L285" s="11">
        <f t="shared" si="31"/>
        <v>0</v>
      </c>
      <c r="M285" s="10" t="str" cm="1">
        <f t="array" ref="M285">INDEX(Types!A:A,1+BIN2DEC(MID($B285,20,2)))</f>
        <v>Control</v>
      </c>
      <c r="N285" s="10" t="str" cm="1">
        <f t="array" ref="N285">IF(M285="ALU",INDEX(ALUOps!A:A,1+BIN2DEC(MID($B285,22,5))),"")</f>
        <v/>
      </c>
      <c r="O285" s="10" t="str" cm="1">
        <f t="array" ref="O285">IF(M285="ALU",INDEX(TMP!A:A,1+BIN2DEC(MID($B285,27,2))),"")</f>
        <v/>
      </c>
      <c r="P285" s="11" t="str">
        <f t="shared" si="32"/>
        <v/>
      </c>
      <c r="Q285" s="9" t="str">
        <f t="shared" si="33"/>
        <v/>
      </c>
      <c r="R285" s="9" t="str">
        <f t="shared" si="35"/>
        <v/>
      </c>
      <c r="S285" s="9" cm="1">
        <f t="array" ref="S285">IF(M285="Control",INDEX(IC!A:A,1+BIN2DEC(MID($B285,21,4))),"")</f>
        <v>1</v>
      </c>
      <c r="T285" s="9" cm="1">
        <f t="array" ref="T285">IF(M285="Control",INDEX(EC!A:A,1+BIN2DEC(MID($B285,25,3))),"")</f>
        <v>5</v>
      </c>
      <c r="U285" s="9" cm="1">
        <f t="array" ref="U285">IF(M285="Control",INDEX(SR!A:A,1+BIN2DEC(MID($B285,28,2))),"")</f>
        <v>2</v>
      </c>
    </row>
    <row r="286" spans="1:30" x14ac:dyDescent="0.25">
      <c r="A286" s="4" t="str">
        <f t="shared" si="29"/>
        <v>11C</v>
      </c>
      <c r="B286" s="2" t="s">
        <v>278</v>
      </c>
      <c r="C286" s="2" t="s">
        <v>279</v>
      </c>
      <c r="D286" s="2" t="s">
        <v>928</v>
      </c>
      <c r="E286" s="2" t="s">
        <v>462</v>
      </c>
      <c r="F286" s="27" t="str" cm="1">
        <f t="array" ref="F286">INDEX(Sources!A:A, 1 + BIN2DEC(LEFT($B286,5)))</f>
        <v>Q</v>
      </c>
      <c r="G286" s="27" t="str" cm="1">
        <f t="array" ref="G286">INDEX(Dest1!A:A,1+BIN2DEC(MID($B286,6,5)))</f>
        <v>UNK17</v>
      </c>
      <c r="H286" s="27" t="str" cm="1">
        <f t="array" ref="H286">INDEX(Source2!A:A,1+BIN2DEC(MID($B286,11,4)))</f>
        <v>7</v>
      </c>
      <c r="I286" s="23" t="str" cm="1">
        <f t="array" ref="I286">INDEX('D2'!A:A,1+BIN2DEC(MID($B286,16,2)))</f>
        <v>TMPB</v>
      </c>
      <c r="J286" s="6">
        <f t="shared" si="34"/>
        <v>0</v>
      </c>
      <c r="K286" s="6">
        <f t="shared" si="30"/>
        <v>0</v>
      </c>
      <c r="L286" s="6">
        <f t="shared" si="31"/>
        <v>0</v>
      </c>
      <c r="M286" s="3" t="str" cm="1">
        <f t="array" ref="M286">INDEX(Types!A:A,1+BIN2DEC(MID($B286,20,2)))</f>
        <v>Control</v>
      </c>
      <c r="N286" s="3" t="str" cm="1">
        <f t="array" ref="N286">IF(M286="ALU",INDEX(ALUOps!A:A,1+BIN2DEC(MID($B286,22,5))),"")</f>
        <v/>
      </c>
      <c r="O286" s="3" t="str" cm="1">
        <f t="array" ref="O286">IF(M286="ALU",INDEX(TMP!A:A,1+BIN2DEC(MID($B286,27,2))),"")</f>
        <v/>
      </c>
      <c r="P286" s="6" t="str">
        <f t="shared" si="32"/>
        <v/>
      </c>
      <c r="Q286" t="str">
        <f t="shared" si="33"/>
        <v/>
      </c>
      <c r="R286" t="str">
        <f t="shared" si="35"/>
        <v/>
      </c>
      <c r="S286" cm="1">
        <f t="array" ref="S286">IF(M286="Control",INDEX(IC!A:A,1+BIN2DEC(MID($B286,21,4))),"")</f>
        <v>0</v>
      </c>
      <c r="T286" cm="1">
        <f t="array" ref="T286">IF(M286="Control",INDEX(EC!A:A,1+BIN2DEC(MID($B286,25,3))),"")</f>
        <v>0</v>
      </c>
      <c r="U286" cm="1">
        <f t="array" ref="U286">IF(M286="Control",INDEX(SR!A:A,1+BIN2DEC(MID($B286,28,2))),"")</f>
        <v>0</v>
      </c>
      <c r="X286" t="s">
        <v>1024</v>
      </c>
      <c r="AD286" s="1" t="s">
        <v>280</v>
      </c>
    </row>
    <row r="287" spans="1:30" x14ac:dyDescent="0.25">
      <c r="A287" s="4" t="str">
        <f t="shared" si="29"/>
        <v>11D</v>
      </c>
      <c r="B287" s="2" t="s">
        <v>281</v>
      </c>
      <c r="C287" s="3"/>
      <c r="D287" s="3"/>
      <c r="E287" s="3"/>
      <c r="F287" s="27" t="str" cm="1">
        <f t="array" ref="F287">INDEX(Sources!A:A, 1 + BIN2DEC(LEFT($B287,5)))</f>
        <v>UNK22</v>
      </c>
      <c r="G287" s="27" t="str" cm="1">
        <f t="array" ref="G287">INDEX(Dest1!A:A,1+BIN2DEC(MID($B287,6,5)))</f>
        <v>TMPA</v>
      </c>
      <c r="H287" s="27" t="str" cm="1">
        <f t="array" ref="H287">INDEX(Source2!A:A,1+BIN2DEC(MID($B287,11,4)))</f>
        <v>--</v>
      </c>
      <c r="I287" s="23" cm="1">
        <f t="array" ref="I287">INDEX('D2'!A:A,1+BIN2DEC(MID($B287,16,2)))</f>
        <v>0</v>
      </c>
      <c r="J287" s="6">
        <f t="shared" si="34"/>
        <v>0</v>
      </c>
      <c r="K287" s="6">
        <f t="shared" si="30"/>
        <v>0</v>
      </c>
      <c r="L287" s="6">
        <f t="shared" si="31"/>
        <v>0</v>
      </c>
      <c r="M287" s="3" t="str" cm="1">
        <f t="array" ref="M287">INDEX(Types!A:A,1+BIN2DEC(MID($B287,20,2)))</f>
        <v>Control</v>
      </c>
      <c r="N287" s="3" t="str" cm="1">
        <f t="array" ref="N287">IF(M287="ALU",INDEX(ALUOps!A:A,1+BIN2DEC(MID($B287,22,5))),"")</f>
        <v/>
      </c>
      <c r="O287" s="3" t="str" cm="1">
        <f t="array" ref="O287">IF(M287="ALU",INDEX(TMP!A:A,1+BIN2DEC(MID($B287,27,2))),"")</f>
        <v/>
      </c>
      <c r="P287" s="6" t="str">
        <f t="shared" si="32"/>
        <v/>
      </c>
      <c r="Q287" t="str">
        <f t="shared" si="33"/>
        <v/>
      </c>
      <c r="R287" t="str">
        <f t="shared" si="35"/>
        <v/>
      </c>
      <c r="S287" cm="1">
        <f t="array" ref="S287">IF(M287="Control",INDEX(IC!A:A,1+BIN2DEC(MID($B287,21,4))),"")</f>
        <v>0</v>
      </c>
      <c r="T287" cm="1">
        <f t="array" ref="T287">IF(M287="Control",INDEX(EC!A:A,1+BIN2DEC(MID($B287,25,3))),"")</f>
        <v>0</v>
      </c>
      <c r="U287" cm="1">
        <f t="array" ref="U287">IF(M287="Control",INDEX(SR!A:A,1+BIN2DEC(MID($B287,28,2))),"")</f>
        <v>0</v>
      </c>
    </row>
    <row r="288" spans="1:30" x14ac:dyDescent="0.25">
      <c r="A288" s="4" t="str">
        <f t="shared" si="29"/>
        <v>11E</v>
      </c>
      <c r="B288" s="2" t="s">
        <v>282</v>
      </c>
      <c r="C288" s="3"/>
      <c r="D288" s="3"/>
      <c r="E288" s="3"/>
      <c r="F288" s="27" t="str" cm="1">
        <f t="array" ref="F288">INDEX(Sources!A:A, 1 + BIN2DEC(LEFT($B288,5)))</f>
        <v>REG</v>
      </c>
      <c r="G288" s="27" t="str" cm="1">
        <f t="array" ref="G288">INDEX(Dest1!A:A,1+BIN2DEC(MID($B288,6,5)))</f>
        <v>LC</v>
      </c>
      <c r="H288" s="27" t="str" cm="1">
        <f t="array" ref="H288">INDEX(Source2!A:A,1+BIN2DEC(MID($B288,11,4)))</f>
        <v>13</v>
      </c>
      <c r="I288" s="23" t="str" cm="1">
        <f t="array" ref="I288">INDEX('D2'!A:A,1+BIN2DEC(MID($B288,16,2)))</f>
        <v>TMPB</v>
      </c>
      <c r="J288" s="6">
        <f t="shared" si="34"/>
        <v>0</v>
      </c>
      <c r="K288" s="6">
        <f t="shared" si="30"/>
        <v>0</v>
      </c>
      <c r="L288" s="6">
        <f t="shared" si="31"/>
        <v>0</v>
      </c>
      <c r="M288" s="3" t="str" cm="1">
        <f t="array" ref="M288">INDEX(Types!A:A,1+BIN2DEC(MID($B288,20,2)))</f>
        <v>ALU</v>
      </c>
      <c r="N288" s="3" cm="1">
        <f t="array" ref="N288">IF(M288="ALU",INDEX(ALUOps!A:A,1+BIN2DEC(MID($B288,22,5))),"")</f>
        <v>26</v>
      </c>
      <c r="O288" s="3" cm="1">
        <f t="array" ref="O288">IF(M288="ALU",INDEX(TMP!A:A,1+BIN2DEC(MID($B288,27,2))),"")</f>
        <v>1</v>
      </c>
      <c r="P288" s="6">
        <f t="shared" si="32"/>
        <v>1</v>
      </c>
      <c r="Q288" t="str">
        <f t="shared" si="33"/>
        <v/>
      </c>
      <c r="R288" t="str">
        <f t="shared" si="35"/>
        <v/>
      </c>
      <c r="S288" t="str" cm="1">
        <f t="array" ref="S288">IF(M288="Control",INDEX(IC!A:A,1+BIN2DEC(MID($B288,21,4))),"")</f>
        <v/>
      </c>
      <c r="T288" t="str" cm="1">
        <f t="array" ref="T288">IF(M288="Control",INDEX(EC!A:A,1+BIN2DEC(MID($B288,25,3))),"")</f>
        <v/>
      </c>
      <c r="U288" t="str" cm="1">
        <f t="array" ref="U288">IF(M288="Control",INDEX(SR!A:A,1+BIN2DEC(MID($B288,28,2))),"")</f>
        <v/>
      </c>
    </row>
    <row r="289" spans="1:30" x14ac:dyDescent="0.25">
      <c r="A289" s="4" t="str">
        <f t="shared" si="29"/>
        <v>11F</v>
      </c>
      <c r="B289" s="2" t="s">
        <v>283</v>
      </c>
      <c r="C289" s="3"/>
      <c r="D289" s="3"/>
      <c r="E289" s="3"/>
      <c r="F289" s="27" t="str" cm="1">
        <f t="array" ref="F289">INDEX(Sources!A:A, 1 + BIN2DEC(LEFT($B289,5)))</f>
        <v>SIGMA</v>
      </c>
      <c r="G289" s="27" t="str" cm="1">
        <f t="array" ref="G289">INDEX(Dest1!A:A,1+BIN2DEC(MID($B289,6,5)))</f>
        <v>TMPA</v>
      </c>
      <c r="H289" s="27" t="str" cm="1">
        <f t="array" ref="H289">INDEX(Source2!A:A,1+BIN2DEC(MID($B289,11,4)))</f>
        <v>--</v>
      </c>
      <c r="I289" s="23" cm="1">
        <f t="array" ref="I289">INDEX('D2'!A:A,1+BIN2DEC(MID($B289,16,2)))</f>
        <v>0</v>
      </c>
      <c r="J289" s="6">
        <f t="shared" si="34"/>
        <v>0</v>
      </c>
      <c r="K289" s="6">
        <f t="shared" si="30"/>
        <v>0</v>
      </c>
      <c r="L289" s="6">
        <f t="shared" si="31"/>
        <v>0</v>
      </c>
      <c r="M289" s="3" t="str" cm="1">
        <f t="array" ref="M289">INDEX(Types!A:A,1+BIN2DEC(MID($B289,20,2)))</f>
        <v>ALU</v>
      </c>
      <c r="N289" s="3" cm="1">
        <f t="array" ref="N289">IF(M289="ALU",INDEX(ALUOps!A:A,1+BIN2DEC(MID($B289,22,5))),"")</f>
        <v>13</v>
      </c>
      <c r="O289" s="3" cm="1">
        <f t="array" ref="O289">IF(M289="ALU",INDEX(TMP!A:A,1+BIN2DEC(MID($B289,27,2))),"")</f>
        <v>1</v>
      </c>
      <c r="P289" s="6">
        <f t="shared" si="32"/>
        <v>0</v>
      </c>
      <c r="Q289" t="str">
        <f t="shared" si="33"/>
        <v/>
      </c>
      <c r="R289" t="str">
        <f t="shared" si="35"/>
        <v/>
      </c>
      <c r="S289" t="str" cm="1">
        <f t="array" ref="S289">IF(M289="Control",INDEX(IC!A:A,1+BIN2DEC(MID($B289,21,4))),"")</f>
        <v/>
      </c>
      <c r="T289" t="str" cm="1">
        <f t="array" ref="T289">IF(M289="Control",INDEX(EC!A:A,1+BIN2DEC(MID($B289,25,3))),"")</f>
        <v/>
      </c>
      <c r="U289" t="str" cm="1">
        <f t="array" ref="U289">IF(M289="Control",INDEX(SR!A:A,1+BIN2DEC(MID($B289,28,2))),"")</f>
        <v/>
      </c>
    </row>
    <row r="290" spans="1:30" x14ac:dyDescent="0.25">
      <c r="A290" s="4" t="str">
        <f t="shared" si="29"/>
        <v>120</v>
      </c>
      <c r="B290" s="2" t="s">
        <v>284</v>
      </c>
      <c r="C290" s="2" t="s">
        <v>285</v>
      </c>
      <c r="D290" s="2" t="s">
        <v>928</v>
      </c>
      <c r="E290" s="2" t="s">
        <v>929</v>
      </c>
      <c r="F290" s="27" t="str" cm="1">
        <f t="array" ref="F290">INDEX(Sources!A:A, 1 + BIN2DEC(LEFT($B290,5)))</f>
        <v>SIGMA</v>
      </c>
      <c r="G290" s="27" t="str" cm="1">
        <f t="array" ref="G290">INDEX(Dest1!A:A,1+BIN2DEC(MID($B290,6,5)))</f>
        <v>UNK24</v>
      </c>
      <c r="H290" s="27" t="str" cm="1">
        <f t="array" ref="H290">INDEX(Source2!A:A,1+BIN2DEC(MID($B290,11,4)))</f>
        <v>11</v>
      </c>
      <c r="I290" s="23" cm="1">
        <f t="array" ref="I290">INDEX('D2'!A:A,1+BIN2DEC(MID($B290,16,2)))</f>
        <v>0</v>
      </c>
      <c r="J290" s="6">
        <f t="shared" si="34"/>
        <v>0</v>
      </c>
      <c r="K290" s="6">
        <f t="shared" si="30"/>
        <v>0</v>
      </c>
      <c r="L290" s="6">
        <f t="shared" si="31"/>
        <v>0</v>
      </c>
      <c r="M290" s="3" t="str" cm="1">
        <f t="array" ref="M290">INDEX(Types!A:A,1+BIN2DEC(MID($B290,20,2)))</f>
        <v>ALU</v>
      </c>
      <c r="N290" s="3" cm="1">
        <f t="array" ref="N290">IF(M290="ALU",INDEX(ALUOps!A:A,1+BIN2DEC(MID($B290,22,5))),"")</f>
        <v>13</v>
      </c>
      <c r="O290" s="3" cm="1">
        <f t="array" ref="O290">IF(M290="ALU",INDEX(TMP!A:A,1+BIN2DEC(MID($B290,27,2))),"")</f>
        <v>1</v>
      </c>
      <c r="P290" s="6">
        <f t="shared" si="32"/>
        <v>1</v>
      </c>
      <c r="Q290" t="str">
        <f t="shared" si="33"/>
        <v/>
      </c>
      <c r="R290" t="str">
        <f t="shared" si="35"/>
        <v/>
      </c>
      <c r="S290" t="str" cm="1">
        <f t="array" ref="S290">IF(M290="Control",INDEX(IC!A:A,1+BIN2DEC(MID($B290,21,4))),"")</f>
        <v/>
      </c>
      <c r="T290" t="str" cm="1">
        <f t="array" ref="T290">IF(M290="Control",INDEX(EC!A:A,1+BIN2DEC(MID($B290,25,3))),"")</f>
        <v/>
      </c>
      <c r="U290" t="str" cm="1">
        <f t="array" ref="U290">IF(M290="Control",INDEX(SR!A:A,1+BIN2DEC(MID($B290,28,2))),"")</f>
        <v/>
      </c>
      <c r="AD290" s="1" t="s">
        <v>280</v>
      </c>
    </row>
    <row r="291" spans="1:30" x14ac:dyDescent="0.25">
      <c r="A291" s="4" t="str">
        <f t="shared" si="29"/>
        <v>121</v>
      </c>
      <c r="B291" s="2" t="s">
        <v>286</v>
      </c>
      <c r="C291" s="3"/>
      <c r="D291" s="3"/>
      <c r="E291" s="3"/>
      <c r="F291" s="27" t="str" cm="1">
        <f t="array" ref="F291">INDEX(Sources!A:A, 1 + BIN2DEC(LEFT($B291,5)))</f>
        <v>TMPB</v>
      </c>
      <c r="G291" s="27" t="str" cm="1">
        <f t="array" ref="G291">INDEX(Dest1!A:A,1+BIN2DEC(MID($B291,6,5)))</f>
        <v>AH</v>
      </c>
      <c r="H291" s="27" t="str" cm="1">
        <f t="array" ref="H291">INDEX(Source2!A:A,1+BIN2DEC(MID($B291,11,4)))</f>
        <v>--</v>
      </c>
      <c r="I291" s="23" cm="1">
        <f t="array" ref="I291">INDEX('D2'!A:A,1+BIN2DEC(MID($B291,16,2)))</f>
        <v>0</v>
      </c>
      <c r="J291" s="6">
        <f t="shared" si="34"/>
        <v>0</v>
      </c>
      <c r="K291" s="6">
        <f t="shared" si="30"/>
        <v>0</v>
      </c>
      <c r="L291" s="6">
        <f t="shared" si="31"/>
        <v>1</v>
      </c>
      <c r="M291" s="3" t="str" cm="1">
        <f t="array" ref="M291">INDEX(Types!A:A,1+BIN2DEC(MID($B291,20,2)))</f>
        <v>ALU</v>
      </c>
      <c r="N291" s="3" cm="1">
        <f t="array" ref="N291">IF(M291="ALU",INDEX(ALUOps!A:A,1+BIN2DEC(MID($B291,22,5))),"")</f>
        <v>0</v>
      </c>
      <c r="O291" s="3" cm="1">
        <f t="array" ref="O291">IF(M291="ALU",INDEX(TMP!A:A,1+BIN2DEC(MID($B291,27,2))),"")</f>
        <v>2</v>
      </c>
      <c r="P291" s="6">
        <f t="shared" si="32"/>
        <v>1</v>
      </c>
      <c r="Q291" t="str">
        <f t="shared" si="33"/>
        <v/>
      </c>
      <c r="R291" t="str">
        <f t="shared" si="35"/>
        <v/>
      </c>
      <c r="S291" t="str" cm="1">
        <f t="array" ref="S291">IF(M291="Control",INDEX(IC!A:A,1+BIN2DEC(MID($B291,21,4))),"")</f>
        <v/>
      </c>
      <c r="T291" t="str" cm="1">
        <f t="array" ref="T291">IF(M291="Control",INDEX(EC!A:A,1+BIN2DEC(MID($B291,25,3))),"")</f>
        <v/>
      </c>
      <c r="U291" t="str" cm="1">
        <f t="array" ref="U291">IF(M291="Control",INDEX(SR!A:A,1+BIN2DEC(MID($B291,28,2))),"")</f>
        <v/>
      </c>
    </row>
    <row r="292" spans="1:30" x14ac:dyDescent="0.25">
      <c r="A292" s="4" t="str">
        <f t="shared" si="29"/>
        <v>122</v>
      </c>
      <c r="B292" s="2" t="s">
        <v>287</v>
      </c>
      <c r="C292" s="3"/>
      <c r="D292" s="3"/>
      <c r="E292" s="3"/>
      <c r="F292" s="27" t="str" cm="1">
        <f t="array" ref="F292">INDEX(Sources!A:A, 1 + BIN2DEC(LEFT($B292,5)))</f>
        <v>SIGMA</v>
      </c>
      <c r="G292" s="27" t="str" cm="1">
        <f t="array" ref="G292">INDEX(Dest1!A:A,1+BIN2DEC(MID($B292,6,5)))</f>
        <v>UNK23</v>
      </c>
      <c r="H292" s="27" t="str" cm="1">
        <f t="array" ref="H292">INDEX(Source2!A:A,1+BIN2DEC(MID($B292,11,4)))</f>
        <v>--</v>
      </c>
      <c r="I292" s="23" cm="1">
        <f t="array" ref="I292">INDEX('D2'!A:A,1+BIN2DEC(MID($B292,16,2)))</f>
        <v>0</v>
      </c>
      <c r="J292" s="6">
        <f t="shared" si="34"/>
        <v>0</v>
      </c>
      <c r="K292" s="6">
        <f t="shared" si="30"/>
        <v>1</v>
      </c>
      <c r="L292" s="6">
        <f t="shared" si="31"/>
        <v>0</v>
      </c>
      <c r="M292" s="3" t="str" cm="1">
        <f t="array" ref="M292">INDEX(Types!A:A,1+BIN2DEC(MID($B292,20,2)))</f>
        <v>Control</v>
      </c>
      <c r="N292" s="3" t="str" cm="1">
        <f t="array" ref="N292">IF(M292="ALU",INDEX(ALUOps!A:A,1+BIN2DEC(MID($B292,22,5))),"")</f>
        <v/>
      </c>
      <c r="O292" s="3" t="str" cm="1">
        <f t="array" ref="O292">IF(M292="ALU",INDEX(TMP!A:A,1+BIN2DEC(MID($B292,27,2))),"")</f>
        <v/>
      </c>
      <c r="P292" s="6" t="str">
        <f t="shared" si="32"/>
        <v/>
      </c>
      <c r="Q292" t="str">
        <f t="shared" si="33"/>
        <v/>
      </c>
      <c r="R292" t="str">
        <f t="shared" si="35"/>
        <v/>
      </c>
      <c r="S292" cm="1">
        <f t="array" ref="S292">IF(M292="Control",INDEX(IC!A:A,1+BIN2DEC(MID($B292,21,4))),"")</f>
        <v>0</v>
      </c>
      <c r="T292" cm="1">
        <f t="array" ref="T292">IF(M292="Control",INDEX(EC!A:A,1+BIN2DEC(MID($B292,25,3))),"")</f>
        <v>0</v>
      </c>
      <c r="U292" cm="1">
        <f t="array" ref="U292">IF(M292="Control",INDEX(SR!A:A,1+BIN2DEC(MID($B292,28,2))),"")</f>
        <v>0</v>
      </c>
    </row>
    <row r="293" spans="1:30" s="9" customFormat="1" ht="15.75" thickBot="1" x14ac:dyDescent="0.3">
      <c r="A293" s="7" t="str">
        <f t="shared" si="29"/>
        <v>123</v>
      </c>
      <c r="B293" s="8" t="s">
        <v>4</v>
      </c>
      <c r="C293" s="10"/>
      <c r="D293" s="10"/>
      <c r="E293" s="10"/>
      <c r="F293" s="30" t="str" cm="1">
        <f t="array" ref="F293">INDEX(Sources!A:A, 1 + BIN2DEC(LEFT($B293,5)))</f>
        <v>--</v>
      </c>
      <c r="G293" s="30" t="str" cm="1">
        <f t="array" ref="G293">INDEX(Dest1!A:A,1+BIN2DEC(MID($B293,6,5)))</f>
        <v>--</v>
      </c>
      <c r="H293" s="30" t="str" cm="1">
        <f t="array" ref="H293">INDEX(Source2!A:A,1+BIN2DEC(MID($B293,11,4)))</f>
        <v>--</v>
      </c>
      <c r="I293" s="26" cm="1">
        <f t="array" ref="I293">INDEX('D2'!A:A,1+BIN2DEC(MID($B293,16,2)))</f>
        <v>0</v>
      </c>
      <c r="J293" s="11">
        <f t="shared" si="34"/>
        <v>0</v>
      </c>
      <c r="K293" s="11">
        <f t="shared" si="30"/>
        <v>0</v>
      </c>
      <c r="L293" s="11">
        <f t="shared" si="31"/>
        <v>0</v>
      </c>
      <c r="M293" s="10" t="str" cm="1">
        <f t="array" ref="M293">INDEX(Types!A:A,1+BIN2DEC(MID($B293,20,2)))</f>
        <v>Control</v>
      </c>
      <c r="N293" s="10" t="str" cm="1">
        <f t="array" ref="N293">IF(M293="ALU",INDEX(ALUOps!A:A,1+BIN2DEC(MID($B293,22,5))),"")</f>
        <v/>
      </c>
      <c r="O293" s="10" t="str" cm="1">
        <f t="array" ref="O293">IF(M293="ALU",INDEX(TMP!A:A,1+BIN2DEC(MID($B293,27,2))),"")</f>
        <v/>
      </c>
      <c r="P293" s="11" t="str">
        <f t="shared" si="32"/>
        <v/>
      </c>
      <c r="Q293" s="9" t="str">
        <f t="shared" si="33"/>
        <v/>
      </c>
      <c r="R293" s="9" t="str">
        <f t="shared" si="35"/>
        <v/>
      </c>
      <c r="S293" s="9" cm="1">
        <f t="array" ref="S293">IF(M293="Control",INDEX(IC!A:A,1+BIN2DEC(MID($B293,21,4))),"")</f>
        <v>0</v>
      </c>
      <c r="T293" s="9" cm="1">
        <f t="array" ref="T293">IF(M293="Control",INDEX(EC!A:A,1+BIN2DEC(MID($B293,25,3))),"")</f>
        <v>0</v>
      </c>
      <c r="U293" s="9" cm="1">
        <f t="array" ref="U293">IF(M293="Control",INDEX(SR!A:A,1+BIN2DEC(MID($B293,28,2))),"")</f>
        <v>0</v>
      </c>
    </row>
    <row r="294" spans="1:30" x14ac:dyDescent="0.25">
      <c r="A294" s="4" t="str">
        <f t="shared" si="29"/>
        <v>124</v>
      </c>
      <c r="B294" s="2" t="s">
        <v>288</v>
      </c>
      <c r="C294" s="2" t="s">
        <v>289</v>
      </c>
      <c r="D294" s="2" t="s">
        <v>928</v>
      </c>
      <c r="E294" s="2" t="s">
        <v>462</v>
      </c>
      <c r="F294" s="27" t="str" cm="1">
        <f t="array" ref="F294">INDEX(Sources!A:A, 1 + BIN2DEC(LEFT($B294,5)))</f>
        <v>AH</v>
      </c>
      <c r="G294" s="27" t="str" cm="1">
        <f t="array" ref="G294">INDEX(Dest1!A:A,1+BIN2DEC(MID($B294,6,5)))</f>
        <v>TMPB</v>
      </c>
      <c r="H294" s="27" t="str" cm="1">
        <f t="array" ref="H294">INDEX(Source2!A:A,1+BIN2DEC(MID($B294,11,4)))</f>
        <v>Q</v>
      </c>
      <c r="I294" s="23" cm="1">
        <f t="array" ref="I294">INDEX('D2'!A:A,1+BIN2DEC(MID($B294,16,2)))</f>
        <v>0</v>
      </c>
      <c r="J294" s="6">
        <f t="shared" si="34"/>
        <v>0</v>
      </c>
      <c r="K294" s="6">
        <f t="shared" si="30"/>
        <v>0</v>
      </c>
      <c r="L294" s="6">
        <f t="shared" si="31"/>
        <v>0</v>
      </c>
      <c r="M294" s="3" t="str" cm="1">
        <f t="array" ref="M294">INDEX(Types!A:A,1+BIN2DEC(MID($B294,20,2)))</f>
        <v>Control</v>
      </c>
      <c r="N294" s="3" t="str" cm="1">
        <f t="array" ref="N294">IF(M294="ALU",INDEX(ALUOps!A:A,1+BIN2DEC(MID($B294,22,5))),"")</f>
        <v/>
      </c>
      <c r="O294" s="3" t="str" cm="1">
        <f t="array" ref="O294">IF(M294="ALU",INDEX(TMP!A:A,1+BIN2DEC(MID($B294,27,2))),"")</f>
        <v/>
      </c>
      <c r="P294" s="6" t="str">
        <f t="shared" si="32"/>
        <v/>
      </c>
      <c r="Q294" t="str">
        <f t="shared" si="33"/>
        <v/>
      </c>
      <c r="R294" t="str">
        <f t="shared" si="35"/>
        <v/>
      </c>
      <c r="S294" cm="1">
        <f t="array" ref="S294">IF(M294="Control",INDEX(IC!A:A,1+BIN2DEC(MID($B294,21,4))),"")</f>
        <v>0</v>
      </c>
      <c r="T294" cm="1">
        <f t="array" ref="T294">IF(M294="Control",INDEX(EC!A:A,1+BIN2DEC(MID($B294,25,3))),"")</f>
        <v>0</v>
      </c>
      <c r="U294" cm="1">
        <f t="array" ref="U294">IF(M294="Control",INDEX(SR!A:A,1+BIN2DEC(MID($B294,28,2))),"")</f>
        <v>0</v>
      </c>
      <c r="X294" t="s">
        <v>1025</v>
      </c>
      <c r="AD294" s="1" t="s">
        <v>290</v>
      </c>
    </row>
    <row r="295" spans="1:30" x14ac:dyDescent="0.25">
      <c r="A295" s="4" t="str">
        <f t="shared" si="29"/>
        <v>125</v>
      </c>
      <c r="B295" s="2" t="s">
        <v>291</v>
      </c>
      <c r="C295" s="3"/>
      <c r="D295" s="3"/>
      <c r="E295" s="3"/>
      <c r="F295" s="27" t="str" cm="1">
        <f t="array" ref="F295">INDEX(Sources!A:A, 1 + BIN2DEC(LEFT($B295,5)))</f>
        <v>AH</v>
      </c>
      <c r="G295" s="27" t="str" cm="1">
        <f t="array" ref="G295">INDEX(Dest1!A:A,1+BIN2DEC(MID($B295,6,5)))</f>
        <v>TMPA</v>
      </c>
      <c r="H295" s="27" t="str" cm="1">
        <f t="array" ref="H295">INDEX(Source2!A:A,1+BIN2DEC(MID($B295,11,4)))</f>
        <v>--</v>
      </c>
      <c r="I295" s="23" cm="1">
        <f t="array" ref="I295">INDEX('D2'!A:A,1+BIN2DEC(MID($B295,16,2)))</f>
        <v>0</v>
      </c>
      <c r="J295" s="6">
        <f t="shared" si="34"/>
        <v>0</v>
      </c>
      <c r="K295" s="6">
        <f t="shared" si="30"/>
        <v>0</v>
      </c>
      <c r="L295" s="6">
        <f t="shared" si="31"/>
        <v>0</v>
      </c>
      <c r="M295" s="3" t="str" cm="1">
        <f t="array" ref="M295">INDEX(Types!A:A,1+BIN2DEC(MID($B295,20,2)))</f>
        <v>ALU</v>
      </c>
      <c r="N295" s="3" cm="1">
        <f t="array" ref="N295">IF(M295="ALU",INDEX(ALUOps!A:A,1+BIN2DEC(MID($B295,22,5))),"")</f>
        <v>31</v>
      </c>
      <c r="O295" s="3" cm="1">
        <f t="array" ref="O295">IF(M295="ALU",INDEX(TMP!A:A,1+BIN2DEC(MID($B295,27,2))),"")</f>
        <v>2</v>
      </c>
      <c r="P295" s="6">
        <f t="shared" si="32"/>
        <v>1</v>
      </c>
      <c r="Q295" t="str">
        <f t="shared" si="33"/>
        <v/>
      </c>
      <c r="R295" t="str">
        <f t="shared" si="35"/>
        <v/>
      </c>
      <c r="S295" t="str" cm="1">
        <f t="array" ref="S295">IF(M295="Control",INDEX(IC!A:A,1+BIN2DEC(MID($B295,21,4))),"")</f>
        <v/>
      </c>
      <c r="T295" t="str" cm="1">
        <f t="array" ref="T295">IF(M295="Control",INDEX(EC!A:A,1+BIN2DEC(MID($B295,25,3))),"")</f>
        <v/>
      </c>
      <c r="U295" t="str" cm="1">
        <f t="array" ref="U295">IF(M295="Control",INDEX(SR!A:A,1+BIN2DEC(MID($B295,28,2))),"")</f>
        <v/>
      </c>
    </row>
    <row r="296" spans="1:30" x14ac:dyDescent="0.25">
      <c r="A296" s="4" t="str">
        <f t="shared" si="29"/>
        <v>126</v>
      </c>
      <c r="B296" s="2" t="s">
        <v>292</v>
      </c>
      <c r="C296" s="3"/>
      <c r="D296" s="3"/>
      <c r="E296" s="3"/>
      <c r="F296" s="27" t="str" cm="1">
        <f t="array" ref="F296">INDEX(Sources!A:A, 1 + BIN2DEC(LEFT($B296,5)))</f>
        <v>SIGMA</v>
      </c>
      <c r="G296" s="27" t="str" cm="1">
        <f t="array" ref="G296">INDEX(Dest1!A:A,1+BIN2DEC(MID($B296,6,5)))</f>
        <v>TMPA</v>
      </c>
      <c r="H296" s="27" t="str" cm="1">
        <f t="array" ref="H296">INDEX(Source2!A:A,1+BIN2DEC(MID($B296,11,4)))</f>
        <v>--</v>
      </c>
      <c r="I296" s="23" cm="1">
        <f t="array" ref="I296">INDEX('D2'!A:A,1+BIN2DEC(MID($B296,16,2)))</f>
        <v>0</v>
      </c>
      <c r="J296" s="6">
        <f t="shared" si="34"/>
        <v>0</v>
      </c>
      <c r="K296" s="6">
        <f t="shared" si="30"/>
        <v>0</v>
      </c>
      <c r="L296" s="6">
        <f t="shared" si="31"/>
        <v>0</v>
      </c>
      <c r="M296" s="3" t="str" cm="1">
        <f t="array" ref="M296">INDEX(Types!A:A,1+BIN2DEC(MID($B296,20,2)))</f>
        <v>Control</v>
      </c>
      <c r="N296" s="3" t="str" cm="1">
        <f t="array" ref="N296">IF(M296="ALU",INDEX(ALUOps!A:A,1+BIN2DEC(MID($B296,22,5))),"")</f>
        <v/>
      </c>
      <c r="O296" s="3" t="str" cm="1">
        <f t="array" ref="O296">IF(M296="ALU",INDEX(TMP!A:A,1+BIN2DEC(MID($B296,27,2))),"")</f>
        <v/>
      </c>
      <c r="P296" s="6" t="str">
        <f t="shared" si="32"/>
        <v/>
      </c>
      <c r="Q296" t="str">
        <f t="shared" si="33"/>
        <v/>
      </c>
      <c r="R296" t="str">
        <f t="shared" si="35"/>
        <v/>
      </c>
      <c r="S296" cm="1">
        <f t="array" ref="S296">IF(M296="Control",INDEX(IC!A:A,1+BIN2DEC(MID($B296,21,4))),"")</f>
        <v>0</v>
      </c>
      <c r="T296" cm="1">
        <f t="array" ref="T296">IF(M296="Control",INDEX(EC!A:A,1+BIN2DEC(MID($B296,25,3))),"")</f>
        <v>0</v>
      </c>
      <c r="U296" cm="1">
        <f t="array" ref="U296">IF(M296="Control",INDEX(SR!A:A,1+BIN2DEC(MID($B296,28,2))),"")</f>
        <v>0</v>
      </c>
    </row>
    <row r="297" spans="1:30" x14ac:dyDescent="0.25">
      <c r="A297" s="4" t="str">
        <f t="shared" si="29"/>
        <v>127</v>
      </c>
      <c r="B297" s="2" t="s">
        <v>293</v>
      </c>
      <c r="C297" s="3"/>
      <c r="D297" s="3"/>
      <c r="E297" s="3"/>
      <c r="F297" s="27" t="str" cm="1">
        <f t="array" ref="F297">INDEX(Sources!A:A, 1 + BIN2DEC(LEFT($B297,5)))</f>
        <v>SIGMA</v>
      </c>
      <c r="G297" s="27" t="str" cm="1">
        <f t="array" ref="G297">INDEX(Dest1!A:A,1+BIN2DEC(MID($B297,6,5)))</f>
        <v>TMPA</v>
      </c>
      <c r="H297" s="27" t="str" cm="1">
        <f t="array" ref="H297">INDEX(Source2!A:A,1+BIN2DEC(MID($B297,11,4)))</f>
        <v>--</v>
      </c>
      <c r="I297" s="23" cm="1">
        <f t="array" ref="I297">INDEX('D2'!A:A,1+BIN2DEC(MID($B297,16,2)))</f>
        <v>0</v>
      </c>
      <c r="J297" s="6">
        <f t="shared" si="34"/>
        <v>0</v>
      </c>
      <c r="K297" s="6">
        <f t="shared" si="30"/>
        <v>0</v>
      </c>
      <c r="L297" s="6">
        <f t="shared" si="31"/>
        <v>0</v>
      </c>
      <c r="M297" s="3" t="str" cm="1">
        <f t="array" ref="M297">INDEX(Types!A:A,1+BIN2DEC(MID($B297,20,2)))</f>
        <v>ALU</v>
      </c>
      <c r="N297" s="3" cm="1">
        <f t="array" ref="N297">IF(M297="ALU",INDEX(ALUOps!A:A,1+BIN2DEC(MID($B297,22,5))),"")</f>
        <v>31</v>
      </c>
      <c r="O297" s="3" cm="1">
        <f t="array" ref="O297">IF(M297="ALU",INDEX(TMP!A:A,1+BIN2DEC(MID($B297,27,2))),"")</f>
        <v>3</v>
      </c>
      <c r="P297" s="6">
        <f t="shared" si="32"/>
        <v>1</v>
      </c>
      <c r="Q297" t="str">
        <f t="shared" si="33"/>
        <v/>
      </c>
      <c r="R297" t="str">
        <f t="shared" si="35"/>
        <v/>
      </c>
      <c r="S297" t="str" cm="1">
        <f t="array" ref="S297">IF(M297="Control",INDEX(IC!A:A,1+BIN2DEC(MID($B297,21,4))),"")</f>
        <v/>
      </c>
      <c r="T297" t="str" cm="1">
        <f t="array" ref="T297">IF(M297="Control",INDEX(EC!A:A,1+BIN2DEC(MID($B297,25,3))),"")</f>
        <v/>
      </c>
      <c r="U297" t="str" cm="1">
        <f t="array" ref="U297">IF(M297="Control",INDEX(SR!A:A,1+BIN2DEC(MID($B297,28,2))),"")</f>
        <v/>
      </c>
    </row>
    <row r="298" spans="1:30" x14ac:dyDescent="0.25">
      <c r="A298" s="4" t="str">
        <f t="shared" si="29"/>
        <v>128</v>
      </c>
      <c r="B298" s="2" t="s">
        <v>294</v>
      </c>
      <c r="C298" s="2" t="s">
        <v>295</v>
      </c>
      <c r="D298" s="2" t="s">
        <v>928</v>
      </c>
      <c r="E298" s="2" t="s">
        <v>929</v>
      </c>
      <c r="F298" s="27" t="str" cm="1">
        <f t="array" ref="F298">INDEX(Sources!A:A, 1 + BIN2DEC(LEFT($B298,5)))</f>
        <v>SIGMA</v>
      </c>
      <c r="G298" s="27" t="str" cm="1">
        <f t="array" ref="G298">INDEX(Dest1!A:A,1+BIN2DEC(MID($B298,6,5)))</f>
        <v>TMPA</v>
      </c>
      <c r="H298" s="27" t="str" cm="1">
        <f t="array" ref="H298">INDEX(Source2!A:A,1+BIN2DEC(MID($B298,11,4)))</f>
        <v>--</v>
      </c>
      <c r="I298" s="23" cm="1">
        <f t="array" ref="I298">INDEX('D2'!A:A,1+BIN2DEC(MID($B298,16,2)))</f>
        <v>0</v>
      </c>
      <c r="J298" s="6">
        <f t="shared" si="34"/>
        <v>0</v>
      </c>
      <c r="K298" s="6">
        <f t="shared" si="30"/>
        <v>0</v>
      </c>
      <c r="L298" s="6">
        <f t="shared" si="31"/>
        <v>0</v>
      </c>
      <c r="M298" s="3" t="str" cm="1">
        <f t="array" ref="M298">INDEX(Types!A:A,1+BIN2DEC(MID($B298,20,2)))</f>
        <v>ALU</v>
      </c>
      <c r="N298" s="3" cm="1">
        <f t="array" ref="N298">IF(M298="ALU",INDEX(ALUOps!A:A,1+BIN2DEC(MID($B298,22,5))),"")</f>
        <v>31</v>
      </c>
      <c r="O298" s="3" cm="1">
        <f t="array" ref="O298">IF(M298="ALU",INDEX(TMP!A:A,1+BIN2DEC(MID($B298,27,2))),"")</f>
        <v>2</v>
      </c>
      <c r="P298" s="6">
        <f t="shared" si="32"/>
        <v>1</v>
      </c>
      <c r="Q298" t="str">
        <f t="shared" si="33"/>
        <v/>
      </c>
      <c r="R298" t="str">
        <f t="shared" si="35"/>
        <v/>
      </c>
      <c r="S298" t="str" cm="1">
        <f t="array" ref="S298">IF(M298="Control",INDEX(IC!A:A,1+BIN2DEC(MID($B298,21,4))),"")</f>
        <v/>
      </c>
      <c r="T298" t="str" cm="1">
        <f t="array" ref="T298">IF(M298="Control",INDEX(EC!A:A,1+BIN2DEC(MID($B298,25,3))),"")</f>
        <v/>
      </c>
      <c r="U298" t="str" cm="1">
        <f t="array" ref="U298">IF(M298="Control",INDEX(SR!A:A,1+BIN2DEC(MID($B298,28,2))),"")</f>
        <v/>
      </c>
      <c r="AD298" s="1" t="s">
        <v>290</v>
      </c>
    </row>
    <row r="299" spans="1:30" x14ac:dyDescent="0.25">
      <c r="A299" s="4" t="str">
        <f t="shared" si="29"/>
        <v>129</v>
      </c>
      <c r="B299" s="2" t="s">
        <v>292</v>
      </c>
      <c r="C299" s="3"/>
      <c r="D299" s="3"/>
      <c r="E299" s="3"/>
      <c r="F299" s="27" t="str" cm="1">
        <f t="array" ref="F299">INDEX(Sources!A:A, 1 + BIN2DEC(LEFT($B299,5)))</f>
        <v>SIGMA</v>
      </c>
      <c r="G299" s="27" t="str" cm="1">
        <f t="array" ref="G299">INDEX(Dest1!A:A,1+BIN2DEC(MID($B299,6,5)))</f>
        <v>TMPA</v>
      </c>
      <c r="H299" s="27" t="str" cm="1">
        <f t="array" ref="H299">INDEX(Source2!A:A,1+BIN2DEC(MID($B299,11,4)))</f>
        <v>--</v>
      </c>
      <c r="I299" s="23" cm="1">
        <f t="array" ref="I299">INDEX('D2'!A:A,1+BIN2DEC(MID($B299,16,2)))</f>
        <v>0</v>
      </c>
      <c r="J299" s="6">
        <f t="shared" si="34"/>
        <v>0</v>
      </c>
      <c r="K299" s="6">
        <f t="shared" si="30"/>
        <v>0</v>
      </c>
      <c r="L299" s="6">
        <f t="shared" si="31"/>
        <v>0</v>
      </c>
      <c r="M299" s="3" t="str" cm="1">
        <f t="array" ref="M299">INDEX(Types!A:A,1+BIN2DEC(MID($B299,20,2)))</f>
        <v>Control</v>
      </c>
      <c r="N299" s="3" t="str" cm="1">
        <f t="array" ref="N299">IF(M299="ALU",INDEX(ALUOps!A:A,1+BIN2DEC(MID($B299,22,5))),"")</f>
        <v/>
      </c>
      <c r="O299" s="3" t="str" cm="1">
        <f t="array" ref="O299">IF(M299="ALU",INDEX(TMP!A:A,1+BIN2DEC(MID($B299,27,2))),"")</f>
        <v/>
      </c>
      <c r="P299" s="6" t="str">
        <f t="shared" si="32"/>
        <v/>
      </c>
      <c r="Q299" t="str">
        <f t="shared" si="33"/>
        <v/>
      </c>
      <c r="R299" t="str">
        <f t="shared" si="35"/>
        <v/>
      </c>
      <c r="S299" cm="1">
        <f t="array" ref="S299">IF(M299="Control",INDEX(IC!A:A,1+BIN2DEC(MID($B299,21,4))),"")</f>
        <v>0</v>
      </c>
      <c r="T299" cm="1">
        <f t="array" ref="T299">IF(M299="Control",INDEX(EC!A:A,1+BIN2DEC(MID($B299,25,3))),"")</f>
        <v>0</v>
      </c>
      <c r="U299" cm="1">
        <f t="array" ref="U299">IF(M299="Control",INDEX(SR!A:A,1+BIN2DEC(MID($B299,28,2))),"")</f>
        <v>0</v>
      </c>
    </row>
    <row r="300" spans="1:30" x14ac:dyDescent="0.25">
      <c r="A300" s="4" t="str">
        <f t="shared" si="29"/>
        <v>12A</v>
      </c>
      <c r="B300" s="2" t="s">
        <v>296</v>
      </c>
      <c r="C300" s="3"/>
      <c r="D300" s="3"/>
      <c r="E300" s="3"/>
      <c r="F300" s="27" t="str" cm="1">
        <f t="array" ref="F300">INDEX(Sources!A:A, 1 + BIN2DEC(LEFT($B300,5)))</f>
        <v>UNK22</v>
      </c>
      <c r="G300" s="27" t="str" cm="1">
        <f t="array" ref="G300">INDEX(Dest1!A:A,1+BIN2DEC(MID($B300,6,5)))</f>
        <v>AH</v>
      </c>
      <c r="H300" s="27" t="str" cm="1">
        <f t="array" ref="H300">INDEX(Source2!A:A,1+BIN2DEC(MID($B300,11,4)))</f>
        <v>7</v>
      </c>
      <c r="I300" s="23" t="str" cm="1">
        <f t="array" ref="I300">INDEX('D2'!A:A,1+BIN2DEC(MID($B300,16,2)))</f>
        <v>TMPB</v>
      </c>
      <c r="J300" s="6">
        <f t="shared" si="34"/>
        <v>0</v>
      </c>
      <c r="K300" s="6">
        <f t="shared" si="30"/>
        <v>0</v>
      </c>
      <c r="L300" s="6">
        <f t="shared" si="31"/>
        <v>1</v>
      </c>
      <c r="M300" s="3" t="str" cm="1">
        <f t="array" ref="M300">INDEX(Types!A:A,1+BIN2DEC(MID($B300,20,2)))</f>
        <v>ALU</v>
      </c>
      <c r="N300" s="3" cm="1">
        <f t="array" ref="N300">IF(M300="ALU",INDEX(ALUOps!A:A,1+BIN2DEC(MID($B300,22,5))),"")</f>
        <v>31</v>
      </c>
      <c r="O300" s="3" cm="1">
        <f t="array" ref="O300">IF(M300="ALU",INDEX(TMP!A:A,1+BIN2DEC(MID($B300,27,2))),"")</f>
        <v>3</v>
      </c>
      <c r="P300" s="6">
        <f t="shared" si="32"/>
        <v>1</v>
      </c>
      <c r="Q300" t="str">
        <f t="shared" si="33"/>
        <v/>
      </c>
      <c r="R300" t="str">
        <f t="shared" si="35"/>
        <v/>
      </c>
      <c r="S300" t="str" cm="1">
        <f t="array" ref="S300">IF(M300="Control",INDEX(IC!A:A,1+BIN2DEC(MID($B300,21,4))),"")</f>
        <v/>
      </c>
      <c r="T300" t="str" cm="1">
        <f t="array" ref="T300">IF(M300="Control",INDEX(EC!A:A,1+BIN2DEC(MID($B300,25,3))),"")</f>
        <v/>
      </c>
      <c r="U300" t="str" cm="1">
        <f t="array" ref="U300">IF(M300="Control",INDEX(SR!A:A,1+BIN2DEC(MID($B300,28,2))),"")</f>
        <v/>
      </c>
    </row>
    <row r="301" spans="1:30" s="9" customFormat="1" ht="15.75" thickBot="1" x14ac:dyDescent="0.3">
      <c r="A301" s="7" t="str">
        <f t="shared" si="29"/>
        <v>12B</v>
      </c>
      <c r="B301" s="8" t="s">
        <v>287</v>
      </c>
      <c r="C301" s="10"/>
      <c r="D301" s="10"/>
      <c r="E301" s="10"/>
      <c r="F301" s="30" t="str" cm="1">
        <f t="array" ref="F301">INDEX(Sources!A:A, 1 + BIN2DEC(LEFT($B301,5)))</f>
        <v>SIGMA</v>
      </c>
      <c r="G301" s="30" t="str" cm="1">
        <f t="array" ref="G301">INDEX(Dest1!A:A,1+BIN2DEC(MID($B301,6,5)))</f>
        <v>UNK23</v>
      </c>
      <c r="H301" s="30" t="str" cm="1">
        <f t="array" ref="H301">INDEX(Source2!A:A,1+BIN2DEC(MID($B301,11,4)))</f>
        <v>--</v>
      </c>
      <c r="I301" s="26" cm="1">
        <f t="array" ref="I301">INDEX('D2'!A:A,1+BIN2DEC(MID($B301,16,2)))</f>
        <v>0</v>
      </c>
      <c r="J301" s="11">
        <f t="shared" si="34"/>
        <v>0</v>
      </c>
      <c r="K301" s="11">
        <f t="shared" si="30"/>
        <v>1</v>
      </c>
      <c r="L301" s="11">
        <f t="shared" si="31"/>
        <v>0</v>
      </c>
      <c r="M301" s="10" t="str" cm="1">
        <f t="array" ref="M301">INDEX(Types!A:A,1+BIN2DEC(MID($B301,20,2)))</f>
        <v>Control</v>
      </c>
      <c r="N301" s="10" t="str" cm="1">
        <f t="array" ref="N301">IF(M301="ALU",INDEX(ALUOps!A:A,1+BIN2DEC(MID($B301,22,5))),"")</f>
        <v/>
      </c>
      <c r="O301" s="10" t="str" cm="1">
        <f t="array" ref="O301">IF(M301="ALU",INDEX(TMP!A:A,1+BIN2DEC(MID($B301,27,2))),"")</f>
        <v/>
      </c>
      <c r="P301" s="11" t="str">
        <f t="shared" si="32"/>
        <v/>
      </c>
      <c r="Q301" s="9" t="str">
        <f t="shared" si="33"/>
        <v/>
      </c>
      <c r="R301" s="9" t="str">
        <f t="shared" si="35"/>
        <v/>
      </c>
      <c r="S301" s="9" cm="1">
        <f t="array" ref="S301">IF(M301="Control",INDEX(IC!A:A,1+BIN2DEC(MID($B301,21,4))),"")</f>
        <v>0</v>
      </c>
      <c r="T301" s="9" cm="1">
        <f t="array" ref="T301">IF(M301="Control",INDEX(EC!A:A,1+BIN2DEC(MID($B301,25,3))),"")</f>
        <v>0</v>
      </c>
      <c r="U301" s="9" cm="1">
        <f t="array" ref="U301">IF(M301="Control",INDEX(SR!A:A,1+BIN2DEC(MID($B301,28,2))),"")</f>
        <v>0</v>
      </c>
    </row>
    <row r="302" spans="1:30" x14ac:dyDescent="0.25">
      <c r="A302" s="4" t="str">
        <f t="shared" si="29"/>
        <v>12C</v>
      </c>
      <c r="B302" s="2" t="s">
        <v>297</v>
      </c>
      <c r="C302" s="2" t="s">
        <v>298</v>
      </c>
      <c r="D302" s="2" t="s">
        <v>928</v>
      </c>
      <c r="E302" s="2" t="s">
        <v>462</v>
      </c>
      <c r="F302" s="27" t="str" cm="1">
        <f t="array" ref="F302">INDEX(Sources!A:A, 1 + BIN2DEC(LEFT($B302,5)))</f>
        <v>A</v>
      </c>
      <c r="G302" s="27" t="str" cm="1">
        <f t="array" ref="G302">INDEX(Dest1!A:A,1+BIN2DEC(MID($B302,6,5)))</f>
        <v>UNK11</v>
      </c>
      <c r="H302" s="27" t="str" cm="1">
        <f t="array" ref="H302">INDEX(Source2!A:A,1+BIN2DEC(MID($B302,11,4)))</f>
        <v>4</v>
      </c>
      <c r="I302" s="23" cm="1">
        <f t="array" ref="I302">INDEX('D2'!A:A,1+BIN2DEC(MID($B302,16,2)))</f>
        <v>0</v>
      </c>
      <c r="J302" s="6">
        <f t="shared" si="34"/>
        <v>0</v>
      </c>
      <c r="K302" s="6">
        <f t="shared" si="30"/>
        <v>0</v>
      </c>
      <c r="L302" s="6">
        <f t="shared" si="31"/>
        <v>0</v>
      </c>
      <c r="M302" s="3" t="str" cm="1">
        <f t="array" ref="M302">INDEX(Types!A:A,1+BIN2DEC(MID($B302,20,2)))</f>
        <v>Control</v>
      </c>
      <c r="N302" s="3" t="str" cm="1">
        <f t="array" ref="N302">IF(M302="ALU",INDEX(ALUOps!A:A,1+BIN2DEC(MID($B302,22,5))),"")</f>
        <v/>
      </c>
      <c r="O302" s="3" t="str" cm="1">
        <f t="array" ref="O302">IF(M302="ALU",INDEX(TMP!A:A,1+BIN2DEC(MID($B302,27,2))),"")</f>
        <v/>
      </c>
      <c r="P302" s="6" t="str">
        <f t="shared" si="32"/>
        <v/>
      </c>
      <c r="Q302" t="str">
        <f t="shared" si="33"/>
        <v/>
      </c>
      <c r="R302" t="str">
        <f t="shared" si="35"/>
        <v/>
      </c>
      <c r="S302" cm="1">
        <f t="array" ref="S302">IF(M302="Control",INDEX(IC!A:A,1+BIN2DEC(MID($B302,21,4))),"")</f>
        <v>0</v>
      </c>
      <c r="T302" cm="1">
        <f t="array" ref="T302">IF(M302="Control",INDEX(EC!A:A,1+BIN2DEC(MID($B302,25,3))),"")</f>
        <v>0</v>
      </c>
      <c r="U302" cm="1">
        <f t="array" ref="U302">IF(M302="Control",INDEX(SR!A:A,1+BIN2DEC(MID($B302,28,2))),"")</f>
        <v>0</v>
      </c>
      <c r="X302" t="s">
        <v>1040</v>
      </c>
      <c r="AD302" s="1" t="s">
        <v>299</v>
      </c>
    </row>
    <row r="303" spans="1:30" x14ac:dyDescent="0.25">
      <c r="A303" s="4" t="str">
        <f t="shared" si="29"/>
        <v>12D</v>
      </c>
      <c r="B303" s="2" t="s">
        <v>245</v>
      </c>
      <c r="C303" s="3"/>
      <c r="D303" s="3"/>
      <c r="E303" s="3"/>
      <c r="F303" s="27" t="str" cm="1">
        <f t="array" ref="F303">INDEX(Sources!A:A, 1 + BIN2DEC(LEFT($B303,5)))</f>
        <v>SIGMA</v>
      </c>
      <c r="G303" s="27" t="str" cm="1">
        <f t="array" ref="G303">INDEX(Dest1!A:A,1+BIN2DEC(MID($B303,6,5)))</f>
        <v>UNK26</v>
      </c>
      <c r="H303" s="27" t="str" cm="1">
        <f t="array" ref="H303">INDEX(Source2!A:A,1+BIN2DEC(MID($B303,11,4)))</f>
        <v>--</v>
      </c>
      <c r="I303" s="23" cm="1">
        <f t="array" ref="I303">INDEX('D2'!A:A,1+BIN2DEC(MID($B303,16,2)))</f>
        <v>0</v>
      </c>
      <c r="J303" s="6">
        <f t="shared" si="34"/>
        <v>0</v>
      </c>
      <c r="K303" s="6">
        <f t="shared" si="30"/>
        <v>0</v>
      </c>
      <c r="L303" s="6">
        <f t="shared" si="31"/>
        <v>0</v>
      </c>
      <c r="M303" s="3" t="str" cm="1">
        <f t="array" ref="M303">INDEX(Types!A:A,1+BIN2DEC(MID($B303,20,2)))</f>
        <v>Control</v>
      </c>
      <c r="N303" s="3" t="str" cm="1">
        <f t="array" ref="N303">IF(M303="ALU",INDEX(ALUOps!A:A,1+BIN2DEC(MID($B303,22,5))),"")</f>
        <v/>
      </c>
      <c r="O303" s="3" t="str" cm="1">
        <f t="array" ref="O303">IF(M303="ALU",INDEX(TMP!A:A,1+BIN2DEC(MID($B303,27,2))),"")</f>
        <v/>
      </c>
      <c r="P303" s="6" t="str">
        <f t="shared" si="32"/>
        <v/>
      </c>
      <c r="Q303" t="str">
        <f t="shared" si="33"/>
        <v/>
      </c>
      <c r="R303" t="str">
        <f t="shared" si="35"/>
        <v/>
      </c>
      <c r="S303" cm="1">
        <f t="array" ref="S303">IF(M303="Control",INDEX(IC!A:A,1+BIN2DEC(MID($B303,21,4))),"")</f>
        <v>0</v>
      </c>
      <c r="T303" cm="1">
        <f t="array" ref="T303">IF(M303="Control",INDEX(EC!A:A,1+BIN2DEC(MID($B303,25,3))),"")</f>
        <v>6</v>
      </c>
      <c r="U303" cm="1">
        <f t="array" ref="U303">IF(M303="Control",INDEX(SR!A:A,1+BIN2DEC(MID($B303,28,2))),"")</f>
        <v>0</v>
      </c>
    </row>
    <row r="304" spans="1:30" x14ac:dyDescent="0.25">
      <c r="A304" s="4" t="str">
        <f t="shared" si="29"/>
        <v>12E</v>
      </c>
      <c r="B304" s="2" t="s">
        <v>300</v>
      </c>
      <c r="C304" s="3"/>
      <c r="D304" s="3"/>
      <c r="E304" s="3"/>
      <c r="F304" s="27" t="str" cm="1">
        <f t="array" ref="F304">INDEX(Sources!A:A, 1 + BIN2DEC(LEFT($B304,5)))</f>
        <v>OUT</v>
      </c>
      <c r="G304" s="27" t="str" cm="1">
        <f t="array" ref="G304">INDEX(Dest1!A:A,1+BIN2DEC(MID($B304,6,5)))</f>
        <v>UNK23</v>
      </c>
      <c r="H304" s="27" t="str" cm="1">
        <f t="array" ref="H304">INDEX(Source2!A:A,1+BIN2DEC(MID($B304,11,4)))</f>
        <v>--</v>
      </c>
      <c r="I304" s="23" cm="1">
        <f t="array" ref="I304">INDEX('D2'!A:A,1+BIN2DEC(MID($B304,16,2)))</f>
        <v>1</v>
      </c>
      <c r="J304" s="6">
        <f t="shared" si="34"/>
        <v>1</v>
      </c>
      <c r="K304" s="6">
        <f t="shared" si="30"/>
        <v>0</v>
      </c>
      <c r="L304" s="6">
        <f t="shared" si="31"/>
        <v>1</v>
      </c>
      <c r="M304" s="3" t="str" cm="1">
        <f t="array" ref="M304">INDEX(Types!A:A,1+BIN2DEC(MID($B304,20,2)))</f>
        <v>Control</v>
      </c>
      <c r="N304" s="3" t="str" cm="1">
        <f t="array" ref="N304">IF(M304="ALU",INDEX(ALUOps!A:A,1+BIN2DEC(MID($B304,22,5))),"")</f>
        <v/>
      </c>
      <c r="O304" s="3" t="str" cm="1">
        <f t="array" ref="O304">IF(M304="ALU",INDEX(TMP!A:A,1+BIN2DEC(MID($B304,27,2))),"")</f>
        <v/>
      </c>
      <c r="P304" s="6" t="str">
        <f t="shared" si="32"/>
        <v/>
      </c>
      <c r="Q304" t="str">
        <f t="shared" si="33"/>
        <v/>
      </c>
      <c r="R304" t="str">
        <f t="shared" si="35"/>
        <v/>
      </c>
      <c r="S304" cm="1">
        <f t="array" ref="S304">IF(M304="Control",INDEX(IC!A:A,1+BIN2DEC(MID($B304,21,4))),"")</f>
        <v>0</v>
      </c>
      <c r="T304" cm="1">
        <f t="array" ref="T304">IF(M304="Control",INDEX(EC!A:A,1+BIN2DEC(MID($B304,25,3))),"")</f>
        <v>0</v>
      </c>
      <c r="U304" cm="1">
        <f t="array" ref="U304">IF(M304="Control",INDEX(SR!A:A,1+BIN2DEC(MID($B304,28,2))),"")</f>
        <v>0</v>
      </c>
    </row>
    <row r="305" spans="1:30" s="9" customFormat="1" ht="15.75" thickBot="1" x14ac:dyDescent="0.3">
      <c r="A305" s="7" t="str">
        <f t="shared" si="29"/>
        <v>12F</v>
      </c>
      <c r="B305" s="8" t="s">
        <v>4</v>
      </c>
      <c r="C305" s="10"/>
      <c r="D305" s="10"/>
      <c r="E305" s="10"/>
      <c r="F305" s="30" t="str" cm="1">
        <f t="array" ref="F305">INDEX(Sources!A:A, 1 + BIN2DEC(LEFT($B305,5)))</f>
        <v>--</v>
      </c>
      <c r="G305" s="30" t="str" cm="1">
        <f t="array" ref="G305">INDEX(Dest1!A:A,1+BIN2DEC(MID($B305,6,5)))</f>
        <v>--</v>
      </c>
      <c r="H305" s="30" t="str" cm="1">
        <f t="array" ref="H305">INDEX(Source2!A:A,1+BIN2DEC(MID($B305,11,4)))</f>
        <v>--</v>
      </c>
      <c r="I305" s="26" cm="1">
        <f t="array" ref="I305">INDEX('D2'!A:A,1+BIN2DEC(MID($B305,16,2)))</f>
        <v>0</v>
      </c>
      <c r="J305" s="11">
        <f t="shared" si="34"/>
        <v>0</v>
      </c>
      <c r="K305" s="11">
        <f t="shared" si="30"/>
        <v>0</v>
      </c>
      <c r="L305" s="11">
        <f t="shared" si="31"/>
        <v>0</v>
      </c>
      <c r="M305" s="10" t="str" cm="1">
        <f t="array" ref="M305">INDEX(Types!A:A,1+BIN2DEC(MID($B305,20,2)))</f>
        <v>Control</v>
      </c>
      <c r="N305" s="10" t="str" cm="1">
        <f t="array" ref="N305">IF(M305="ALU",INDEX(ALUOps!A:A,1+BIN2DEC(MID($B305,22,5))),"")</f>
        <v/>
      </c>
      <c r="O305" s="10" t="str" cm="1">
        <f t="array" ref="O305">IF(M305="ALU",INDEX(TMP!A:A,1+BIN2DEC(MID($B305,27,2))),"")</f>
        <v/>
      </c>
      <c r="P305" s="11" t="str">
        <f t="shared" si="32"/>
        <v/>
      </c>
      <c r="Q305" s="9" t="str">
        <f t="shared" si="33"/>
        <v/>
      </c>
      <c r="R305" s="9" t="str">
        <f t="shared" si="35"/>
        <v/>
      </c>
      <c r="S305" s="9" cm="1">
        <f t="array" ref="S305">IF(M305="Control",INDEX(IC!A:A,1+BIN2DEC(MID($B305,21,4))),"")</f>
        <v>0</v>
      </c>
      <c r="T305" s="9" cm="1">
        <f t="array" ref="T305">IF(M305="Control",INDEX(EC!A:A,1+BIN2DEC(MID($B305,25,3))),"")</f>
        <v>0</v>
      </c>
      <c r="U305" s="9" cm="1">
        <f t="array" ref="U305">IF(M305="Control",INDEX(SR!A:A,1+BIN2DEC(MID($B305,28,2))),"")</f>
        <v>0</v>
      </c>
    </row>
    <row r="306" spans="1:30" x14ac:dyDescent="0.25">
      <c r="A306" s="4" t="str">
        <f t="shared" si="29"/>
        <v>130</v>
      </c>
      <c r="B306" s="2" t="s">
        <v>39</v>
      </c>
      <c r="C306" s="2" t="s">
        <v>301</v>
      </c>
      <c r="D306" s="2" t="s">
        <v>928</v>
      </c>
      <c r="E306" s="2" t="s">
        <v>462</v>
      </c>
      <c r="F306" s="27" t="str" cm="1">
        <f t="array" ref="F306">INDEX(Sources!A:A, 1 + BIN2DEC(LEFT($B306,5)))</f>
        <v>--</v>
      </c>
      <c r="G306" s="27" t="str" cm="1">
        <f t="array" ref="G306">INDEX(Dest1!A:A,1+BIN2DEC(MID($B306,6,5)))</f>
        <v>--</v>
      </c>
      <c r="H306" s="27" t="str" cm="1">
        <f t="array" ref="H306">INDEX(Source2!A:A,1+BIN2DEC(MID($B306,11,4)))</f>
        <v>--</v>
      </c>
      <c r="I306" s="23" cm="1">
        <f t="array" ref="I306">INDEX('D2'!A:A,1+BIN2DEC(MID($B306,16,2)))</f>
        <v>0</v>
      </c>
      <c r="J306" s="6">
        <f t="shared" si="34"/>
        <v>0</v>
      </c>
      <c r="K306" s="6">
        <f t="shared" si="30"/>
        <v>0</v>
      </c>
      <c r="L306" s="6">
        <f t="shared" si="31"/>
        <v>1</v>
      </c>
      <c r="M306" s="3" t="str" cm="1">
        <f t="array" ref="M306">INDEX(Types!A:A,1+BIN2DEC(MID($B306,20,2)))</f>
        <v>Control</v>
      </c>
      <c r="N306" s="3" t="str" cm="1">
        <f t="array" ref="N306">IF(M306="ALU",INDEX(ALUOps!A:A,1+BIN2DEC(MID($B306,22,5))),"")</f>
        <v/>
      </c>
      <c r="O306" s="3" t="str" cm="1">
        <f t="array" ref="O306">IF(M306="ALU",INDEX(TMP!A:A,1+BIN2DEC(MID($B306,27,2))),"")</f>
        <v/>
      </c>
      <c r="P306" s="6" t="str">
        <f t="shared" si="32"/>
        <v/>
      </c>
      <c r="Q306" t="str">
        <f t="shared" si="33"/>
        <v/>
      </c>
      <c r="R306" t="str">
        <f t="shared" si="35"/>
        <v/>
      </c>
      <c r="S306" cm="1">
        <f t="array" ref="S306">IF(M306="Control",INDEX(IC!A:A,1+BIN2DEC(MID($B306,21,4))),"")</f>
        <v>0</v>
      </c>
      <c r="T306" cm="1">
        <f t="array" ref="T306">IF(M306="Control",INDEX(EC!A:A,1+BIN2DEC(MID($B306,25,3))),"")</f>
        <v>0</v>
      </c>
      <c r="U306" cm="1">
        <f t="array" ref="U306">IF(M306="Control",INDEX(SR!A:A,1+BIN2DEC(MID($B306,28,2))),"")</f>
        <v>0</v>
      </c>
      <c r="X306" t="s">
        <v>1026</v>
      </c>
      <c r="AD306" s="1" t="s">
        <v>302</v>
      </c>
    </row>
    <row r="307" spans="1:30" x14ac:dyDescent="0.25">
      <c r="A307" s="4" t="str">
        <f t="shared" si="29"/>
        <v>131</v>
      </c>
      <c r="B307" s="2" t="s">
        <v>4</v>
      </c>
      <c r="C307" s="3"/>
      <c r="D307" s="3"/>
      <c r="E307" s="3"/>
      <c r="F307" s="27" t="str" cm="1">
        <f t="array" ref="F307">INDEX(Sources!A:A, 1 + BIN2DEC(LEFT($B307,5)))</f>
        <v>--</v>
      </c>
      <c r="G307" s="27" t="str" cm="1">
        <f t="array" ref="G307">INDEX(Dest1!A:A,1+BIN2DEC(MID($B307,6,5)))</f>
        <v>--</v>
      </c>
      <c r="H307" s="27" t="str" cm="1">
        <f t="array" ref="H307">INDEX(Source2!A:A,1+BIN2DEC(MID($B307,11,4)))</f>
        <v>--</v>
      </c>
      <c r="I307" s="23" cm="1">
        <f t="array" ref="I307">INDEX('D2'!A:A,1+BIN2DEC(MID($B307,16,2)))</f>
        <v>0</v>
      </c>
      <c r="J307" s="6">
        <f t="shared" si="34"/>
        <v>0</v>
      </c>
      <c r="K307" s="6">
        <f t="shared" si="30"/>
        <v>0</v>
      </c>
      <c r="L307" s="6">
        <f t="shared" si="31"/>
        <v>0</v>
      </c>
      <c r="M307" s="3" t="str" cm="1">
        <f t="array" ref="M307">INDEX(Types!A:A,1+BIN2DEC(MID($B307,20,2)))</f>
        <v>Control</v>
      </c>
      <c r="N307" s="3" t="str" cm="1">
        <f t="array" ref="N307">IF(M307="ALU",INDEX(ALUOps!A:A,1+BIN2DEC(MID($B307,22,5))),"")</f>
        <v/>
      </c>
      <c r="O307" s="3" t="str" cm="1">
        <f t="array" ref="O307">IF(M307="ALU",INDEX(TMP!A:A,1+BIN2DEC(MID($B307,27,2))),"")</f>
        <v/>
      </c>
      <c r="P307" s="6" t="str">
        <f t="shared" si="32"/>
        <v/>
      </c>
      <c r="Q307" t="str">
        <f t="shared" si="33"/>
        <v/>
      </c>
      <c r="R307" t="str">
        <f t="shared" si="35"/>
        <v/>
      </c>
      <c r="S307" cm="1">
        <f t="array" ref="S307">IF(M307="Control",INDEX(IC!A:A,1+BIN2DEC(MID($B307,21,4))),"")</f>
        <v>0</v>
      </c>
      <c r="T307" cm="1">
        <f t="array" ref="T307">IF(M307="Control",INDEX(EC!A:A,1+BIN2DEC(MID($B307,25,3))),"")</f>
        <v>0</v>
      </c>
      <c r="U307" cm="1">
        <f t="array" ref="U307">IF(M307="Control",INDEX(SR!A:A,1+BIN2DEC(MID($B307,28,2))),"")</f>
        <v>0</v>
      </c>
    </row>
    <row r="308" spans="1:30" x14ac:dyDescent="0.25">
      <c r="A308" s="4" t="str">
        <f t="shared" si="29"/>
        <v>132</v>
      </c>
      <c r="B308" s="2" t="s">
        <v>4</v>
      </c>
      <c r="C308" s="3"/>
      <c r="D308" s="3"/>
      <c r="E308" s="3"/>
      <c r="F308" s="27" t="str" cm="1">
        <f t="array" ref="F308">INDEX(Sources!A:A, 1 + BIN2DEC(LEFT($B308,5)))</f>
        <v>--</v>
      </c>
      <c r="G308" s="27" t="str" cm="1">
        <f t="array" ref="G308">INDEX(Dest1!A:A,1+BIN2DEC(MID($B308,6,5)))</f>
        <v>--</v>
      </c>
      <c r="H308" s="27" t="str" cm="1">
        <f t="array" ref="H308">INDEX(Source2!A:A,1+BIN2DEC(MID($B308,11,4)))</f>
        <v>--</v>
      </c>
      <c r="I308" s="23" cm="1">
        <f t="array" ref="I308">INDEX('D2'!A:A,1+BIN2DEC(MID($B308,16,2)))</f>
        <v>0</v>
      </c>
      <c r="J308" s="6">
        <f t="shared" si="34"/>
        <v>0</v>
      </c>
      <c r="K308" s="6">
        <f t="shared" si="30"/>
        <v>0</v>
      </c>
      <c r="L308" s="6">
        <f t="shared" si="31"/>
        <v>0</v>
      </c>
      <c r="M308" s="3" t="str" cm="1">
        <f t="array" ref="M308">INDEX(Types!A:A,1+BIN2DEC(MID($B308,20,2)))</f>
        <v>Control</v>
      </c>
      <c r="N308" s="3" t="str" cm="1">
        <f t="array" ref="N308">IF(M308="ALU",INDEX(ALUOps!A:A,1+BIN2DEC(MID($B308,22,5))),"")</f>
        <v/>
      </c>
      <c r="O308" s="3" t="str" cm="1">
        <f t="array" ref="O308">IF(M308="ALU",INDEX(TMP!A:A,1+BIN2DEC(MID($B308,27,2))),"")</f>
        <v/>
      </c>
      <c r="P308" s="6" t="str">
        <f t="shared" si="32"/>
        <v/>
      </c>
      <c r="Q308" t="str">
        <f t="shared" si="33"/>
        <v/>
      </c>
      <c r="R308" t="str">
        <f t="shared" si="35"/>
        <v/>
      </c>
      <c r="S308" cm="1">
        <f t="array" ref="S308">IF(M308="Control",INDEX(IC!A:A,1+BIN2DEC(MID($B308,21,4))),"")</f>
        <v>0</v>
      </c>
      <c r="T308" cm="1">
        <f t="array" ref="T308">IF(M308="Control",INDEX(EC!A:A,1+BIN2DEC(MID($B308,25,3))),"")</f>
        <v>0</v>
      </c>
      <c r="U308" cm="1">
        <f t="array" ref="U308">IF(M308="Control",INDEX(SR!A:A,1+BIN2DEC(MID($B308,28,2))),"")</f>
        <v>0</v>
      </c>
    </row>
    <row r="309" spans="1:30" s="9" customFormat="1" ht="15.75" thickBot="1" x14ac:dyDescent="0.3">
      <c r="A309" s="7" t="str">
        <f t="shared" si="29"/>
        <v>133</v>
      </c>
      <c r="B309" s="8" t="s">
        <v>4</v>
      </c>
      <c r="C309" s="10"/>
      <c r="D309" s="10"/>
      <c r="E309" s="10"/>
      <c r="F309" s="30" t="str" cm="1">
        <f t="array" ref="F309">INDEX(Sources!A:A, 1 + BIN2DEC(LEFT($B309,5)))</f>
        <v>--</v>
      </c>
      <c r="G309" s="30" t="str" cm="1">
        <f t="array" ref="G309">INDEX(Dest1!A:A,1+BIN2DEC(MID($B309,6,5)))</f>
        <v>--</v>
      </c>
      <c r="H309" s="30" t="str" cm="1">
        <f t="array" ref="H309">INDEX(Source2!A:A,1+BIN2DEC(MID($B309,11,4)))</f>
        <v>--</v>
      </c>
      <c r="I309" s="26" cm="1">
        <f t="array" ref="I309">INDEX('D2'!A:A,1+BIN2DEC(MID($B309,16,2)))</f>
        <v>0</v>
      </c>
      <c r="J309" s="11">
        <f t="shared" si="34"/>
        <v>0</v>
      </c>
      <c r="K309" s="11">
        <f t="shared" si="30"/>
        <v>0</v>
      </c>
      <c r="L309" s="11">
        <f t="shared" si="31"/>
        <v>0</v>
      </c>
      <c r="M309" s="10" t="str" cm="1">
        <f t="array" ref="M309">INDEX(Types!A:A,1+BIN2DEC(MID($B309,20,2)))</f>
        <v>Control</v>
      </c>
      <c r="N309" s="10" t="str" cm="1">
        <f t="array" ref="N309">IF(M309="ALU",INDEX(ALUOps!A:A,1+BIN2DEC(MID($B309,22,5))),"")</f>
        <v/>
      </c>
      <c r="O309" s="10" t="str" cm="1">
        <f t="array" ref="O309">IF(M309="ALU",INDEX(TMP!A:A,1+BIN2DEC(MID($B309,27,2))),"")</f>
        <v/>
      </c>
      <c r="P309" s="11" t="str">
        <f t="shared" si="32"/>
        <v/>
      </c>
      <c r="Q309" s="9" t="str">
        <f t="shared" si="33"/>
        <v/>
      </c>
      <c r="R309" s="9" t="str">
        <f t="shared" si="35"/>
        <v/>
      </c>
      <c r="S309" s="9" cm="1">
        <f t="array" ref="S309">IF(M309="Control",INDEX(IC!A:A,1+BIN2DEC(MID($B309,21,4))),"")</f>
        <v>0</v>
      </c>
      <c r="T309" s="9" cm="1">
        <f t="array" ref="T309">IF(M309="Control",INDEX(EC!A:A,1+BIN2DEC(MID($B309,25,3))),"")</f>
        <v>0</v>
      </c>
      <c r="U309" s="9" cm="1">
        <f t="array" ref="U309">IF(M309="Control",INDEX(SR!A:A,1+BIN2DEC(MID($B309,28,2))),"")</f>
        <v>0</v>
      </c>
    </row>
    <row r="310" spans="1:30" x14ac:dyDescent="0.25">
      <c r="A310" s="4" t="str">
        <f t="shared" si="29"/>
        <v>134</v>
      </c>
      <c r="B310" s="2" t="s">
        <v>303</v>
      </c>
      <c r="C310" s="2" t="s">
        <v>304</v>
      </c>
      <c r="D310" s="2" t="s">
        <v>928</v>
      </c>
      <c r="E310" s="2" t="s">
        <v>462</v>
      </c>
      <c r="F310" s="27" t="str" cm="1">
        <f t="array" ref="F310">INDEX(Sources!A:A, 1 + BIN2DEC(LEFT($B310,5)))</f>
        <v>C</v>
      </c>
      <c r="G310" s="27" t="str" cm="1">
        <f t="array" ref="G310">INDEX(Dest1!A:A,1+BIN2DEC(MID($B310,6,5)))</f>
        <v>LC</v>
      </c>
      <c r="H310" s="27" t="str" cm="1">
        <f t="array" ref="H310">INDEX(Source2!A:A,1+BIN2DEC(MID($B310,11,4)))</f>
        <v>--</v>
      </c>
      <c r="I310" s="23" cm="1">
        <f t="array" ref="I310">INDEX('D2'!A:A,1+BIN2DEC(MID($B310,16,2)))</f>
        <v>0</v>
      </c>
      <c r="J310" s="6">
        <f t="shared" si="34"/>
        <v>0</v>
      </c>
      <c r="K310" s="6">
        <f t="shared" si="30"/>
        <v>0</v>
      </c>
      <c r="L310" s="6">
        <f t="shared" si="31"/>
        <v>0</v>
      </c>
      <c r="M310" s="3" t="str" cm="1">
        <f t="array" ref="M310">INDEX(Types!A:A,1+BIN2DEC(MID($B310,20,2)))</f>
        <v>Control</v>
      </c>
      <c r="N310" s="3" t="str" cm="1">
        <f t="array" ref="N310">IF(M310="ALU",INDEX(ALUOps!A:A,1+BIN2DEC(MID($B310,22,5))),"")</f>
        <v/>
      </c>
      <c r="O310" s="3" t="str" cm="1">
        <f t="array" ref="O310">IF(M310="ALU",INDEX(TMP!A:A,1+BIN2DEC(MID($B310,27,2))),"")</f>
        <v/>
      </c>
      <c r="P310" s="6" t="str">
        <f t="shared" si="32"/>
        <v/>
      </c>
      <c r="Q310" t="str">
        <f t="shared" si="33"/>
        <v/>
      </c>
      <c r="R310" t="str">
        <f t="shared" si="35"/>
        <v/>
      </c>
      <c r="S310" cm="1">
        <f t="array" ref="S310">IF(M310="Control",INDEX(IC!A:A,1+BIN2DEC(MID($B310,21,4))),"")</f>
        <v>0</v>
      </c>
      <c r="T310" cm="1">
        <f t="array" ref="T310">IF(M310="Control",INDEX(EC!A:A,1+BIN2DEC(MID($B310,25,3))),"")</f>
        <v>0</v>
      </c>
      <c r="U310" cm="1">
        <f t="array" ref="U310">IF(M310="Control",INDEX(SR!A:A,1+BIN2DEC(MID($B310,28,2))),"")</f>
        <v>0</v>
      </c>
      <c r="X310" t="s">
        <v>1027</v>
      </c>
      <c r="AD310" s="1" t="s">
        <v>305</v>
      </c>
    </row>
    <row r="311" spans="1:30" x14ac:dyDescent="0.25">
      <c r="A311" s="4" t="str">
        <f t="shared" si="29"/>
        <v>135</v>
      </c>
      <c r="B311" s="2" t="s">
        <v>4</v>
      </c>
      <c r="C311" s="3"/>
      <c r="D311" s="3"/>
      <c r="E311" s="3"/>
      <c r="F311" s="27" t="str" cm="1">
        <f t="array" ref="F311">INDEX(Sources!A:A, 1 + BIN2DEC(LEFT($B311,5)))</f>
        <v>--</v>
      </c>
      <c r="G311" s="27" t="str" cm="1">
        <f t="array" ref="G311">INDEX(Dest1!A:A,1+BIN2DEC(MID($B311,6,5)))</f>
        <v>--</v>
      </c>
      <c r="H311" s="27" t="str" cm="1">
        <f t="array" ref="H311">INDEX(Source2!A:A,1+BIN2DEC(MID($B311,11,4)))</f>
        <v>--</v>
      </c>
      <c r="I311" s="23" cm="1">
        <f t="array" ref="I311">INDEX('D2'!A:A,1+BIN2DEC(MID($B311,16,2)))</f>
        <v>0</v>
      </c>
      <c r="J311" s="6">
        <f t="shared" si="34"/>
        <v>0</v>
      </c>
      <c r="K311" s="6">
        <f t="shared" si="30"/>
        <v>0</v>
      </c>
      <c r="L311" s="6">
        <f t="shared" si="31"/>
        <v>0</v>
      </c>
      <c r="M311" s="3" t="str" cm="1">
        <f t="array" ref="M311">INDEX(Types!A:A,1+BIN2DEC(MID($B311,20,2)))</f>
        <v>Control</v>
      </c>
      <c r="N311" s="3" t="str" cm="1">
        <f t="array" ref="N311">IF(M311="ALU",INDEX(ALUOps!A:A,1+BIN2DEC(MID($B311,22,5))),"")</f>
        <v/>
      </c>
      <c r="O311" s="3" t="str" cm="1">
        <f t="array" ref="O311">IF(M311="ALU",INDEX(TMP!A:A,1+BIN2DEC(MID($B311,27,2))),"")</f>
        <v/>
      </c>
      <c r="P311" s="6" t="str">
        <f t="shared" si="32"/>
        <v/>
      </c>
      <c r="Q311" t="str">
        <f t="shared" si="33"/>
        <v/>
      </c>
      <c r="R311" t="str">
        <f t="shared" si="35"/>
        <v/>
      </c>
      <c r="S311" cm="1">
        <f t="array" ref="S311">IF(M311="Control",INDEX(IC!A:A,1+BIN2DEC(MID($B311,21,4))),"")</f>
        <v>0</v>
      </c>
      <c r="T311" cm="1">
        <f t="array" ref="T311">IF(M311="Control",INDEX(EC!A:A,1+BIN2DEC(MID($B311,25,3))),"")</f>
        <v>0</v>
      </c>
      <c r="U311" cm="1">
        <f t="array" ref="U311">IF(M311="Control",INDEX(SR!A:A,1+BIN2DEC(MID($B311,28,2))),"")</f>
        <v>0</v>
      </c>
    </row>
    <row r="312" spans="1:30" x14ac:dyDescent="0.25">
      <c r="A312" s="4" t="str">
        <f t="shared" si="29"/>
        <v>136</v>
      </c>
      <c r="B312" s="2" t="s">
        <v>306</v>
      </c>
      <c r="C312" s="3"/>
      <c r="D312" s="3"/>
      <c r="E312" s="3"/>
      <c r="F312" s="27" t="str" cm="1">
        <f t="array" ref="F312">INDEX(Sources!A:A, 1 + BIN2DEC(LEFT($B312,5)))</f>
        <v>Q</v>
      </c>
      <c r="G312" s="27" t="str" cm="1">
        <f t="array" ref="G312">INDEX(Dest1!A:A,1+BIN2DEC(MID($B312,6,5)))</f>
        <v>UNK11</v>
      </c>
      <c r="H312" s="27" t="str" cm="1">
        <f t="array" ref="H312">INDEX(Source2!A:A,1+BIN2DEC(MID($B312,11,4)))</f>
        <v>--</v>
      </c>
      <c r="I312" s="23" cm="1">
        <f t="array" ref="I312">INDEX('D2'!A:A,1+BIN2DEC(MID($B312,16,2)))</f>
        <v>0</v>
      </c>
      <c r="J312" s="6">
        <f t="shared" si="34"/>
        <v>0</v>
      </c>
      <c r="K312" s="6">
        <f t="shared" si="30"/>
        <v>0</v>
      </c>
      <c r="L312" s="6">
        <f t="shared" si="31"/>
        <v>0</v>
      </c>
      <c r="M312" s="3" t="str" cm="1">
        <f t="array" ref="M312">INDEX(Types!A:A,1+BIN2DEC(MID($B312,20,2)))</f>
        <v>Jump</v>
      </c>
      <c r="N312" s="3" t="str" cm="1">
        <f t="array" ref="N312">IF(M312="ALU",INDEX(ALUOps!A:A,1+BIN2DEC(MID($B312,22,5))),"")</f>
        <v/>
      </c>
      <c r="O312" s="3" t="str" cm="1">
        <f t="array" ref="O312">IF(M312="ALU",INDEX(TMP!A:A,1+BIN2DEC(MID($B312,27,2))),"")</f>
        <v/>
      </c>
      <c r="P312" s="6" t="str">
        <f t="shared" si="32"/>
        <v/>
      </c>
      <c r="Q312">
        <f t="shared" si="33"/>
        <v>3</v>
      </c>
      <c r="R312">
        <f t="shared" si="35"/>
        <v>4</v>
      </c>
      <c r="S312" t="str" cm="1">
        <f t="array" ref="S312">IF(M312="Control",INDEX(IC!A:A,1+BIN2DEC(MID($B312,21,4))),"")</f>
        <v/>
      </c>
      <c r="T312" t="str" cm="1">
        <f t="array" ref="T312">IF(M312="Control",INDEX(EC!A:A,1+BIN2DEC(MID($B312,25,3))),"")</f>
        <v/>
      </c>
      <c r="U312" t="str" cm="1">
        <f t="array" ref="U312">IF(M312="Control",INDEX(SR!A:A,1+BIN2DEC(MID($B312,28,2))),"")</f>
        <v/>
      </c>
    </row>
    <row r="313" spans="1:30" x14ac:dyDescent="0.25">
      <c r="A313" s="4" t="str">
        <f t="shared" si="29"/>
        <v>137</v>
      </c>
      <c r="B313" s="2" t="s">
        <v>39</v>
      </c>
      <c r="C313" s="3"/>
      <c r="D313" s="3"/>
      <c r="E313" s="3"/>
      <c r="F313" s="27" t="str" cm="1">
        <f t="array" ref="F313">INDEX(Sources!A:A, 1 + BIN2DEC(LEFT($B313,5)))</f>
        <v>--</v>
      </c>
      <c r="G313" s="27" t="str" cm="1">
        <f t="array" ref="G313">INDEX(Dest1!A:A,1+BIN2DEC(MID($B313,6,5)))</f>
        <v>--</v>
      </c>
      <c r="H313" s="27" t="str" cm="1">
        <f t="array" ref="H313">INDEX(Source2!A:A,1+BIN2DEC(MID($B313,11,4)))</f>
        <v>--</v>
      </c>
      <c r="I313" s="23" cm="1">
        <f t="array" ref="I313">INDEX('D2'!A:A,1+BIN2DEC(MID($B313,16,2)))</f>
        <v>0</v>
      </c>
      <c r="J313" s="6">
        <f t="shared" si="34"/>
        <v>0</v>
      </c>
      <c r="K313" s="6">
        <f t="shared" si="30"/>
        <v>0</v>
      </c>
      <c r="L313" s="6">
        <f t="shared" si="31"/>
        <v>1</v>
      </c>
      <c r="M313" s="3" t="str" cm="1">
        <f t="array" ref="M313">INDEX(Types!A:A,1+BIN2DEC(MID($B313,20,2)))</f>
        <v>Control</v>
      </c>
      <c r="N313" s="3" t="str" cm="1">
        <f t="array" ref="N313">IF(M313="ALU",INDEX(ALUOps!A:A,1+BIN2DEC(MID($B313,22,5))),"")</f>
        <v/>
      </c>
      <c r="O313" s="3" t="str" cm="1">
        <f t="array" ref="O313">IF(M313="ALU",INDEX(TMP!A:A,1+BIN2DEC(MID($B313,27,2))),"")</f>
        <v/>
      </c>
      <c r="P313" s="6" t="str">
        <f t="shared" si="32"/>
        <v/>
      </c>
      <c r="Q313" t="str">
        <f t="shared" si="33"/>
        <v/>
      </c>
      <c r="R313" t="str">
        <f t="shared" si="35"/>
        <v/>
      </c>
      <c r="S313" cm="1">
        <f t="array" ref="S313">IF(M313="Control",INDEX(IC!A:A,1+BIN2DEC(MID($B313,21,4))),"")</f>
        <v>0</v>
      </c>
      <c r="T313" cm="1">
        <f t="array" ref="T313">IF(M313="Control",INDEX(EC!A:A,1+BIN2DEC(MID($B313,25,3))),"")</f>
        <v>0</v>
      </c>
      <c r="U313" cm="1">
        <f t="array" ref="U313">IF(M313="Control",INDEX(SR!A:A,1+BIN2DEC(MID($B313,28,2))),"")</f>
        <v>0</v>
      </c>
    </row>
    <row r="314" spans="1:30" x14ac:dyDescent="0.25">
      <c r="A314" s="4" t="str">
        <f t="shared" si="29"/>
        <v>138</v>
      </c>
      <c r="B314" s="2" t="s">
        <v>307</v>
      </c>
      <c r="C314" s="2" t="s">
        <v>308</v>
      </c>
      <c r="D314" s="2" t="s">
        <v>928</v>
      </c>
      <c r="E314" s="2" t="s">
        <v>929</v>
      </c>
      <c r="F314" s="27" t="str" cm="1">
        <f t="array" ref="F314">INDEX(Sources!A:A, 1 + BIN2DEC(LEFT($B314,5)))</f>
        <v>LC</v>
      </c>
      <c r="G314" s="27" t="str" cm="1">
        <f t="array" ref="G314">INDEX(Dest1!A:A,1+BIN2DEC(MID($B314,6,5)))</f>
        <v>C</v>
      </c>
      <c r="H314" s="27" t="str" cm="1">
        <f t="array" ref="H314">INDEX(Source2!A:A,1+BIN2DEC(MID($B314,11,4)))</f>
        <v>--</v>
      </c>
      <c r="I314" s="23" cm="1">
        <f t="array" ref="I314">INDEX('D2'!A:A,1+BIN2DEC(MID($B314,16,2)))</f>
        <v>0</v>
      </c>
      <c r="J314" s="6">
        <f t="shared" si="34"/>
        <v>0</v>
      </c>
      <c r="K314" s="6">
        <f t="shared" si="30"/>
        <v>0</v>
      </c>
      <c r="L314" s="6">
        <f t="shared" si="31"/>
        <v>0</v>
      </c>
      <c r="M314" s="3" t="str" cm="1">
        <f t="array" ref="M314">INDEX(Types!A:A,1+BIN2DEC(MID($B314,20,2)))</f>
        <v>Control</v>
      </c>
      <c r="N314" s="3" t="str" cm="1">
        <f t="array" ref="N314">IF(M314="ALU",INDEX(ALUOps!A:A,1+BIN2DEC(MID($B314,22,5))),"")</f>
        <v/>
      </c>
      <c r="O314" s="3" t="str" cm="1">
        <f t="array" ref="O314">IF(M314="ALU",INDEX(TMP!A:A,1+BIN2DEC(MID($B314,27,2))),"")</f>
        <v/>
      </c>
      <c r="P314" s="6" t="str">
        <f t="shared" si="32"/>
        <v/>
      </c>
      <c r="Q314" t="str">
        <f t="shared" si="33"/>
        <v/>
      </c>
      <c r="R314" t="str">
        <f t="shared" si="35"/>
        <v/>
      </c>
      <c r="S314" cm="1">
        <f t="array" ref="S314">IF(M314="Control",INDEX(IC!A:A,1+BIN2DEC(MID($B314,21,4))),"")</f>
        <v>0</v>
      </c>
      <c r="T314" cm="1">
        <f t="array" ref="T314">IF(M314="Control",INDEX(EC!A:A,1+BIN2DEC(MID($B314,25,3))),"")</f>
        <v>0</v>
      </c>
      <c r="U314" cm="1">
        <f t="array" ref="U314">IF(M314="Control",INDEX(SR!A:A,1+BIN2DEC(MID($B314,28,2))),"")</f>
        <v>0</v>
      </c>
      <c r="AD314" s="1" t="s">
        <v>309</v>
      </c>
    </row>
    <row r="315" spans="1:30" x14ac:dyDescent="0.25">
      <c r="A315" s="4" t="str">
        <f t="shared" si="29"/>
        <v>139</v>
      </c>
      <c r="B315" s="2" t="s">
        <v>310</v>
      </c>
      <c r="C315" s="3"/>
      <c r="D315" s="3"/>
      <c r="E315" s="3"/>
      <c r="F315" s="27" t="str" cm="1">
        <f t="array" ref="F315">INDEX(Sources!A:A, 1 + BIN2DEC(LEFT($B315,5)))</f>
        <v>TMPB</v>
      </c>
      <c r="G315" s="27" t="str" cm="1">
        <f t="array" ref="G315">INDEX(Dest1!A:A,1+BIN2DEC(MID($B315,6,5)))</f>
        <v>UNK10</v>
      </c>
      <c r="H315" s="27" t="str" cm="1">
        <f t="array" ref="H315">INDEX(Source2!A:A,1+BIN2DEC(MID($B315,11,4)))</f>
        <v>--</v>
      </c>
      <c r="I315" s="23" cm="1">
        <f t="array" ref="I315">INDEX('D2'!A:A,1+BIN2DEC(MID($B315,16,2)))</f>
        <v>0</v>
      </c>
      <c r="J315" s="6">
        <f t="shared" si="34"/>
        <v>0</v>
      </c>
      <c r="K315" s="6">
        <f t="shared" si="30"/>
        <v>0</v>
      </c>
      <c r="L315" s="6">
        <f t="shared" si="31"/>
        <v>0</v>
      </c>
      <c r="M315" s="3" t="str" cm="1">
        <f t="array" ref="M315">INDEX(Types!A:A,1+BIN2DEC(MID($B315,20,2)))</f>
        <v>Control</v>
      </c>
      <c r="N315" s="3" t="str" cm="1">
        <f t="array" ref="N315">IF(M315="ALU",INDEX(ALUOps!A:A,1+BIN2DEC(MID($B315,22,5))),"")</f>
        <v/>
      </c>
      <c r="O315" s="3" t="str" cm="1">
        <f t="array" ref="O315">IF(M315="ALU",INDEX(TMP!A:A,1+BIN2DEC(MID($B315,27,2))),"")</f>
        <v/>
      </c>
      <c r="P315" s="6" t="str">
        <f t="shared" si="32"/>
        <v/>
      </c>
      <c r="Q315" t="str">
        <f t="shared" si="33"/>
        <v/>
      </c>
      <c r="R315" t="str">
        <f t="shared" si="35"/>
        <v/>
      </c>
      <c r="S315" cm="1">
        <f t="array" ref="S315">IF(M315="Control",INDEX(IC!A:A,1+BIN2DEC(MID($B315,21,4))),"")</f>
        <v>7</v>
      </c>
      <c r="T315" cm="1">
        <f t="array" ref="T315">IF(M315="Control",INDEX(EC!A:A,1+BIN2DEC(MID($B315,25,3))),"")</f>
        <v>0</v>
      </c>
      <c r="U315" cm="1">
        <f t="array" ref="U315">IF(M315="Control",INDEX(SR!A:A,1+BIN2DEC(MID($B315,28,2))),"")</f>
        <v>0</v>
      </c>
    </row>
    <row r="316" spans="1:30" x14ac:dyDescent="0.25">
      <c r="A316" s="4" t="str">
        <f t="shared" si="29"/>
        <v>13A</v>
      </c>
      <c r="B316" s="2" t="s">
        <v>311</v>
      </c>
      <c r="C316" s="3"/>
      <c r="D316" s="3"/>
      <c r="E316" s="3"/>
      <c r="F316" s="27" t="str" cm="1">
        <f t="array" ref="F316">INDEX(Sources!A:A, 1 + BIN2DEC(LEFT($B316,5)))</f>
        <v>UNK27</v>
      </c>
      <c r="G316" s="27" t="str" cm="1">
        <f t="array" ref="G316">INDEX(Dest1!A:A,1+BIN2DEC(MID($B316,6,5)))</f>
        <v>TMPB</v>
      </c>
      <c r="H316" s="27" t="str" cm="1">
        <f t="array" ref="H316">INDEX(Source2!A:A,1+BIN2DEC(MID($B316,11,4)))</f>
        <v>--</v>
      </c>
      <c r="I316" s="23" cm="1">
        <f t="array" ref="I316">INDEX('D2'!A:A,1+BIN2DEC(MID($B316,16,2)))</f>
        <v>0</v>
      </c>
      <c r="J316" s="6">
        <f t="shared" si="34"/>
        <v>0</v>
      </c>
      <c r="K316" s="6">
        <f t="shared" si="30"/>
        <v>0</v>
      </c>
      <c r="L316" s="6">
        <f t="shared" si="31"/>
        <v>0</v>
      </c>
      <c r="M316" s="3" t="str" cm="1">
        <f t="array" ref="M316">INDEX(Types!A:A,1+BIN2DEC(MID($B316,20,2)))</f>
        <v>ALU</v>
      </c>
      <c r="N316" s="3" cm="1">
        <f t="array" ref="N316">IF(M316="ALU",INDEX(ALUOps!A:A,1+BIN2DEC(MID($B316,22,5))),"")</f>
        <v>31</v>
      </c>
      <c r="O316" s="3" cm="1">
        <f t="array" ref="O316">IF(M316="ALU",INDEX(TMP!A:A,1+BIN2DEC(MID($B316,27,2))),"")</f>
        <v>3</v>
      </c>
      <c r="P316" s="6">
        <f t="shared" si="32"/>
        <v>1</v>
      </c>
      <c r="Q316" t="str">
        <f t="shared" si="33"/>
        <v/>
      </c>
      <c r="R316" t="str">
        <f t="shared" si="35"/>
        <v/>
      </c>
      <c r="S316" t="str" cm="1">
        <f t="array" ref="S316">IF(M316="Control",INDEX(IC!A:A,1+BIN2DEC(MID($B316,21,4))),"")</f>
        <v/>
      </c>
      <c r="T316" t="str" cm="1">
        <f t="array" ref="T316">IF(M316="Control",INDEX(EC!A:A,1+BIN2DEC(MID($B316,25,3))),"")</f>
        <v/>
      </c>
      <c r="U316" t="str" cm="1">
        <f t="array" ref="U316">IF(M316="Control",INDEX(SR!A:A,1+BIN2DEC(MID($B316,28,2))),"")</f>
        <v/>
      </c>
    </row>
    <row r="317" spans="1:30" s="9" customFormat="1" ht="15.75" thickBot="1" x14ac:dyDescent="0.3">
      <c r="A317" s="7" t="str">
        <f t="shared" si="29"/>
        <v>13B</v>
      </c>
      <c r="B317" s="8" t="s">
        <v>62</v>
      </c>
      <c r="C317" s="10"/>
      <c r="D317" s="10"/>
      <c r="E317" s="10"/>
      <c r="F317" s="30" t="str" cm="1">
        <f t="array" ref="F317">INDEX(Sources!A:A, 1 + BIN2DEC(LEFT($B317,5)))</f>
        <v>SIGMA</v>
      </c>
      <c r="G317" s="30" t="str" cm="1">
        <f t="array" ref="G317">INDEX(Dest1!A:A,1+BIN2DEC(MID($B317,6,5)))</f>
        <v>PC</v>
      </c>
      <c r="H317" s="30" t="str" cm="1">
        <f t="array" ref="H317">INDEX(Source2!A:A,1+BIN2DEC(MID($B317,11,4)))</f>
        <v>--</v>
      </c>
      <c r="I317" s="26" cm="1">
        <f t="array" ref="I317">INDEX('D2'!A:A,1+BIN2DEC(MID($B317,16,2)))</f>
        <v>0</v>
      </c>
      <c r="J317" s="11">
        <f t="shared" si="34"/>
        <v>0</v>
      </c>
      <c r="K317" s="11">
        <f t="shared" si="30"/>
        <v>0</v>
      </c>
      <c r="L317" s="11">
        <f t="shared" si="31"/>
        <v>1</v>
      </c>
      <c r="M317" s="10" t="str" cm="1">
        <f t="array" ref="M317">INDEX(Types!A:A,1+BIN2DEC(MID($B317,20,2)))</f>
        <v>Control</v>
      </c>
      <c r="N317" s="10" t="str" cm="1">
        <f t="array" ref="N317">IF(M317="ALU",INDEX(ALUOps!A:A,1+BIN2DEC(MID($B317,22,5))),"")</f>
        <v/>
      </c>
      <c r="O317" s="10" t="str" cm="1">
        <f t="array" ref="O317">IF(M317="ALU",INDEX(TMP!A:A,1+BIN2DEC(MID($B317,27,2))),"")</f>
        <v/>
      </c>
      <c r="P317" s="11" t="str">
        <f t="shared" si="32"/>
        <v/>
      </c>
      <c r="Q317" s="9" t="str">
        <f t="shared" si="33"/>
        <v/>
      </c>
      <c r="R317" s="9" t="str">
        <f t="shared" si="35"/>
        <v/>
      </c>
      <c r="S317" s="9" cm="1">
        <f t="array" ref="S317">IF(M317="Control",INDEX(IC!A:A,1+BIN2DEC(MID($B317,21,4))),"")</f>
        <v>6</v>
      </c>
      <c r="T317" s="9" cm="1">
        <f t="array" ref="T317">IF(M317="Control",INDEX(EC!A:A,1+BIN2DEC(MID($B317,25,3))),"")</f>
        <v>0</v>
      </c>
      <c r="U317" s="9" cm="1">
        <f t="array" ref="U317">IF(M317="Control",INDEX(SR!A:A,1+BIN2DEC(MID($B317,28,2))),"")</f>
        <v>0</v>
      </c>
    </row>
    <row r="318" spans="1:30" x14ac:dyDescent="0.25">
      <c r="A318" s="4" t="str">
        <f t="shared" si="29"/>
        <v>13C</v>
      </c>
      <c r="B318" s="2" t="s">
        <v>312</v>
      </c>
      <c r="C318" s="2" t="s">
        <v>313</v>
      </c>
      <c r="D318" s="2" t="s">
        <v>928</v>
      </c>
      <c r="E318" s="2" t="s">
        <v>462</v>
      </c>
      <c r="F318" s="27" t="str" cm="1">
        <f t="array" ref="F318">INDEX(Sources!A:A, 1 + BIN2DEC(LEFT($B318,5)))</f>
        <v>Q</v>
      </c>
      <c r="G318" s="27" t="str" cm="1">
        <f t="array" ref="G318">INDEX(Dest1!A:A,1+BIN2DEC(MID($B318,6,5)))</f>
        <v>UNK11</v>
      </c>
      <c r="H318" s="27" t="str" cm="1">
        <f t="array" ref="H318">INDEX(Source2!A:A,1+BIN2DEC(MID($B318,11,4)))</f>
        <v>6</v>
      </c>
      <c r="I318" s="23" cm="1">
        <f t="array" ref="I318">INDEX('D2'!A:A,1+BIN2DEC(MID($B318,16,2)))</f>
        <v>0</v>
      </c>
      <c r="J318" s="6">
        <f t="shared" si="34"/>
        <v>0</v>
      </c>
      <c r="K318" s="6">
        <f t="shared" si="30"/>
        <v>0</v>
      </c>
      <c r="L318" s="6">
        <f t="shared" si="31"/>
        <v>0</v>
      </c>
      <c r="M318" s="3" t="str" cm="1">
        <f t="array" ref="M318">INDEX(Types!A:A,1+BIN2DEC(MID($B318,20,2)))</f>
        <v>ALU</v>
      </c>
      <c r="N318" s="3" cm="1">
        <f t="array" ref="N318">IF(M318="ALU",INDEX(ALUOps!A:A,1+BIN2DEC(MID($B318,22,5))),"")</f>
        <v>6</v>
      </c>
      <c r="O318" s="3" cm="1">
        <f t="array" ref="O318">IF(M318="ALU",INDEX(TMP!A:A,1+BIN2DEC(MID($B318,27,2))),"")</f>
        <v>2</v>
      </c>
      <c r="P318" s="6">
        <f t="shared" si="32"/>
        <v>1</v>
      </c>
      <c r="Q318" t="str">
        <f t="shared" si="33"/>
        <v/>
      </c>
      <c r="R318" t="str">
        <f t="shared" si="35"/>
        <v/>
      </c>
      <c r="S318" t="str" cm="1">
        <f t="array" ref="S318">IF(M318="Control",INDEX(IC!A:A,1+BIN2DEC(MID($B318,21,4))),"")</f>
        <v/>
      </c>
      <c r="T318" t="str" cm="1">
        <f t="array" ref="T318">IF(M318="Control",INDEX(EC!A:A,1+BIN2DEC(MID($B318,25,3))),"")</f>
        <v/>
      </c>
      <c r="U318" t="str" cm="1">
        <f t="array" ref="U318">IF(M318="Control",INDEX(SR!A:A,1+BIN2DEC(MID($B318,28,2))),"")</f>
        <v/>
      </c>
      <c r="X318" t="s">
        <v>1028</v>
      </c>
      <c r="AD318" s="1" t="s">
        <v>314</v>
      </c>
    </row>
    <row r="319" spans="1:30" x14ac:dyDescent="0.25">
      <c r="A319" s="4" t="str">
        <f t="shared" si="29"/>
        <v>13D</v>
      </c>
      <c r="B319" s="2" t="s">
        <v>315</v>
      </c>
      <c r="C319" s="3"/>
      <c r="D319" s="3"/>
      <c r="E319" s="3"/>
      <c r="F319" s="27" t="str" cm="1">
        <f t="array" ref="F319">INDEX(Sources!A:A, 1 + BIN2DEC(LEFT($B319,5)))</f>
        <v>SIGMA</v>
      </c>
      <c r="G319" s="27" t="str" cm="1">
        <f t="array" ref="G319">INDEX(Dest1!A:A,1+BIN2DEC(MID($B319,6,5)))</f>
        <v>C</v>
      </c>
      <c r="H319" s="27" t="str" cm="1">
        <f t="array" ref="H319">INDEX(Source2!A:A,1+BIN2DEC(MID($B319,11,4)))</f>
        <v>--</v>
      </c>
      <c r="I319" s="23" cm="1">
        <f t="array" ref="I319">INDEX('D2'!A:A,1+BIN2DEC(MID($B319,16,2)))</f>
        <v>0</v>
      </c>
      <c r="J319" s="6">
        <f t="shared" si="34"/>
        <v>0</v>
      </c>
      <c r="K319" s="6">
        <f t="shared" si="30"/>
        <v>0</v>
      </c>
      <c r="L319" s="6">
        <f t="shared" si="31"/>
        <v>0</v>
      </c>
      <c r="M319" s="3" t="str" cm="1">
        <f t="array" ref="M319">INDEX(Types!A:A,1+BIN2DEC(MID($B319,20,2)))</f>
        <v>Control</v>
      </c>
      <c r="N319" s="3" t="str" cm="1">
        <f t="array" ref="N319">IF(M319="ALU",INDEX(ALUOps!A:A,1+BIN2DEC(MID($B319,22,5))),"")</f>
        <v/>
      </c>
      <c r="O319" s="3" t="str" cm="1">
        <f t="array" ref="O319">IF(M319="ALU",INDEX(TMP!A:A,1+BIN2DEC(MID($B319,27,2))),"")</f>
        <v/>
      </c>
      <c r="P319" s="6" t="str">
        <f t="shared" si="32"/>
        <v/>
      </c>
      <c r="Q319" t="str">
        <f t="shared" si="33"/>
        <v/>
      </c>
      <c r="R319" t="str">
        <f t="shared" si="35"/>
        <v/>
      </c>
      <c r="S319" cm="1">
        <f t="array" ref="S319">IF(M319="Control",INDEX(IC!A:A,1+BIN2DEC(MID($B319,21,4))),"")</f>
        <v>0</v>
      </c>
      <c r="T319" cm="1">
        <f t="array" ref="T319">IF(M319="Control",INDEX(EC!A:A,1+BIN2DEC(MID($B319,25,3))),"")</f>
        <v>0</v>
      </c>
      <c r="U319" cm="1">
        <f t="array" ref="U319">IF(M319="Control",INDEX(SR!A:A,1+BIN2DEC(MID($B319,28,2))),"")</f>
        <v>0</v>
      </c>
    </row>
    <row r="320" spans="1:30" x14ac:dyDescent="0.25">
      <c r="A320" s="4" t="str">
        <f t="shared" si="29"/>
        <v>13E</v>
      </c>
      <c r="B320" s="2" t="s">
        <v>316</v>
      </c>
      <c r="C320" s="3"/>
      <c r="D320" s="3"/>
      <c r="E320" s="3"/>
      <c r="F320" s="27" t="str" cm="1">
        <f t="array" ref="F320">INDEX(Sources!A:A, 1 + BIN2DEC(LEFT($B320,5)))</f>
        <v>C</v>
      </c>
      <c r="G320" s="27" t="str" cm="1">
        <f t="array" ref="G320">INDEX(Dest1!A:A,1+BIN2DEC(MID($B320,6,5)))</f>
        <v>LC</v>
      </c>
      <c r="H320" s="27" t="str" cm="1">
        <f t="array" ref="H320">INDEX(Source2!A:A,1+BIN2DEC(MID($B320,11,4)))</f>
        <v>--</v>
      </c>
      <c r="I320" s="23" cm="1">
        <f t="array" ref="I320">INDEX('D2'!A:A,1+BIN2DEC(MID($B320,16,2)))</f>
        <v>0</v>
      </c>
      <c r="J320" s="6">
        <f t="shared" si="34"/>
        <v>0</v>
      </c>
      <c r="K320" s="6">
        <f t="shared" si="30"/>
        <v>0</v>
      </c>
      <c r="L320" s="6">
        <f t="shared" si="31"/>
        <v>0</v>
      </c>
      <c r="M320" s="3" t="str" cm="1">
        <f t="array" ref="M320">INDEX(Types!A:A,1+BIN2DEC(MID($B320,20,2)))</f>
        <v>Jump</v>
      </c>
      <c r="N320" s="3" t="str" cm="1">
        <f t="array" ref="N320">IF(M320="ALU",INDEX(ALUOps!A:A,1+BIN2DEC(MID($B320,22,5))),"")</f>
        <v/>
      </c>
      <c r="O320" s="3" t="str" cm="1">
        <f t="array" ref="O320">IF(M320="ALU",INDEX(TMP!A:A,1+BIN2DEC(MID($B320,27,2))),"")</f>
        <v/>
      </c>
      <c r="P320" s="6" t="str">
        <f t="shared" si="32"/>
        <v/>
      </c>
      <c r="Q320">
        <f t="shared" si="33"/>
        <v>12</v>
      </c>
      <c r="R320">
        <f t="shared" si="35"/>
        <v>5</v>
      </c>
      <c r="S320" t="str" cm="1">
        <f t="array" ref="S320">IF(M320="Control",INDEX(IC!A:A,1+BIN2DEC(MID($B320,21,4))),"")</f>
        <v/>
      </c>
      <c r="T320" t="str" cm="1">
        <f t="array" ref="T320">IF(M320="Control",INDEX(EC!A:A,1+BIN2DEC(MID($B320,25,3))),"")</f>
        <v/>
      </c>
      <c r="U320" t="str" cm="1">
        <f t="array" ref="U320">IF(M320="Control",INDEX(SR!A:A,1+BIN2DEC(MID($B320,28,2))),"")</f>
        <v/>
      </c>
    </row>
    <row r="321" spans="1:30" s="9" customFormat="1" ht="15.75" thickBot="1" x14ac:dyDescent="0.3">
      <c r="A321" s="7" t="str">
        <f t="shared" si="29"/>
        <v>13F</v>
      </c>
      <c r="B321" s="8" t="s">
        <v>39</v>
      </c>
      <c r="C321" s="10"/>
      <c r="D321" s="10"/>
      <c r="E321" s="10"/>
      <c r="F321" s="30" t="str" cm="1">
        <f t="array" ref="F321">INDEX(Sources!A:A, 1 + BIN2DEC(LEFT($B321,5)))</f>
        <v>--</v>
      </c>
      <c r="G321" s="30" t="str" cm="1">
        <f t="array" ref="G321">INDEX(Dest1!A:A,1+BIN2DEC(MID($B321,6,5)))</f>
        <v>--</v>
      </c>
      <c r="H321" s="30" t="str" cm="1">
        <f t="array" ref="H321">INDEX(Source2!A:A,1+BIN2DEC(MID($B321,11,4)))</f>
        <v>--</v>
      </c>
      <c r="I321" s="26" cm="1">
        <f t="array" ref="I321">INDEX('D2'!A:A,1+BIN2DEC(MID($B321,16,2)))</f>
        <v>0</v>
      </c>
      <c r="J321" s="11">
        <f t="shared" si="34"/>
        <v>0</v>
      </c>
      <c r="K321" s="11">
        <f t="shared" si="30"/>
        <v>0</v>
      </c>
      <c r="L321" s="11">
        <f t="shared" si="31"/>
        <v>1</v>
      </c>
      <c r="M321" s="10" t="str" cm="1">
        <f t="array" ref="M321">INDEX(Types!A:A,1+BIN2DEC(MID($B321,20,2)))</f>
        <v>Control</v>
      </c>
      <c r="N321" s="10" t="str" cm="1">
        <f t="array" ref="N321">IF(M321="ALU",INDEX(ALUOps!A:A,1+BIN2DEC(MID($B321,22,5))),"")</f>
        <v/>
      </c>
      <c r="O321" s="10" t="str" cm="1">
        <f t="array" ref="O321">IF(M321="ALU",INDEX(TMP!A:A,1+BIN2DEC(MID($B321,27,2))),"")</f>
        <v/>
      </c>
      <c r="P321" s="11" t="str">
        <f t="shared" si="32"/>
        <v/>
      </c>
      <c r="Q321" s="9" t="str">
        <f t="shared" si="33"/>
        <v/>
      </c>
      <c r="R321" s="9" t="str">
        <f t="shared" si="35"/>
        <v/>
      </c>
      <c r="S321" s="9" cm="1">
        <f t="array" ref="S321">IF(M321="Control",INDEX(IC!A:A,1+BIN2DEC(MID($B321,21,4))),"")</f>
        <v>0</v>
      </c>
      <c r="T321" s="9" cm="1">
        <f t="array" ref="T321">IF(M321="Control",INDEX(EC!A:A,1+BIN2DEC(MID($B321,25,3))),"")</f>
        <v>0</v>
      </c>
      <c r="U321" s="9" cm="1">
        <f t="array" ref="U321">IF(M321="Control",INDEX(SR!A:A,1+BIN2DEC(MID($B321,28,2))),"")</f>
        <v>0</v>
      </c>
    </row>
    <row r="322" spans="1:30" x14ac:dyDescent="0.25">
      <c r="A322" s="4" t="str">
        <f t="shared" si="29"/>
        <v>140</v>
      </c>
      <c r="B322" s="2" t="s">
        <v>317</v>
      </c>
      <c r="C322" s="2" t="s">
        <v>318</v>
      </c>
      <c r="D322" s="2" t="s">
        <v>928</v>
      </c>
      <c r="E322" s="2" t="s">
        <v>462</v>
      </c>
      <c r="F322" s="27" t="str" cm="1">
        <f t="array" ref="F322">INDEX(Sources!A:A, 1 + BIN2DEC(LEFT($B322,5)))</f>
        <v>Q</v>
      </c>
      <c r="G322" s="27" t="str" cm="1">
        <f t="array" ref="G322">INDEX(Dest1!A:A,1+BIN2DEC(MID($B322,6,5)))</f>
        <v>UNK11</v>
      </c>
      <c r="H322" s="27" t="str" cm="1">
        <f t="array" ref="H322">INDEX(Source2!A:A,1+BIN2DEC(MID($B322,11,4)))</f>
        <v>6</v>
      </c>
      <c r="I322" s="23" cm="1">
        <f t="array" ref="I322">INDEX('D2'!A:A,1+BIN2DEC(MID($B322,16,2)))</f>
        <v>0</v>
      </c>
      <c r="J322" s="6">
        <f t="shared" si="34"/>
        <v>0</v>
      </c>
      <c r="K322" s="6">
        <f t="shared" si="30"/>
        <v>0</v>
      </c>
      <c r="L322" s="6">
        <f t="shared" si="31"/>
        <v>0</v>
      </c>
      <c r="M322" s="3" t="str" cm="1">
        <f t="array" ref="M322">INDEX(Types!A:A,1+BIN2DEC(MID($B322,20,2)))</f>
        <v>ALU</v>
      </c>
      <c r="N322" s="3" cm="1">
        <f t="array" ref="N322">IF(M322="ALU",INDEX(ALUOps!A:A,1+BIN2DEC(MID($B322,22,5))),"")</f>
        <v>0</v>
      </c>
      <c r="O322" s="3" cm="1">
        <f t="array" ref="O322">IF(M322="ALU",INDEX(TMP!A:A,1+BIN2DEC(MID($B322,27,2))),"")</f>
        <v>2</v>
      </c>
      <c r="P322" s="6">
        <f t="shared" si="32"/>
        <v>1</v>
      </c>
      <c r="Q322" t="str">
        <f t="shared" si="33"/>
        <v/>
      </c>
      <c r="R322" t="str">
        <f t="shared" si="35"/>
        <v/>
      </c>
      <c r="S322" t="str" cm="1">
        <f t="array" ref="S322">IF(M322="Control",INDEX(IC!A:A,1+BIN2DEC(MID($B322,21,4))),"")</f>
        <v/>
      </c>
      <c r="T322" t="str" cm="1">
        <f t="array" ref="T322">IF(M322="Control",INDEX(EC!A:A,1+BIN2DEC(MID($B322,25,3))),"")</f>
        <v/>
      </c>
      <c r="U322" t="str" cm="1">
        <f t="array" ref="U322">IF(M322="Control",INDEX(SR!A:A,1+BIN2DEC(MID($B322,28,2))),"")</f>
        <v/>
      </c>
      <c r="X322" t="s">
        <v>1029</v>
      </c>
      <c r="AD322" s="1" t="s">
        <v>319</v>
      </c>
    </row>
    <row r="323" spans="1:30" x14ac:dyDescent="0.25">
      <c r="A323" s="4" t="str">
        <f t="shared" ref="A323:A386" si="36">DEC2HEX(ROW(A322)-ROW($A$1),3)</f>
        <v>141</v>
      </c>
      <c r="B323" s="2" t="s">
        <v>320</v>
      </c>
      <c r="C323" s="3"/>
      <c r="D323" s="3"/>
      <c r="E323" s="3"/>
      <c r="F323" s="27" t="str" cm="1">
        <f t="array" ref="F323">INDEX(Sources!A:A, 1 + BIN2DEC(LEFT($B323,5)))</f>
        <v>SIGMA</v>
      </c>
      <c r="G323" s="27" t="str" cm="1">
        <f t="array" ref="G323">INDEX(Dest1!A:A,1+BIN2DEC(MID($B323,6,5)))</f>
        <v>UNK24</v>
      </c>
      <c r="H323" s="27" t="str" cm="1">
        <f t="array" ref="H323">INDEX(Source2!A:A,1+BIN2DEC(MID($B323,11,4)))</f>
        <v>--</v>
      </c>
      <c r="I323" s="23" cm="1">
        <f t="array" ref="I323">INDEX('D2'!A:A,1+BIN2DEC(MID($B323,16,2)))</f>
        <v>0</v>
      </c>
      <c r="J323" s="6">
        <f t="shared" si="34"/>
        <v>0</v>
      </c>
      <c r="K323" s="6">
        <f t="shared" ref="K323:K386" si="37">BIN2DEC(MID($B323,18,1))</f>
        <v>0</v>
      </c>
      <c r="L323" s="6">
        <f t="shared" ref="L323:L386" si="38">BIN2DEC(MID($B323,19,1))</f>
        <v>0</v>
      </c>
      <c r="M323" s="3" t="str" cm="1">
        <f t="array" ref="M323">INDEX(Types!A:A,1+BIN2DEC(MID($B323,20,2)))</f>
        <v>Control</v>
      </c>
      <c r="N323" s="3" t="str" cm="1">
        <f t="array" ref="N323">IF(M323="ALU",INDEX(ALUOps!A:A,1+BIN2DEC(MID($B323,22,5))),"")</f>
        <v/>
      </c>
      <c r="O323" s="3" t="str" cm="1">
        <f t="array" ref="O323">IF(M323="ALU",INDEX(TMP!A:A,1+BIN2DEC(MID($B323,27,2))),"")</f>
        <v/>
      </c>
      <c r="P323" s="6" t="str">
        <f t="shared" ref="P323:P386" si="39">IF(M323="ALU",BIN2DEC(MID($B323,29,1)),"")</f>
        <v/>
      </c>
      <c r="Q323" t="str">
        <f t="shared" ref="Q323:Q386" si="40">IF(M323="Jump",BIN2DEC(MID($B323,22,4)),"")</f>
        <v/>
      </c>
      <c r="R323" t="str">
        <f t="shared" si="35"/>
        <v/>
      </c>
      <c r="S323" cm="1">
        <f t="array" ref="S323">IF(M323="Control",INDEX(IC!A:A,1+BIN2DEC(MID($B323,21,4))),"")</f>
        <v>0</v>
      </c>
      <c r="T323" cm="1">
        <f t="array" ref="T323">IF(M323="Control",INDEX(EC!A:A,1+BIN2DEC(MID($B323,25,3))),"")</f>
        <v>0</v>
      </c>
      <c r="U323" cm="1">
        <f t="array" ref="U323">IF(M323="Control",INDEX(SR!A:A,1+BIN2DEC(MID($B323,28,2))),"")</f>
        <v>0</v>
      </c>
    </row>
    <row r="324" spans="1:30" x14ac:dyDescent="0.25">
      <c r="A324" s="4" t="str">
        <f t="shared" si="36"/>
        <v>142</v>
      </c>
      <c r="B324" s="2" t="s">
        <v>321</v>
      </c>
      <c r="C324" s="3"/>
      <c r="D324" s="3"/>
      <c r="E324" s="3"/>
      <c r="F324" s="27" t="str" cm="1">
        <f t="array" ref="F324">INDEX(Sources!A:A, 1 + BIN2DEC(LEFT($B324,5)))</f>
        <v>--</v>
      </c>
      <c r="G324" s="27" t="str" cm="1">
        <f t="array" ref="G324">INDEX(Dest1!A:A,1+BIN2DEC(MID($B324,6,5)))</f>
        <v>--</v>
      </c>
      <c r="H324" s="27" t="str" cm="1">
        <f t="array" ref="H324">INDEX(Source2!A:A,1+BIN2DEC(MID($B324,11,4)))</f>
        <v>--</v>
      </c>
      <c r="I324" s="23" cm="1">
        <f t="array" ref="I324">INDEX('D2'!A:A,1+BIN2DEC(MID($B324,16,2)))</f>
        <v>0</v>
      </c>
      <c r="J324" s="6">
        <f t="shared" ref="J324:J387" si="41">BIN2DEC(MID($B324,17,1))</f>
        <v>0</v>
      </c>
      <c r="K324" s="6">
        <f t="shared" si="37"/>
        <v>0</v>
      </c>
      <c r="L324" s="6">
        <f t="shared" si="38"/>
        <v>0</v>
      </c>
      <c r="M324" s="3" t="str" cm="1">
        <f t="array" ref="M324">INDEX(Types!A:A,1+BIN2DEC(MID($B324,20,2)))</f>
        <v>Jump</v>
      </c>
      <c r="N324" s="3" t="str" cm="1">
        <f t="array" ref="N324">IF(M324="ALU",INDEX(ALUOps!A:A,1+BIN2DEC(MID($B324,22,5))),"")</f>
        <v/>
      </c>
      <c r="O324" s="3" t="str" cm="1">
        <f t="array" ref="O324">IF(M324="ALU",INDEX(TMP!A:A,1+BIN2DEC(MID($B324,27,2))),"")</f>
        <v/>
      </c>
      <c r="P324" s="6" t="str">
        <f t="shared" si="39"/>
        <v/>
      </c>
      <c r="Q324">
        <f t="shared" si="40"/>
        <v>13</v>
      </c>
      <c r="R324">
        <f t="shared" si="35"/>
        <v>5</v>
      </c>
      <c r="S324" t="str" cm="1">
        <f t="array" ref="S324">IF(M324="Control",INDEX(IC!A:A,1+BIN2DEC(MID($B324,21,4))),"")</f>
        <v/>
      </c>
      <c r="T324" t="str" cm="1">
        <f t="array" ref="T324">IF(M324="Control",INDEX(EC!A:A,1+BIN2DEC(MID($B324,25,3))),"")</f>
        <v/>
      </c>
      <c r="U324" t="str" cm="1">
        <f t="array" ref="U324">IF(M324="Control",INDEX(SR!A:A,1+BIN2DEC(MID($B324,28,2))),"")</f>
        <v/>
      </c>
    </row>
    <row r="325" spans="1:30" s="9" customFormat="1" ht="15.75" thickBot="1" x14ac:dyDescent="0.3">
      <c r="A325" s="7" t="str">
        <f t="shared" si="36"/>
        <v>143</v>
      </c>
      <c r="B325" s="8" t="s">
        <v>322</v>
      </c>
      <c r="C325" s="10"/>
      <c r="D325" s="10"/>
      <c r="E325" s="10"/>
      <c r="F325" s="30" t="str" cm="1">
        <f t="array" ref="F325">INDEX(Sources!A:A, 1 + BIN2DEC(LEFT($B325,5)))</f>
        <v>C</v>
      </c>
      <c r="G325" s="30" t="str" cm="1">
        <f t="array" ref="G325">INDEX(Dest1!A:A,1+BIN2DEC(MID($B325,6,5)))</f>
        <v>LC</v>
      </c>
      <c r="H325" s="30" t="str" cm="1">
        <f t="array" ref="H325">INDEX(Source2!A:A,1+BIN2DEC(MID($B325,11,4)))</f>
        <v>--</v>
      </c>
      <c r="I325" s="26" cm="1">
        <f t="array" ref="I325">INDEX('D2'!A:A,1+BIN2DEC(MID($B325,16,2)))</f>
        <v>0</v>
      </c>
      <c r="J325" s="11">
        <f t="shared" si="41"/>
        <v>0</v>
      </c>
      <c r="K325" s="11">
        <f t="shared" si="37"/>
        <v>0</v>
      </c>
      <c r="L325" s="11">
        <f t="shared" si="38"/>
        <v>1</v>
      </c>
      <c r="M325" s="10" t="str" cm="1">
        <f t="array" ref="M325">INDEX(Types!A:A,1+BIN2DEC(MID($B325,20,2)))</f>
        <v>Control</v>
      </c>
      <c r="N325" s="10" t="str" cm="1">
        <f t="array" ref="N325">IF(M325="ALU",INDEX(ALUOps!A:A,1+BIN2DEC(MID($B325,22,5))),"")</f>
        <v/>
      </c>
      <c r="O325" s="10" t="str" cm="1">
        <f t="array" ref="O325">IF(M325="ALU",INDEX(TMP!A:A,1+BIN2DEC(MID($B325,27,2))),"")</f>
        <v/>
      </c>
      <c r="P325" s="11" t="str">
        <f t="shared" si="39"/>
        <v/>
      </c>
      <c r="Q325" s="9" t="str">
        <f t="shared" si="40"/>
        <v/>
      </c>
      <c r="R325" s="9" t="str">
        <f t="shared" si="35"/>
        <v/>
      </c>
      <c r="S325" s="9" cm="1">
        <f t="array" ref="S325">IF(M325="Control",INDEX(IC!A:A,1+BIN2DEC(MID($B325,21,4))),"")</f>
        <v>0</v>
      </c>
      <c r="T325" s="9" cm="1">
        <f t="array" ref="T325">IF(M325="Control",INDEX(EC!A:A,1+BIN2DEC(MID($B325,25,3))),"")</f>
        <v>0</v>
      </c>
      <c r="U325" s="9" cm="1">
        <f t="array" ref="U325">IF(M325="Control",INDEX(SR!A:A,1+BIN2DEC(MID($B325,28,2))),"")</f>
        <v>0</v>
      </c>
    </row>
    <row r="326" spans="1:30" x14ac:dyDescent="0.25">
      <c r="A326" s="4" t="str">
        <f t="shared" si="36"/>
        <v>144</v>
      </c>
      <c r="B326" s="2" t="s">
        <v>108</v>
      </c>
      <c r="C326" s="2" t="s">
        <v>323</v>
      </c>
      <c r="D326" s="2" t="s">
        <v>928</v>
      </c>
      <c r="E326" s="2" t="s">
        <v>462</v>
      </c>
      <c r="F326" s="27" t="str" cm="1">
        <f t="array" ref="F326">INDEX(Sources!A:A, 1 + BIN2DEC(LEFT($B326,5)))</f>
        <v>Q</v>
      </c>
      <c r="G326" s="27" t="str" cm="1">
        <f t="array" ref="G326">INDEX(Dest1!A:A,1+BIN2DEC(MID($B326,6,5)))</f>
        <v>UNK11</v>
      </c>
      <c r="H326" s="27" t="str" cm="1">
        <f t="array" ref="H326">INDEX(Source2!A:A,1+BIN2DEC(MID($B326,11,4)))</f>
        <v>--</v>
      </c>
      <c r="I326" s="23" cm="1">
        <f t="array" ref="I326">INDEX('D2'!A:A,1+BIN2DEC(MID($B326,16,2)))</f>
        <v>0</v>
      </c>
      <c r="J326" s="6">
        <f t="shared" si="41"/>
        <v>0</v>
      </c>
      <c r="K326" s="6">
        <f t="shared" si="37"/>
        <v>0</v>
      </c>
      <c r="L326" s="6">
        <f t="shared" si="38"/>
        <v>0</v>
      </c>
      <c r="M326" s="3" t="str" cm="1">
        <f t="array" ref="M326">INDEX(Types!A:A,1+BIN2DEC(MID($B326,20,2)))</f>
        <v>Control</v>
      </c>
      <c r="N326" s="3" t="str" cm="1">
        <f t="array" ref="N326">IF(M326="ALU",INDEX(ALUOps!A:A,1+BIN2DEC(MID($B326,22,5))),"")</f>
        <v/>
      </c>
      <c r="O326" s="3" t="str" cm="1">
        <f t="array" ref="O326">IF(M326="ALU",INDEX(TMP!A:A,1+BIN2DEC(MID($B326,27,2))),"")</f>
        <v/>
      </c>
      <c r="P326" s="6" t="str">
        <f t="shared" si="39"/>
        <v/>
      </c>
      <c r="Q326" t="str">
        <f t="shared" si="40"/>
        <v/>
      </c>
      <c r="R326" t="str">
        <f t="shared" si="35"/>
        <v/>
      </c>
      <c r="S326" cm="1">
        <f t="array" ref="S326">IF(M326="Control",INDEX(IC!A:A,1+BIN2DEC(MID($B326,21,4))),"")</f>
        <v>0</v>
      </c>
      <c r="T326" cm="1">
        <f t="array" ref="T326">IF(M326="Control",INDEX(EC!A:A,1+BIN2DEC(MID($B326,25,3))),"")</f>
        <v>0</v>
      </c>
      <c r="U326" cm="1">
        <f t="array" ref="U326">IF(M326="Control",INDEX(SR!A:A,1+BIN2DEC(MID($B326,28,2))),"")</f>
        <v>0</v>
      </c>
      <c r="X326" t="s">
        <v>1036</v>
      </c>
      <c r="AD326" s="1" t="s">
        <v>324</v>
      </c>
    </row>
    <row r="327" spans="1:30" x14ac:dyDescent="0.25">
      <c r="A327" s="4" t="str">
        <f t="shared" si="36"/>
        <v>145</v>
      </c>
      <c r="B327" s="2" t="s">
        <v>325</v>
      </c>
      <c r="C327" s="3"/>
      <c r="D327" s="3"/>
      <c r="E327" s="3"/>
      <c r="F327" s="27" t="str" cm="1">
        <f t="array" ref="F327">INDEX(Sources!A:A, 1 + BIN2DEC(LEFT($B327,5)))</f>
        <v>TMPB</v>
      </c>
      <c r="G327" s="27" t="str" cm="1">
        <f t="array" ref="G327">INDEX(Dest1!A:A,1+BIN2DEC(MID($B327,6,5)))</f>
        <v>UNK26</v>
      </c>
      <c r="H327" s="27" t="str" cm="1">
        <f t="array" ref="H327">INDEX(Source2!A:A,1+BIN2DEC(MID($B327,11,4)))</f>
        <v>--</v>
      </c>
      <c r="I327" s="23" cm="1">
        <f t="array" ref="I327">INDEX('D2'!A:A,1+BIN2DEC(MID($B327,16,2)))</f>
        <v>0</v>
      </c>
      <c r="J327" s="6">
        <f t="shared" si="41"/>
        <v>0</v>
      </c>
      <c r="K327" s="6">
        <f t="shared" si="37"/>
        <v>0</v>
      </c>
      <c r="L327" s="6">
        <f t="shared" si="38"/>
        <v>0</v>
      </c>
      <c r="M327" s="3" t="str" cm="1">
        <f t="array" ref="M327">INDEX(Types!A:A,1+BIN2DEC(MID($B327,20,2)))</f>
        <v>Control</v>
      </c>
      <c r="N327" s="3" t="str" cm="1">
        <f t="array" ref="N327">IF(M327="ALU",INDEX(ALUOps!A:A,1+BIN2DEC(MID($B327,22,5))),"")</f>
        <v/>
      </c>
      <c r="O327" s="3" t="str" cm="1">
        <f t="array" ref="O327">IF(M327="ALU",INDEX(TMP!A:A,1+BIN2DEC(MID($B327,27,2))),"")</f>
        <v/>
      </c>
      <c r="P327" s="6" t="str">
        <f t="shared" si="39"/>
        <v/>
      </c>
      <c r="Q327" t="str">
        <f t="shared" si="40"/>
        <v/>
      </c>
      <c r="R327" t="str">
        <f t="shared" ref="R327:R390" si="42">IF(M327="Jump",15-BIN2DEC(MID($B327,26,4)),"")</f>
        <v/>
      </c>
      <c r="S327" cm="1">
        <f t="array" ref="S327">IF(M327="Control",INDEX(IC!A:A,1+BIN2DEC(MID($B327,21,4))),"")</f>
        <v>0</v>
      </c>
      <c r="T327" cm="1">
        <f t="array" ref="T327">IF(M327="Control",INDEX(EC!A:A,1+BIN2DEC(MID($B327,25,3))),"")</f>
        <v>6</v>
      </c>
      <c r="U327" cm="1">
        <f t="array" ref="U327">IF(M327="Control",INDEX(SR!A:A,1+BIN2DEC(MID($B327,28,2))),"")</f>
        <v>2</v>
      </c>
    </row>
    <row r="328" spans="1:30" x14ac:dyDescent="0.25">
      <c r="A328" s="4" t="str">
        <f t="shared" si="36"/>
        <v>146</v>
      </c>
      <c r="B328" s="2" t="s">
        <v>53</v>
      </c>
      <c r="C328" s="3"/>
      <c r="D328" s="3"/>
      <c r="E328" s="3"/>
      <c r="F328" s="27" t="str" cm="1">
        <f t="array" ref="F328">INDEX(Sources!A:A, 1 + BIN2DEC(LEFT($B328,5)))</f>
        <v>OUT</v>
      </c>
      <c r="G328" s="27" t="str" cm="1">
        <f t="array" ref="G328">INDEX(Dest1!A:A,1+BIN2DEC(MID($B328,6,5)))</f>
        <v>OPR</v>
      </c>
      <c r="H328" s="27" t="str" cm="1">
        <f t="array" ref="H328">INDEX(Source2!A:A,1+BIN2DEC(MID($B328,11,4)))</f>
        <v>--</v>
      </c>
      <c r="I328" s="23" cm="1">
        <f t="array" ref="I328">INDEX('D2'!A:A,1+BIN2DEC(MID($B328,16,2)))</f>
        <v>1</v>
      </c>
      <c r="J328" s="6">
        <f t="shared" si="41"/>
        <v>1</v>
      </c>
      <c r="K328" s="6">
        <f t="shared" si="37"/>
        <v>0</v>
      </c>
      <c r="L328" s="6">
        <f t="shared" si="38"/>
        <v>1</v>
      </c>
      <c r="M328" s="3" t="str" cm="1">
        <f t="array" ref="M328">INDEX(Types!A:A,1+BIN2DEC(MID($B328,20,2)))</f>
        <v>Control</v>
      </c>
      <c r="N328" s="3" t="str" cm="1">
        <f t="array" ref="N328">IF(M328="ALU",INDEX(ALUOps!A:A,1+BIN2DEC(MID($B328,22,5))),"")</f>
        <v/>
      </c>
      <c r="O328" s="3" t="str" cm="1">
        <f t="array" ref="O328">IF(M328="ALU",INDEX(TMP!A:A,1+BIN2DEC(MID($B328,27,2))),"")</f>
        <v/>
      </c>
      <c r="P328" s="6" t="str">
        <f t="shared" si="39"/>
        <v/>
      </c>
      <c r="Q328" t="str">
        <f t="shared" si="40"/>
        <v/>
      </c>
      <c r="R328" t="str">
        <f t="shared" si="42"/>
        <v/>
      </c>
      <c r="S328" cm="1">
        <f t="array" ref="S328">IF(M328="Control",INDEX(IC!A:A,1+BIN2DEC(MID($B328,21,4))),"")</f>
        <v>0</v>
      </c>
      <c r="T328" cm="1">
        <f t="array" ref="T328">IF(M328="Control",INDEX(EC!A:A,1+BIN2DEC(MID($B328,25,3))),"")</f>
        <v>0</v>
      </c>
      <c r="U328" cm="1">
        <f t="array" ref="U328">IF(M328="Control",INDEX(SR!A:A,1+BIN2DEC(MID($B328,28,2))),"")</f>
        <v>0</v>
      </c>
    </row>
    <row r="329" spans="1:30" s="9" customFormat="1" ht="15.75" thickBot="1" x14ac:dyDescent="0.3">
      <c r="A329" s="7" t="str">
        <f t="shared" si="36"/>
        <v>147</v>
      </c>
      <c r="B329" s="8" t="s">
        <v>4</v>
      </c>
      <c r="C329" s="10"/>
      <c r="D329" s="10"/>
      <c r="E329" s="10"/>
      <c r="F329" s="30" t="str" cm="1">
        <f t="array" ref="F329">INDEX(Sources!A:A, 1 + BIN2DEC(LEFT($B329,5)))</f>
        <v>--</v>
      </c>
      <c r="G329" s="30" t="str" cm="1">
        <f t="array" ref="G329">INDEX(Dest1!A:A,1+BIN2DEC(MID($B329,6,5)))</f>
        <v>--</v>
      </c>
      <c r="H329" s="30" t="str" cm="1">
        <f t="array" ref="H329">INDEX(Source2!A:A,1+BIN2DEC(MID($B329,11,4)))</f>
        <v>--</v>
      </c>
      <c r="I329" s="26" cm="1">
        <f t="array" ref="I329">INDEX('D2'!A:A,1+BIN2DEC(MID($B329,16,2)))</f>
        <v>0</v>
      </c>
      <c r="J329" s="11">
        <f t="shared" si="41"/>
        <v>0</v>
      </c>
      <c r="K329" s="11">
        <f t="shared" si="37"/>
        <v>0</v>
      </c>
      <c r="L329" s="11">
        <f t="shared" si="38"/>
        <v>0</v>
      </c>
      <c r="M329" s="10" t="str" cm="1">
        <f t="array" ref="M329">INDEX(Types!A:A,1+BIN2DEC(MID($B329,20,2)))</f>
        <v>Control</v>
      </c>
      <c r="N329" s="10" t="str" cm="1">
        <f t="array" ref="N329">IF(M329="ALU",INDEX(ALUOps!A:A,1+BIN2DEC(MID($B329,22,5))),"")</f>
        <v/>
      </c>
      <c r="O329" s="10" t="str" cm="1">
        <f t="array" ref="O329">IF(M329="ALU",INDEX(TMP!A:A,1+BIN2DEC(MID($B329,27,2))),"")</f>
        <v/>
      </c>
      <c r="P329" s="11" t="str">
        <f t="shared" si="39"/>
        <v/>
      </c>
      <c r="Q329" s="9" t="str">
        <f t="shared" si="40"/>
        <v/>
      </c>
      <c r="R329" s="9" t="str">
        <f t="shared" si="42"/>
        <v/>
      </c>
      <c r="S329" s="9" cm="1">
        <f t="array" ref="S329">IF(M329="Control",INDEX(IC!A:A,1+BIN2DEC(MID($B329,21,4))),"")</f>
        <v>0</v>
      </c>
      <c r="T329" s="9" cm="1">
        <f t="array" ref="T329">IF(M329="Control",INDEX(EC!A:A,1+BIN2DEC(MID($B329,25,3))),"")</f>
        <v>0</v>
      </c>
      <c r="U329" s="9" cm="1">
        <f t="array" ref="U329">IF(M329="Control",INDEX(SR!A:A,1+BIN2DEC(MID($B329,28,2))),"")</f>
        <v>0</v>
      </c>
    </row>
    <row r="330" spans="1:30" x14ac:dyDescent="0.25">
      <c r="A330" s="4" t="str">
        <f t="shared" si="36"/>
        <v>148</v>
      </c>
      <c r="B330" s="2" t="s">
        <v>326</v>
      </c>
      <c r="C330" s="2" t="s">
        <v>327</v>
      </c>
      <c r="D330" s="2" t="s">
        <v>928</v>
      </c>
      <c r="E330" s="2" t="s">
        <v>462</v>
      </c>
      <c r="F330" s="27" t="str" cm="1">
        <f t="array" ref="F330">INDEX(Sources!A:A, 1 + BIN2DEC(LEFT($B330,5)))</f>
        <v>Q</v>
      </c>
      <c r="G330" s="27" t="str" cm="1">
        <f t="array" ref="G330">INDEX(Dest1!A:A,1+BIN2DEC(MID($B330,6,5)))</f>
        <v>UNK11</v>
      </c>
      <c r="H330" s="27" t="str" cm="1">
        <f t="array" ref="H330">INDEX(Source2!A:A,1+BIN2DEC(MID($B330,11,4)))</f>
        <v>--</v>
      </c>
      <c r="I330" s="23" cm="1">
        <f t="array" ref="I330">INDEX('D2'!A:A,1+BIN2DEC(MID($B330,16,2)))</f>
        <v>0</v>
      </c>
      <c r="J330" s="6">
        <f t="shared" si="41"/>
        <v>0</v>
      </c>
      <c r="K330" s="6">
        <f t="shared" si="37"/>
        <v>0</v>
      </c>
      <c r="L330" s="6">
        <f t="shared" si="38"/>
        <v>0</v>
      </c>
      <c r="M330" s="3" t="str" cm="1">
        <f t="array" ref="M330">INDEX(Types!A:A,1+BIN2DEC(MID($B330,20,2)))</f>
        <v>ALU</v>
      </c>
      <c r="N330" s="3" cm="1">
        <f t="array" ref="N330">IF(M330="ALU",INDEX(ALUOps!A:A,1+BIN2DEC(MID($B330,22,5))),"")</f>
        <v>0</v>
      </c>
      <c r="O330" s="3" cm="1">
        <f t="array" ref="O330">IF(M330="ALU",INDEX(TMP!A:A,1+BIN2DEC(MID($B330,27,2))),"")</f>
        <v>3</v>
      </c>
      <c r="P330" s="6">
        <f t="shared" si="39"/>
        <v>1</v>
      </c>
      <c r="Q330" t="str">
        <f t="shared" si="40"/>
        <v/>
      </c>
      <c r="R330" t="str">
        <f t="shared" si="42"/>
        <v/>
      </c>
      <c r="S330" t="str" cm="1">
        <f t="array" ref="S330">IF(M330="Control",INDEX(IC!A:A,1+BIN2DEC(MID($B330,21,4))),"")</f>
        <v/>
      </c>
      <c r="T330" t="str" cm="1">
        <f t="array" ref="T330">IF(M330="Control",INDEX(EC!A:A,1+BIN2DEC(MID($B330,25,3))),"")</f>
        <v/>
      </c>
      <c r="U330" t="str" cm="1">
        <f t="array" ref="U330">IF(M330="Control",INDEX(SR!A:A,1+BIN2DEC(MID($B330,28,2))),"")</f>
        <v/>
      </c>
      <c r="X330" t="s">
        <v>1037</v>
      </c>
      <c r="AD330" s="1" t="s">
        <v>328</v>
      </c>
    </row>
    <row r="331" spans="1:30" x14ac:dyDescent="0.25">
      <c r="A331" s="4" t="str">
        <f t="shared" si="36"/>
        <v>149</v>
      </c>
      <c r="B331" s="2" t="s">
        <v>329</v>
      </c>
      <c r="C331" s="3"/>
      <c r="D331" s="3"/>
      <c r="E331" s="3"/>
      <c r="F331" s="27" t="str" cm="1">
        <f t="array" ref="F331">INDEX(Sources!A:A, 1 + BIN2DEC(LEFT($B331,5)))</f>
        <v>OPR</v>
      </c>
      <c r="G331" s="27" t="str" cm="1">
        <f t="array" ref="G331">INDEX(Dest1!A:A,1+BIN2DEC(MID($B331,6,5)))</f>
        <v>OUT</v>
      </c>
      <c r="H331" s="27" t="str" cm="1">
        <f t="array" ref="H331">INDEX(Source2!A:A,1+BIN2DEC(MID($B331,11,4)))</f>
        <v>11</v>
      </c>
      <c r="I331" s="23" t="str" cm="1">
        <f t="array" ref="I331">INDEX('D2'!A:A,1+BIN2DEC(MID($B331,16,2)))</f>
        <v>TMPB</v>
      </c>
      <c r="J331" s="6">
        <f t="shared" si="41"/>
        <v>0</v>
      </c>
      <c r="K331" s="6">
        <f t="shared" si="37"/>
        <v>0</v>
      </c>
      <c r="L331" s="6">
        <f t="shared" si="38"/>
        <v>1</v>
      </c>
      <c r="M331" s="3" t="str" cm="1">
        <f t="array" ref="M331">INDEX(Types!A:A,1+BIN2DEC(MID($B331,20,2)))</f>
        <v>Control</v>
      </c>
      <c r="N331" s="3" t="str" cm="1">
        <f t="array" ref="N331">IF(M331="ALU",INDEX(ALUOps!A:A,1+BIN2DEC(MID($B331,22,5))),"")</f>
        <v/>
      </c>
      <c r="O331" s="3" t="str" cm="1">
        <f t="array" ref="O331">IF(M331="ALU",INDEX(TMP!A:A,1+BIN2DEC(MID($B331,27,2))),"")</f>
        <v/>
      </c>
      <c r="P331" s="6" t="str">
        <f t="shared" si="39"/>
        <v/>
      </c>
      <c r="Q331" t="str">
        <f t="shared" si="40"/>
        <v/>
      </c>
      <c r="R331" t="str">
        <f t="shared" si="42"/>
        <v/>
      </c>
      <c r="S331" cm="1">
        <f t="array" ref="S331">IF(M331="Control",INDEX(IC!A:A,1+BIN2DEC(MID($B331,21,4))),"")</f>
        <v>0</v>
      </c>
      <c r="T331" cm="1">
        <f t="array" ref="T331">IF(M331="Control",INDEX(EC!A:A,1+BIN2DEC(MID($B331,25,3))),"")</f>
        <v>5</v>
      </c>
      <c r="U331" cm="1">
        <f t="array" ref="U331">IF(M331="Control",INDEX(SR!A:A,1+BIN2DEC(MID($B331,28,2))),"")</f>
        <v>2</v>
      </c>
    </row>
    <row r="332" spans="1:30" x14ac:dyDescent="0.25">
      <c r="A332" s="4" t="str">
        <f t="shared" si="36"/>
        <v>14A</v>
      </c>
      <c r="B332" s="2" t="s">
        <v>4</v>
      </c>
      <c r="C332" s="3"/>
      <c r="D332" s="3"/>
      <c r="E332" s="3"/>
      <c r="F332" s="27" t="str" cm="1">
        <f t="array" ref="F332">INDEX(Sources!A:A, 1 + BIN2DEC(LEFT($B332,5)))</f>
        <v>--</v>
      </c>
      <c r="G332" s="27" t="str" cm="1">
        <f t="array" ref="G332">INDEX(Dest1!A:A,1+BIN2DEC(MID($B332,6,5)))</f>
        <v>--</v>
      </c>
      <c r="H332" s="27" t="str" cm="1">
        <f t="array" ref="H332">INDEX(Source2!A:A,1+BIN2DEC(MID($B332,11,4)))</f>
        <v>--</v>
      </c>
      <c r="I332" s="23" cm="1">
        <f t="array" ref="I332">INDEX('D2'!A:A,1+BIN2DEC(MID($B332,16,2)))</f>
        <v>0</v>
      </c>
      <c r="J332" s="6">
        <f t="shared" si="41"/>
        <v>0</v>
      </c>
      <c r="K332" s="6">
        <f t="shared" si="37"/>
        <v>0</v>
      </c>
      <c r="L332" s="6">
        <f t="shared" si="38"/>
        <v>0</v>
      </c>
      <c r="M332" s="3" t="str" cm="1">
        <f t="array" ref="M332">INDEX(Types!A:A,1+BIN2DEC(MID($B332,20,2)))</f>
        <v>Control</v>
      </c>
      <c r="N332" s="3" t="str" cm="1">
        <f t="array" ref="N332">IF(M332="ALU",INDEX(ALUOps!A:A,1+BIN2DEC(MID($B332,22,5))),"")</f>
        <v/>
      </c>
      <c r="O332" s="3" t="str" cm="1">
        <f t="array" ref="O332">IF(M332="ALU",INDEX(TMP!A:A,1+BIN2DEC(MID($B332,27,2))),"")</f>
        <v/>
      </c>
      <c r="P332" s="6" t="str">
        <f t="shared" si="39"/>
        <v/>
      </c>
      <c r="Q332" t="str">
        <f t="shared" si="40"/>
        <v/>
      </c>
      <c r="R332" t="str">
        <f t="shared" si="42"/>
        <v/>
      </c>
      <c r="S332" cm="1">
        <f t="array" ref="S332">IF(M332="Control",INDEX(IC!A:A,1+BIN2DEC(MID($B332,21,4))),"")</f>
        <v>0</v>
      </c>
      <c r="T332" cm="1">
        <f t="array" ref="T332">IF(M332="Control",INDEX(EC!A:A,1+BIN2DEC(MID($B332,25,3))),"")</f>
        <v>0</v>
      </c>
      <c r="U332" cm="1">
        <f t="array" ref="U332">IF(M332="Control",INDEX(SR!A:A,1+BIN2DEC(MID($B332,28,2))),"")</f>
        <v>0</v>
      </c>
    </row>
    <row r="333" spans="1:30" s="9" customFormat="1" ht="15.75" thickBot="1" x14ac:dyDescent="0.3">
      <c r="A333" s="7" t="str">
        <f t="shared" si="36"/>
        <v>14B</v>
      </c>
      <c r="B333" s="8" t="s">
        <v>4</v>
      </c>
      <c r="C333" s="10"/>
      <c r="D333" s="10"/>
      <c r="E333" s="10"/>
      <c r="F333" s="30" t="str" cm="1">
        <f t="array" ref="F333">INDEX(Sources!A:A, 1 + BIN2DEC(LEFT($B333,5)))</f>
        <v>--</v>
      </c>
      <c r="G333" s="30" t="str" cm="1">
        <f t="array" ref="G333">INDEX(Dest1!A:A,1+BIN2DEC(MID($B333,6,5)))</f>
        <v>--</v>
      </c>
      <c r="H333" s="30" t="str" cm="1">
        <f t="array" ref="H333">INDEX(Source2!A:A,1+BIN2DEC(MID($B333,11,4)))</f>
        <v>--</v>
      </c>
      <c r="I333" s="26" cm="1">
        <f t="array" ref="I333">INDEX('D2'!A:A,1+BIN2DEC(MID($B333,16,2)))</f>
        <v>0</v>
      </c>
      <c r="J333" s="11">
        <f t="shared" si="41"/>
        <v>0</v>
      </c>
      <c r="K333" s="11">
        <f t="shared" si="37"/>
        <v>0</v>
      </c>
      <c r="L333" s="11">
        <f t="shared" si="38"/>
        <v>0</v>
      </c>
      <c r="M333" s="10" t="str" cm="1">
        <f t="array" ref="M333">INDEX(Types!A:A,1+BIN2DEC(MID($B333,20,2)))</f>
        <v>Control</v>
      </c>
      <c r="N333" s="10" t="str" cm="1">
        <f t="array" ref="N333">IF(M333="ALU",INDEX(ALUOps!A:A,1+BIN2DEC(MID($B333,22,5))),"")</f>
        <v/>
      </c>
      <c r="O333" s="10" t="str" cm="1">
        <f t="array" ref="O333">IF(M333="ALU",INDEX(TMP!A:A,1+BIN2DEC(MID($B333,27,2))),"")</f>
        <v/>
      </c>
      <c r="P333" s="11" t="str">
        <f t="shared" si="39"/>
        <v/>
      </c>
      <c r="Q333" s="9" t="str">
        <f t="shared" si="40"/>
        <v/>
      </c>
      <c r="R333" s="9" t="str">
        <f t="shared" si="42"/>
        <v/>
      </c>
      <c r="S333" s="9" cm="1">
        <f t="array" ref="S333">IF(M333="Control",INDEX(IC!A:A,1+BIN2DEC(MID($B333,21,4))),"")</f>
        <v>0</v>
      </c>
      <c r="T333" s="9" cm="1">
        <f t="array" ref="T333">IF(M333="Control",INDEX(EC!A:A,1+BIN2DEC(MID($B333,25,3))),"")</f>
        <v>0</v>
      </c>
      <c r="U333" s="9" cm="1">
        <f t="array" ref="U333">IF(M333="Control",INDEX(SR!A:A,1+BIN2DEC(MID($B333,28,2))),"")</f>
        <v>0</v>
      </c>
    </row>
    <row r="334" spans="1:30" x14ac:dyDescent="0.25">
      <c r="A334" s="4" t="str">
        <f t="shared" si="36"/>
        <v>14C</v>
      </c>
      <c r="B334" s="2" t="s">
        <v>330</v>
      </c>
      <c r="C334" s="2" t="s">
        <v>331</v>
      </c>
      <c r="D334" s="2" t="s">
        <v>928</v>
      </c>
      <c r="E334" s="2" t="s">
        <v>462</v>
      </c>
      <c r="F334" s="27" t="str" cm="1">
        <f t="array" ref="F334">INDEX(Sources!A:A, 1 + BIN2DEC(LEFT($B334,5)))</f>
        <v>Q</v>
      </c>
      <c r="G334" s="27" t="str" cm="1">
        <f t="array" ref="G334">INDEX(Dest1!A:A,1+BIN2DEC(MID($B334,6,5)))</f>
        <v>UNK11</v>
      </c>
      <c r="H334" s="27" t="str" cm="1">
        <f t="array" ref="H334">INDEX(Source2!A:A,1+BIN2DEC(MID($B334,11,4)))</f>
        <v>3</v>
      </c>
      <c r="I334" s="23" cm="1">
        <f t="array" ref="I334">INDEX('D2'!A:A,1+BIN2DEC(MID($B334,16,2)))</f>
        <v>0</v>
      </c>
      <c r="J334" s="6">
        <f t="shared" si="41"/>
        <v>0</v>
      </c>
      <c r="K334" s="6">
        <f t="shared" si="37"/>
        <v>0</v>
      </c>
      <c r="L334" s="6">
        <f t="shared" si="38"/>
        <v>0</v>
      </c>
      <c r="M334" s="3" t="str" cm="1">
        <f t="array" ref="M334">INDEX(Types!A:A,1+BIN2DEC(MID($B334,20,2)))</f>
        <v>ALU</v>
      </c>
      <c r="N334" s="3" cm="1">
        <f t="array" ref="N334">IF(M334="ALU",INDEX(ALUOps!A:A,1+BIN2DEC(MID($B334,22,5))),"")</f>
        <v>2</v>
      </c>
      <c r="O334" s="3" cm="1">
        <f t="array" ref="O334">IF(M334="ALU",INDEX(TMP!A:A,1+BIN2DEC(MID($B334,27,2))),"")</f>
        <v>2</v>
      </c>
      <c r="P334" s="6">
        <f t="shared" si="39"/>
        <v>1</v>
      </c>
      <c r="Q334" t="str">
        <f t="shared" si="40"/>
        <v/>
      </c>
      <c r="R334" t="str">
        <f t="shared" si="42"/>
        <v/>
      </c>
      <c r="S334" t="str" cm="1">
        <f t="array" ref="S334">IF(M334="Control",INDEX(IC!A:A,1+BIN2DEC(MID($B334,21,4))),"")</f>
        <v/>
      </c>
      <c r="T334" t="str" cm="1">
        <f t="array" ref="T334">IF(M334="Control",INDEX(EC!A:A,1+BIN2DEC(MID($B334,25,3))),"")</f>
        <v/>
      </c>
      <c r="U334" t="str" cm="1">
        <f t="array" ref="U334">IF(M334="Control",INDEX(SR!A:A,1+BIN2DEC(MID($B334,28,2))),"")</f>
        <v/>
      </c>
      <c r="X334" t="s">
        <v>1030</v>
      </c>
      <c r="AD334" s="1" t="s">
        <v>332</v>
      </c>
    </row>
    <row r="335" spans="1:30" x14ac:dyDescent="0.25">
      <c r="A335" s="4" t="str">
        <f t="shared" si="36"/>
        <v>14D</v>
      </c>
      <c r="B335" s="2" t="s">
        <v>8</v>
      </c>
      <c r="C335" s="3"/>
      <c r="D335" s="3"/>
      <c r="E335" s="3"/>
      <c r="F335" s="27" t="str" cm="1">
        <f t="array" ref="F335">INDEX(Sources!A:A, 1 + BIN2DEC(LEFT($B335,5)))</f>
        <v>Q</v>
      </c>
      <c r="G335" s="27" t="str" cm="1">
        <f t="array" ref="G335">INDEX(Dest1!A:A,1+BIN2DEC(MID($B335,6,5)))</f>
        <v>UNK9</v>
      </c>
      <c r="H335" s="27" t="str" cm="1">
        <f t="array" ref="H335">INDEX(Source2!A:A,1+BIN2DEC(MID($B335,11,4)))</f>
        <v>--</v>
      </c>
      <c r="I335" s="23" cm="1">
        <f t="array" ref="I335">INDEX('D2'!A:A,1+BIN2DEC(MID($B335,16,2)))</f>
        <v>0</v>
      </c>
      <c r="J335" s="6">
        <f t="shared" si="41"/>
        <v>0</v>
      </c>
      <c r="K335" s="6">
        <f t="shared" si="37"/>
        <v>0</v>
      </c>
      <c r="L335" s="6">
        <f t="shared" si="38"/>
        <v>0</v>
      </c>
      <c r="M335" s="3" t="str" cm="1">
        <f t="array" ref="M335">INDEX(Types!A:A,1+BIN2DEC(MID($B335,20,2)))</f>
        <v>Control</v>
      </c>
      <c r="N335" s="3" t="str" cm="1">
        <f t="array" ref="N335">IF(M335="ALU",INDEX(ALUOps!A:A,1+BIN2DEC(MID($B335,22,5))),"")</f>
        <v/>
      </c>
      <c r="O335" s="3" t="str" cm="1">
        <f t="array" ref="O335">IF(M335="ALU",INDEX(TMP!A:A,1+BIN2DEC(MID($B335,27,2))),"")</f>
        <v/>
      </c>
      <c r="P335" s="6" t="str">
        <f t="shared" si="39"/>
        <v/>
      </c>
      <c r="Q335" t="str">
        <f t="shared" si="40"/>
        <v/>
      </c>
      <c r="R335" t="str">
        <f t="shared" si="42"/>
        <v/>
      </c>
      <c r="S335" cm="1">
        <f t="array" ref="S335">IF(M335="Control",INDEX(IC!A:A,1+BIN2DEC(MID($B335,21,4))),"")</f>
        <v>0</v>
      </c>
      <c r="T335" cm="1">
        <f t="array" ref="T335">IF(M335="Control",INDEX(EC!A:A,1+BIN2DEC(MID($B335,25,3))),"")</f>
        <v>0</v>
      </c>
      <c r="U335" cm="1">
        <f t="array" ref="U335">IF(M335="Control",INDEX(SR!A:A,1+BIN2DEC(MID($B335,28,2))),"")</f>
        <v>0</v>
      </c>
    </row>
    <row r="336" spans="1:30" x14ac:dyDescent="0.25">
      <c r="A336" s="4" t="str">
        <f t="shared" si="36"/>
        <v>14E</v>
      </c>
      <c r="B336" s="2" t="s">
        <v>333</v>
      </c>
      <c r="C336" s="3"/>
      <c r="D336" s="3"/>
      <c r="E336" s="3"/>
      <c r="F336" s="27" t="str" cm="1">
        <f t="array" ref="F336">INDEX(Sources!A:A, 1 + BIN2DEC(LEFT($B336,5)))</f>
        <v>SIGMA</v>
      </c>
      <c r="G336" s="27" t="str" cm="1">
        <f t="array" ref="G336">INDEX(Dest1!A:A,1+BIN2DEC(MID($B336,6,5)))</f>
        <v>SP</v>
      </c>
      <c r="H336" s="27" t="str" cm="1">
        <f t="array" ref="H336">INDEX(Source2!A:A,1+BIN2DEC(MID($B336,11,4)))</f>
        <v>11</v>
      </c>
      <c r="I336" s="23" t="str" cm="1">
        <f t="array" ref="I336">INDEX('D2'!A:A,1+BIN2DEC(MID($B336,16,2)))</f>
        <v>TMPB</v>
      </c>
      <c r="J336" s="6">
        <f t="shared" si="41"/>
        <v>0</v>
      </c>
      <c r="K336" s="6">
        <f t="shared" si="37"/>
        <v>0</v>
      </c>
      <c r="L336" s="6">
        <f t="shared" si="38"/>
        <v>0</v>
      </c>
      <c r="M336" s="3" t="str" cm="1">
        <f t="array" ref="M336">INDEX(Types!A:A,1+BIN2DEC(MID($B336,20,2)))</f>
        <v>Control</v>
      </c>
      <c r="N336" s="3" t="str" cm="1">
        <f t="array" ref="N336">IF(M336="ALU",INDEX(ALUOps!A:A,1+BIN2DEC(MID($B336,22,5))),"")</f>
        <v/>
      </c>
      <c r="O336" s="3" t="str" cm="1">
        <f t="array" ref="O336">IF(M336="ALU",INDEX(TMP!A:A,1+BIN2DEC(MID($B336,27,2))),"")</f>
        <v/>
      </c>
      <c r="P336" s="6" t="str">
        <f t="shared" si="39"/>
        <v/>
      </c>
      <c r="Q336" t="str">
        <f t="shared" si="40"/>
        <v/>
      </c>
      <c r="R336" t="str">
        <f t="shared" si="42"/>
        <v/>
      </c>
      <c r="S336" cm="1">
        <f t="array" ref="S336">IF(M336="Control",INDEX(IC!A:A,1+BIN2DEC(MID($B336,21,4))),"")</f>
        <v>7</v>
      </c>
      <c r="T336" cm="1">
        <f t="array" ref="T336">IF(M336="Control",INDEX(EC!A:A,1+BIN2DEC(MID($B336,25,3))),"")</f>
        <v>0</v>
      </c>
      <c r="U336" cm="1">
        <f t="array" ref="U336">IF(M336="Control",INDEX(SR!A:A,1+BIN2DEC(MID($B336,28,2))),"")</f>
        <v>0</v>
      </c>
    </row>
    <row r="337" spans="1:30" x14ac:dyDescent="0.25">
      <c r="A337" s="4" t="str">
        <f t="shared" si="36"/>
        <v>14F</v>
      </c>
      <c r="B337" s="2" t="s">
        <v>334</v>
      </c>
      <c r="C337" s="3"/>
      <c r="D337" s="3"/>
      <c r="E337" s="3"/>
      <c r="F337" s="27" t="str" cm="1">
        <f t="array" ref="F337">INDEX(Sources!A:A, 1 + BIN2DEC(LEFT($B337,5)))</f>
        <v>UNK27</v>
      </c>
      <c r="G337" s="27" t="str" cm="1">
        <f t="array" ref="G337">INDEX(Dest1!A:A,1+BIN2DEC(MID($B337,6,5)))</f>
        <v>TMPA</v>
      </c>
      <c r="H337" s="27" t="str" cm="1">
        <f t="array" ref="H337">INDEX(Source2!A:A,1+BIN2DEC(MID($B337,11,4)))</f>
        <v>--</v>
      </c>
      <c r="I337" s="23" cm="1">
        <f t="array" ref="I337">INDEX('D2'!A:A,1+BIN2DEC(MID($B337,16,2)))</f>
        <v>0</v>
      </c>
      <c r="J337" s="6">
        <f t="shared" si="41"/>
        <v>0</v>
      </c>
      <c r="K337" s="6">
        <f t="shared" si="37"/>
        <v>0</v>
      </c>
      <c r="L337" s="6">
        <f t="shared" si="38"/>
        <v>0</v>
      </c>
      <c r="M337" s="3" t="str" cm="1">
        <f t="array" ref="M337">INDEX(Types!A:A,1+BIN2DEC(MID($B337,20,2)))</f>
        <v>ALU</v>
      </c>
      <c r="N337" s="3" cm="1">
        <f t="array" ref="N337">IF(M337="ALU",INDEX(ALUOps!A:A,1+BIN2DEC(MID($B337,22,5))),"")</f>
        <v>31</v>
      </c>
      <c r="O337" s="3" cm="1">
        <f t="array" ref="O337">IF(M337="ALU",INDEX(TMP!A:A,1+BIN2DEC(MID($B337,27,2))),"")</f>
        <v>3</v>
      </c>
      <c r="P337" s="6">
        <f t="shared" si="39"/>
        <v>1</v>
      </c>
      <c r="Q337" t="str">
        <f t="shared" si="40"/>
        <v/>
      </c>
      <c r="R337" t="str">
        <f t="shared" si="42"/>
        <v/>
      </c>
      <c r="S337" t="str" cm="1">
        <f t="array" ref="S337">IF(M337="Control",INDEX(IC!A:A,1+BIN2DEC(MID($B337,21,4))),"")</f>
        <v/>
      </c>
      <c r="T337" t="str" cm="1">
        <f t="array" ref="T337">IF(M337="Control",INDEX(EC!A:A,1+BIN2DEC(MID($B337,25,3))),"")</f>
        <v/>
      </c>
      <c r="U337" t="str" cm="1">
        <f t="array" ref="U337">IF(M337="Control",INDEX(SR!A:A,1+BIN2DEC(MID($B337,28,2))),"")</f>
        <v/>
      </c>
    </row>
    <row r="338" spans="1:30" x14ac:dyDescent="0.25">
      <c r="A338" s="4" t="str">
        <f t="shared" si="36"/>
        <v>150</v>
      </c>
      <c r="B338" s="2" t="s">
        <v>335</v>
      </c>
      <c r="C338" s="2" t="s">
        <v>336</v>
      </c>
      <c r="D338" s="2" t="s">
        <v>928</v>
      </c>
      <c r="E338" s="2" t="s">
        <v>929</v>
      </c>
      <c r="F338" s="27" t="str" cm="1">
        <f t="array" ref="F338">INDEX(Sources!A:A, 1 + BIN2DEC(LEFT($B338,5)))</f>
        <v>SIGMA</v>
      </c>
      <c r="G338" s="27" t="str" cm="1">
        <f t="array" ref="G338">INDEX(Dest1!A:A,1+BIN2DEC(MID($B338,6,5)))</f>
        <v>PC</v>
      </c>
      <c r="H338" s="27" t="str" cm="1">
        <f t="array" ref="H338">INDEX(Source2!A:A,1+BIN2DEC(MID($B338,11,4)))</f>
        <v>--</v>
      </c>
      <c r="I338" s="23" cm="1">
        <f t="array" ref="I338">INDEX('D2'!A:A,1+BIN2DEC(MID($B338,16,2)))</f>
        <v>0</v>
      </c>
      <c r="J338" s="6">
        <f t="shared" si="41"/>
        <v>0</v>
      </c>
      <c r="K338" s="6">
        <f t="shared" si="37"/>
        <v>0</v>
      </c>
      <c r="L338" s="6">
        <f t="shared" si="38"/>
        <v>0</v>
      </c>
      <c r="M338" s="3" t="str" cm="1">
        <f t="array" ref="M338">INDEX(Types!A:A,1+BIN2DEC(MID($B338,20,2)))</f>
        <v>Control</v>
      </c>
      <c r="N338" s="3" t="str" cm="1">
        <f t="array" ref="N338">IF(M338="ALU",INDEX(ALUOps!A:A,1+BIN2DEC(MID($B338,22,5))),"")</f>
        <v/>
      </c>
      <c r="O338" s="3" t="str" cm="1">
        <f t="array" ref="O338">IF(M338="ALU",INDEX(TMP!A:A,1+BIN2DEC(MID($B338,27,2))),"")</f>
        <v/>
      </c>
      <c r="P338" s="6" t="str">
        <f t="shared" si="39"/>
        <v/>
      </c>
      <c r="Q338" t="str">
        <f t="shared" si="40"/>
        <v/>
      </c>
      <c r="R338" t="str">
        <f t="shared" si="42"/>
        <v/>
      </c>
      <c r="S338" cm="1">
        <f t="array" ref="S338">IF(M338="Control",INDEX(IC!A:A,1+BIN2DEC(MID($B338,21,4))),"")</f>
        <v>6</v>
      </c>
      <c r="T338" cm="1">
        <f t="array" ref="T338">IF(M338="Control",INDEX(EC!A:A,1+BIN2DEC(MID($B338,25,3))),"")</f>
        <v>0</v>
      </c>
      <c r="U338" cm="1">
        <f t="array" ref="U338">IF(M338="Control",INDEX(SR!A:A,1+BIN2DEC(MID($B338,28,2))),"")</f>
        <v>0</v>
      </c>
      <c r="AD338" s="1" t="s">
        <v>332</v>
      </c>
    </row>
    <row r="339" spans="1:30" x14ac:dyDescent="0.25">
      <c r="A339" s="4" t="str">
        <f t="shared" si="36"/>
        <v>151</v>
      </c>
      <c r="B339" s="2" t="s">
        <v>337</v>
      </c>
      <c r="C339" s="3"/>
      <c r="D339" s="3"/>
      <c r="E339" s="3"/>
      <c r="F339" s="27" t="str" cm="1">
        <f t="array" ref="F339">INDEX(Sources!A:A, 1 + BIN2DEC(LEFT($B339,5)))</f>
        <v>TMPA</v>
      </c>
      <c r="G339" s="27" t="str" cm="1">
        <f t="array" ref="G339">INDEX(Dest1!A:A,1+BIN2DEC(MID($B339,6,5)))</f>
        <v>OUT</v>
      </c>
      <c r="H339" s="27" t="str" cm="1">
        <f t="array" ref="H339">INDEX(Source2!A:A,1+BIN2DEC(MID($B339,11,4)))</f>
        <v>--</v>
      </c>
      <c r="I339" s="23" cm="1">
        <f t="array" ref="I339">INDEX('D2'!A:A,1+BIN2DEC(MID($B339,16,2)))</f>
        <v>0</v>
      </c>
      <c r="J339" s="6">
        <f t="shared" si="41"/>
        <v>0</v>
      </c>
      <c r="K339" s="6">
        <f t="shared" si="37"/>
        <v>0</v>
      </c>
      <c r="L339" s="6">
        <f t="shared" si="38"/>
        <v>1</v>
      </c>
      <c r="M339" s="3" t="str" cm="1">
        <f t="array" ref="M339">INDEX(Types!A:A,1+BIN2DEC(MID($B339,20,2)))</f>
        <v>Control</v>
      </c>
      <c r="N339" s="3" t="str" cm="1">
        <f t="array" ref="N339">IF(M339="ALU",INDEX(ALUOps!A:A,1+BIN2DEC(MID($B339,22,5))),"")</f>
        <v/>
      </c>
      <c r="O339" s="3" t="str" cm="1">
        <f t="array" ref="O339">IF(M339="ALU",INDEX(TMP!A:A,1+BIN2DEC(MID($B339,27,2))),"")</f>
        <v/>
      </c>
      <c r="P339" s="6" t="str">
        <f t="shared" si="39"/>
        <v/>
      </c>
      <c r="Q339" t="str">
        <f t="shared" si="40"/>
        <v/>
      </c>
      <c r="R339" t="str">
        <f t="shared" si="42"/>
        <v/>
      </c>
      <c r="S339" cm="1">
        <f t="array" ref="S339">IF(M339="Control",INDEX(IC!A:A,1+BIN2DEC(MID($B339,21,4))),"")</f>
        <v>0</v>
      </c>
      <c r="T339" cm="1">
        <f t="array" ref="T339">IF(M339="Control",INDEX(EC!A:A,1+BIN2DEC(MID($B339,25,3))),"")</f>
        <v>5</v>
      </c>
      <c r="U339" cm="1">
        <f t="array" ref="U339">IF(M339="Control",INDEX(SR!A:A,1+BIN2DEC(MID($B339,28,2))),"")</f>
        <v>1</v>
      </c>
    </row>
    <row r="340" spans="1:30" s="15" customFormat="1" x14ac:dyDescent="0.25">
      <c r="A340" s="12" t="str">
        <f t="shared" si="36"/>
        <v>152</v>
      </c>
      <c r="B340" s="13" t="s">
        <v>4</v>
      </c>
      <c r="C340" s="14"/>
      <c r="D340" s="14"/>
      <c r="E340" s="14"/>
      <c r="F340" s="28" t="str" cm="1">
        <f t="array" ref="F340">INDEX(Sources!A:A, 1 + BIN2DEC(LEFT($B340,5)))</f>
        <v>--</v>
      </c>
      <c r="G340" s="28" t="str" cm="1">
        <f t="array" ref="G340">INDEX(Dest1!A:A,1+BIN2DEC(MID($B340,6,5)))</f>
        <v>--</v>
      </c>
      <c r="H340" s="28" t="str" cm="1">
        <f t="array" ref="H340">INDEX(Source2!A:A,1+BIN2DEC(MID($B340,11,4)))</f>
        <v>--</v>
      </c>
      <c r="I340" s="24" cm="1">
        <f t="array" ref="I340">INDEX('D2'!A:A,1+BIN2DEC(MID($B340,16,2)))</f>
        <v>0</v>
      </c>
      <c r="J340" s="16">
        <f t="shared" si="41"/>
        <v>0</v>
      </c>
      <c r="K340" s="16">
        <f t="shared" si="37"/>
        <v>0</v>
      </c>
      <c r="L340" s="16">
        <f t="shared" si="38"/>
        <v>0</v>
      </c>
      <c r="M340" s="14" t="str" cm="1">
        <f t="array" ref="M340">INDEX(Types!A:A,1+BIN2DEC(MID($B340,20,2)))</f>
        <v>Control</v>
      </c>
      <c r="N340" s="14" t="str" cm="1">
        <f t="array" ref="N340">IF(M340="ALU",INDEX(ALUOps!A:A,1+BIN2DEC(MID($B340,22,5))),"")</f>
        <v/>
      </c>
      <c r="O340" s="14" t="str" cm="1">
        <f t="array" ref="O340">IF(M340="ALU",INDEX(TMP!A:A,1+BIN2DEC(MID($B340,27,2))),"")</f>
        <v/>
      </c>
      <c r="P340" s="16" t="str">
        <f t="shared" si="39"/>
        <v/>
      </c>
      <c r="Q340" s="15" t="str">
        <f t="shared" si="40"/>
        <v/>
      </c>
      <c r="R340" s="15" t="str">
        <f t="shared" si="42"/>
        <v/>
      </c>
      <c r="S340" s="15" cm="1">
        <f t="array" ref="S340">IF(M340="Control",INDEX(IC!A:A,1+BIN2DEC(MID($B340,21,4))),"")</f>
        <v>0</v>
      </c>
      <c r="T340" s="15" cm="1">
        <f t="array" ref="T340">IF(M340="Control",INDEX(EC!A:A,1+BIN2DEC(MID($B340,25,3))),"")</f>
        <v>0</v>
      </c>
      <c r="U340" s="15" cm="1">
        <f t="array" ref="U340">IF(M340="Control",INDEX(SR!A:A,1+BIN2DEC(MID($B340,28,2))),"")</f>
        <v>0</v>
      </c>
    </row>
    <row r="341" spans="1:30" s="20" customFormat="1" ht="15.75" thickBot="1" x14ac:dyDescent="0.3">
      <c r="A341" s="17" t="str">
        <f t="shared" si="36"/>
        <v>153</v>
      </c>
      <c r="B341" s="18" t="s">
        <v>4</v>
      </c>
      <c r="C341" s="19"/>
      <c r="D341" s="19"/>
      <c r="E341" s="19"/>
      <c r="F341" s="29" t="str" cm="1">
        <f t="array" ref="F341">INDEX(Sources!A:A, 1 + BIN2DEC(LEFT($B341,5)))</f>
        <v>--</v>
      </c>
      <c r="G341" s="29" t="str" cm="1">
        <f t="array" ref="G341">INDEX(Dest1!A:A,1+BIN2DEC(MID($B341,6,5)))</f>
        <v>--</v>
      </c>
      <c r="H341" s="29" t="str" cm="1">
        <f t="array" ref="H341">INDEX(Source2!A:A,1+BIN2DEC(MID($B341,11,4)))</f>
        <v>--</v>
      </c>
      <c r="I341" s="25" cm="1">
        <f t="array" ref="I341">INDEX('D2'!A:A,1+BIN2DEC(MID($B341,16,2)))</f>
        <v>0</v>
      </c>
      <c r="J341" s="21">
        <f t="shared" si="41"/>
        <v>0</v>
      </c>
      <c r="K341" s="21">
        <f t="shared" si="37"/>
        <v>0</v>
      </c>
      <c r="L341" s="21">
        <f t="shared" si="38"/>
        <v>0</v>
      </c>
      <c r="M341" s="19" t="str" cm="1">
        <f t="array" ref="M341">INDEX(Types!A:A,1+BIN2DEC(MID($B341,20,2)))</f>
        <v>Control</v>
      </c>
      <c r="N341" s="19" t="str" cm="1">
        <f t="array" ref="N341">IF(M341="ALU",INDEX(ALUOps!A:A,1+BIN2DEC(MID($B341,22,5))),"")</f>
        <v/>
      </c>
      <c r="O341" s="19" t="str" cm="1">
        <f t="array" ref="O341">IF(M341="ALU",INDEX(TMP!A:A,1+BIN2DEC(MID($B341,27,2))),"")</f>
        <v/>
      </c>
      <c r="P341" s="21" t="str">
        <f t="shared" si="39"/>
        <v/>
      </c>
      <c r="Q341" s="20" t="str">
        <f t="shared" si="40"/>
        <v/>
      </c>
      <c r="R341" s="20" t="str">
        <f t="shared" si="42"/>
        <v/>
      </c>
      <c r="S341" s="20" cm="1">
        <f t="array" ref="S341">IF(M341="Control",INDEX(IC!A:A,1+BIN2DEC(MID($B341,21,4))),"")</f>
        <v>0</v>
      </c>
      <c r="T341" s="20" cm="1">
        <f t="array" ref="T341">IF(M341="Control",INDEX(EC!A:A,1+BIN2DEC(MID($B341,25,3))),"")</f>
        <v>0</v>
      </c>
      <c r="U341" s="20" cm="1">
        <f t="array" ref="U341">IF(M341="Control",INDEX(SR!A:A,1+BIN2DEC(MID($B341,28,2))),"")</f>
        <v>0</v>
      </c>
    </row>
    <row r="342" spans="1:30" x14ac:dyDescent="0.25">
      <c r="A342" s="4" t="str">
        <f t="shared" si="36"/>
        <v>154</v>
      </c>
      <c r="B342" s="2" t="s">
        <v>56</v>
      </c>
      <c r="C342" s="2" t="s">
        <v>338</v>
      </c>
      <c r="D342" s="2" t="s">
        <v>928</v>
      </c>
      <c r="E342" s="2" t="s">
        <v>462</v>
      </c>
      <c r="F342" s="27" t="str" cm="1">
        <f t="array" ref="F342">INDEX(Sources!A:A, 1 + BIN2DEC(LEFT($B342,5)))</f>
        <v>Q</v>
      </c>
      <c r="G342" s="27" t="str" cm="1">
        <f t="array" ref="G342">INDEX(Dest1!A:A,1+BIN2DEC(MID($B342,6,5)))</f>
        <v>UNK10</v>
      </c>
      <c r="H342" s="27" t="str" cm="1">
        <f t="array" ref="H342">INDEX(Source2!A:A,1+BIN2DEC(MID($B342,11,4)))</f>
        <v>--</v>
      </c>
      <c r="I342" s="23" cm="1">
        <f t="array" ref="I342">INDEX('D2'!A:A,1+BIN2DEC(MID($B342,16,2)))</f>
        <v>0</v>
      </c>
      <c r="J342" s="6">
        <f t="shared" si="41"/>
        <v>0</v>
      </c>
      <c r="K342" s="6">
        <f t="shared" si="37"/>
        <v>0</v>
      </c>
      <c r="L342" s="6">
        <f t="shared" si="38"/>
        <v>0</v>
      </c>
      <c r="M342" s="3" t="str" cm="1">
        <f t="array" ref="M342">INDEX(Types!A:A,1+BIN2DEC(MID($B342,20,2)))</f>
        <v>ALU</v>
      </c>
      <c r="N342" s="3" cm="1">
        <f t="array" ref="N342">IF(M342="ALU",INDEX(ALUOps!A:A,1+BIN2DEC(MID($B342,22,5))),"")</f>
        <v>31</v>
      </c>
      <c r="O342" s="3" cm="1">
        <f t="array" ref="O342">IF(M342="ALU",INDEX(TMP!A:A,1+BIN2DEC(MID($B342,27,2))),"")</f>
        <v>3</v>
      </c>
      <c r="P342" s="6">
        <f t="shared" si="39"/>
        <v>1</v>
      </c>
      <c r="Q342" t="str">
        <f t="shared" si="40"/>
        <v/>
      </c>
      <c r="R342" t="str">
        <f t="shared" si="42"/>
        <v/>
      </c>
      <c r="S342" t="str" cm="1">
        <f t="array" ref="S342">IF(M342="Control",INDEX(IC!A:A,1+BIN2DEC(MID($B342,21,4))),"")</f>
        <v/>
      </c>
      <c r="T342" t="str" cm="1">
        <f t="array" ref="T342">IF(M342="Control",INDEX(EC!A:A,1+BIN2DEC(MID($B342,25,3))),"")</f>
        <v/>
      </c>
      <c r="U342" t="str" cm="1">
        <f t="array" ref="U342">IF(M342="Control",INDEX(SR!A:A,1+BIN2DEC(MID($B342,28,2))),"")</f>
        <v/>
      </c>
      <c r="X342" t="s">
        <v>1031</v>
      </c>
      <c r="AD342" s="1" t="s">
        <v>339</v>
      </c>
    </row>
    <row r="343" spans="1:30" x14ac:dyDescent="0.25">
      <c r="A343" s="4" t="str">
        <f t="shared" si="36"/>
        <v>155</v>
      </c>
      <c r="B343" s="2" t="s">
        <v>340</v>
      </c>
      <c r="C343" s="3"/>
      <c r="D343" s="3"/>
      <c r="E343" s="3"/>
      <c r="F343" s="27" t="str" cm="1">
        <f t="array" ref="F343">INDEX(Sources!A:A, 1 + BIN2DEC(LEFT($B343,5)))</f>
        <v>Q</v>
      </c>
      <c r="G343" s="27" t="str" cm="1">
        <f t="array" ref="G343">INDEX(Dest1!A:A,1+BIN2DEC(MID($B343,6,5)))</f>
        <v>UNK8</v>
      </c>
      <c r="H343" s="27" t="str" cm="1">
        <f t="array" ref="H343">INDEX(Source2!A:A,1+BIN2DEC(MID($B343,11,4)))</f>
        <v>--</v>
      </c>
      <c r="I343" s="23" cm="1">
        <f t="array" ref="I343">INDEX('D2'!A:A,1+BIN2DEC(MID($B343,16,2)))</f>
        <v>0</v>
      </c>
      <c r="J343" s="6">
        <f t="shared" si="41"/>
        <v>0</v>
      </c>
      <c r="K343" s="6">
        <f t="shared" si="37"/>
        <v>0</v>
      </c>
      <c r="L343" s="6">
        <f t="shared" si="38"/>
        <v>0</v>
      </c>
      <c r="M343" s="3" t="str" cm="1">
        <f t="array" ref="M343">INDEX(Types!A:A,1+BIN2DEC(MID($B343,20,2)))</f>
        <v>Jump</v>
      </c>
      <c r="N343" s="3" t="str" cm="1">
        <f t="array" ref="N343">IF(M343="ALU",INDEX(ALUOps!A:A,1+BIN2DEC(MID($B343,22,5))),"")</f>
        <v/>
      </c>
      <c r="O343" s="3" t="str" cm="1">
        <f t="array" ref="O343">IF(M343="ALU",INDEX(TMP!A:A,1+BIN2DEC(MID($B343,27,2))),"")</f>
        <v/>
      </c>
      <c r="P343" s="6" t="str">
        <f t="shared" si="39"/>
        <v/>
      </c>
      <c r="Q343">
        <f t="shared" si="40"/>
        <v>7</v>
      </c>
      <c r="R343">
        <f t="shared" si="42"/>
        <v>2</v>
      </c>
      <c r="S343" t="str" cm="1">
        <f t="array" ref="S343">IF(M343="Control",INDEX(IC!A:A,1+BIN2DEC(MID($B343,21,4))),"")</f>
        <v/>
      </c>
      <c r="T343" t="str" cm="1">
        <f t="array" ref="T343">IF(M343="Control",INDEX(EC!A:A,1+BIN2DEC(MID($B343,25,3))),"")</f>
        <v/>
      </c>
      <c r="U343" t="str" cm="1">
        <f t="array" ref="U343">IF(M343="Control",INDEX(SR!A:A,1+BIN2DEC(MID($B343,28,2))),"")</f>
        <v/>
      </c>
    </row>
    <row r="344" spans="1:30" x14ac:dyDescent="0.25">
      <c r="A344" s="4" t="str">
        <f t="shared" si="36"/>
        <v>156</v>
      </c>
      <c r="B344" s="2" t="s">
        <v>60</v>
      </c>
      <c r="C344" s="3"/>
      <c r="D344" s="3"/>
      <c r="E344" s="3"/>
      <c r="F344" s="27" t="str" cm="1">
        <f t="array" ref="F344">INDEX(Sources!A:A, 1 + BIN2DEC(LEFT($B344,5)))</f>
        <v>UNK27</v>
      </c>
      <c r="G344" s="27" t="str" cm="1">
        <f t="array" ref="G344">INDEX(Dest1!A:A,1+BIN2DEC(MID($B344,6,5)))</f>
        <v>TMPB</v>
      </c>
      <c r="H344" s="27" t="str" cm="1">
        <f t="array" ref="H344">INDEX(Source2!A:A,1+BIN2DEC(MID($B344,11,4)))</f>
        <v>--</v>
      </c>
      <c r="I344" s="23" cm="1">
        <f t="array" ref="I344">INDEX('D2'!A:A,1+BIN2DEC(MID($B344,16,2)))</f>
        <v>0</v>
      </c>
      <c r="J344" s="6">
        <f t="shared" si="41"/>
        <v>0</v>
      </c>
      <c r="K344" s="6">
        <f t="shared" si="37"/>
        <v>0</v>
      </c>
      <c r="L344" s="6">
        <f t="shared" si="38"/>
        <v>0</v>
      </c>
      <c r="M344" s="3" t="str" cm="1">
        <f t="array" ref="M344">INDEX(Types!A:A,1+BIN2DEC(MID($B344,20,2)))</f>
        <v>Control</v>
      </c>
      <c r="N344" s="3" t="str" cm="1">
        <f t="array" ref="N344">IF(M344="ALU",INDEX(ALUOps!A:A,1+BIN2DEC(MID($B344,22,5))),"")</f>
        <v/>
      </c>
      <c r="O344" s="3" t="str" cm="1">
        <f t="array" ref="O344">IF(M344="ALU",INDEX(TMP!A:A,1+BIN2DEC(MID($B344,27,2))),"")</f>
        <v/>
      </c>
      <c r="P344" s="6" t="str">
        <f t="shared" si="39"/>
        <v/>
      </c>
      <c r="Q344" t="str">
        <f t="shared" si="40"/>
        <v/>
      </c>
      <c r="R344" t="str">
        <f t="shared" si="42"/>
        <v/>
      </c>
      <c r="S344" cm="1">
        <f t="array" ref="S344">IF(M344="Control",INDEX(IC!A:A,1+BIN2DEC(MID($B344,21,4))),"")</f>
        <v>7</v>
      </c>
      <c r="T344" cm="1">
        <f t="array" ref="T344">IF(M344="Control",INDEX(EC!A:A,1+BIN2DEC(MID($B344,25,3))),"")</f>
        <v>0</v>
      </c>
      <c r="U344" cm="1">
        <f t="array" ref="U344">IF(M344="Control",INDEX(SR!A:A,1+BIN2DEC(MID($B344,28,2))),"")</f>
        <v>0</v>
      </c>
    </row>
    <row r="345" spans="1:30" s="9" customFormat="1" ht="15.75" thickBot="1" x14ac:dyDescent="0.3">
      <c r="A345" s="7" t="str">
        <f t="shared" si="36"/>
        <v>157</v>
      </c>
      <c r="B345" s="8" t="s">
        <v>62</v>
      </c>
      <c r="C345" s="10"/>
      <c r="D345" s="10"/>
      <c r="E345" s="10"/>
      <c r="F345" s="30" t="str" cm="1">
        <f t="array" ref="F345">INDEX(Sources!A:A, 1 + BIN2DEC(LEFT($B345,5)))</f>
        <v>SIGMA</v>
      </c>
      <c r="G345" s="30" t="str" cm="1">
        <f t="array" ref="G345">INDEX(Dest1!A:A,1+BIN2DEC(MID($B345,6,5)))</f>
        <v>PC</v>
      </c>
      <c r="H345" s="30" t="str" cm="1">
        <f t="array" ref="H345">INDEX(Source2!A:A,1+BIN2DEC(MID($B345,11,4)))</f>
        <v>--</v>
      </c>
      <c r="I345" s="26" cm="1">
        <f t="array" ref="I345">INDEX('D2'!A:A,1+BIN2DEC(MID($B345,16,2)))</f>
        <v>0</v>
      </c>
      <c r="J345" s="11">
        <f t="shared" si="41"/>
        <v>0</v>
      </c>
      <c r="K345" s="11">
        <f t="shared" si="37"/>
        <v>0</v>
      </c>
      <c r="L345" s="11">
        <f t="shared" si="38"/>
        <v>1</v>
      </c>
      <c r="M345" s="10" t="str" cm="1">
        <f t="array" ref="M345">INDEX(Types!A:A,1+BIN2DEC(MID($B345,20,2)))</f>
        <v>Control</v>
      </c>
      <c r="N345" s="10" t="str" cm="1">
        <f t="array" ref="N345">IF(M345="ALU",INDEX(ALUOps!A:A,1+BIN2DEC(MID($B345,22,5))),"")</f>
        <v/>
      </c>
      <c r="O345" s="10" t="str" cm="1">
        <f t="array" ref="O345">IF(M345="ALU",INDEX(TMP!A:A,1+BIN2DEC(MID($B345,27,2))),"")</f>
        <v/>
      </c>
      <c r="P345" s="11" t="str">
        <f t="shared" si="39"/>
        <v/>
      </c>
      <c r="Q345" s="9" t="str">
        <f t="shared" si="40"/>
        <v/>
      </c>
      <c r="R345" s="9" t="str">
        <f t="shared" si="42"/>
        <v/>
      </c>
      <c r="S345" s="9" cm="1">
        <f t="array" ref="S345">IF(M345="Control",INDEX(IC!A:A,1+BIN2DEC(MID($B345,21,4))),"")</f>
        <v>6</v>
      </c>
      <c r="T345" s="9" cm="1">
        <f t="array" ref="T345">IF(M345="Control",INDEX(EC!A:A,1+BIN2DEC(MID($B345,25,3))),"")</f>
        <v>0</v>
      </c>
      <c r="U345" s="9" cm="1">
        <f t="array" ref="U345">IF(M345="Control",INDEX(SR!A:A,1+BIN2DEC(MID($B345,28,2))),"")</f>
        <v>0</v>
      </c>
    </row>
    <row r="346" spans="1:30" x14ac:dyDescent="0.25">
      <c r="A346" s="4" t="str">
        <f t="shared" si="36"/>
        <v>158</v>
      </c>
      <c r="B346" s="2" t="s">
        <v>56</v>
      </c>
      <c r="C346" s="2" t="s">
        <v>341</v>
      </c>
      <c r="D346" s="2" t="s">
        <v>928</v>
      </c>
      <c r="E346" s="2" t="s">
        <v>462</v>
      </c>
      <c r="F346" s="27" t="str" cm="1">
        <f t="array" ref="F346">INDEX(Sources!A:A, 1 + BIN2DEC(LEFT($B346,5)))</f>
        <v>Q</v>
      </c>
      <c r="G346" s="27" t="str" cm="1">
        <f t="array" ref="G346">INDEX(Dest1!A:A,1+BIN2DEC(MID($B346,6,5)))</f>
        <v>UNK10</v>
      </c>
      <c r="H346" s="27" t="str" cm="1">
        <f t="array" ref="H346">INDEX(Source2!A:A,1+BIN2DEC(MID($B346,11,4)))</f>
        <v>--</v>
      </c>
      <c r="I346" s="23" cm="1">
        <f t="array" ref="I346">INDEX('D2'!A:A,1+BIN2DEC(MID($B346,16,2)))</f>
        <v>0</v>
      </c>
      <c r="J346" s="6">
        <f t="shared" si="41"/>
        <v>0</v>
      </c>
      <c r="K346" s="6">
        <f t="shared" si="37"/>
        <v>0</v>
      </c>
      <c r="L346" s="6">
        <f t="shared" si="38"/>
        <v>0</v>
      </c>
      <c r="M346" s="3" t="str" cm="1">
        <f t="array" ref="M346">INDEX(Types!A:A,1+BIN2DEC(MID($B346,20,2)))</f>
        <v>ALU</v>
      </c>
      <c r="N346" s="3" cm="1">
        <f t="array" ref="N346">IF(M346="ALU",INDEX(ALUOps!A:A,1+BIN2DEC(MID($B346,22,5))),"")</f>
        <v>31</v>
      </c>
      <c r="O346" s="3" cm="1">
        <f t="array" ref="O346">IF(M346="ALU",INDEX(TMP!A:A,1+BIN2DEC(MID($B346,27,2))),"")</f>
        <v>3</v>
      </c>
      <c r="P346" s="6">
        <f t="shared" si="39"/>
        <v>1</v>
      </c>
      <c r="Q346" t="str">
        <f t="shared" si="40"/>
        <v/>
      </c>
      <c r="R346" t="str">
        <f t="shared" si="42"/>
        <v/>
      </c>
      <c r="S346" t="str" cm="1">
        <f t="array" ref="S346">IF(M346="Control",INDEX(IC!A:A,1+BIN2DEC(MID($B346,21,4))),"")</f>
        <v/>
      </c>
      <c r="T346" t="str" cm="1">
        <f t="array" ref="T346">IF(M346="Control",INDEX(EC!A:A,1+BIN2DEC(MID($B346,25,3))),"")</f>
        <v/>
      </c>
      <c r="U346" t="str" cm="1">
        <f t="array" ref="U346">IF(M346="Control",INDEX(SR!A:A,1+BIN2DEC(MID($B346,28,2))),"")</f>
        <v/>
      </c>
      <c r="X346" t="s">
        <v>1032</v>
      </c>
      <c r="AD346" s="1" t="s">
        <v>342</v>
      </c>
    </row>
    <row r="347" spans="1:30" x14ac:dyDescent="0.25">
      <c r="A347" s="4" t="str">
        <f t="shared" si="36"/>
        <v>159</v>
      </c>
      <c r="B347" s="2" t="s">
        <v>120</v>
      </c>
      <c r="C347" s="3"/>
      <c r="D347" s="3"/>
      <c r="E347" s="3"/>
      <c r="F347" s="27" t="str" cm="1">
        <f t="array" ref="F347">INDEX(Sources!A:A, 1 + BIN2DEC(LEFT($B347,5)))</f>
        <v>--</v>
      </c>
      <c r="G347" s="27" t="str" cm="1">
        <f t="array" ref="G347">INDEX(Dest1!A:A,1+BIN2DEC(MID($B347,6,5)))</f>
        <v>--</v>
      </c>
      <c r="H347" s="27" t="str" cm="1">
        <f t="array" ref="H347">INDEX(Source2!A:A,1+BIN2DEC(MID($B347,11,4)))</f>
        <v>--</v>
      </c>
      <c r="I347" s="23" cm="1">
        <f t="array" ref="I347">INDEX('D2'!A:A,1+BIN2DEC(MID($B347,16,2)))</f>
        <v>0</v>
      </c>
      <c r="J347" s="6">
        <f t="shared" si="41"/>
        <v>0</v>
      </c>
      <c r="K347" s="6">
        <f t="shared" si="37"/>
        <v>0</v>
      </c>
      <c r="L347" s="6">
        <f t="shared" si="38"/>
        <v>0</v>
      </c>
      <c r="M347" s="3" t="str" cm="1">
        <f t="array" ref="M347">INDEX(Types!A:A,1+BIN2DEC(MID($B347,20,2)))</f>
        <v>Control</v>
      </c>
      <c r="N347" s="3" t="str" cm="1">
        <f t="array" ref="N347">IF(M347="ALU",INDEX(ALUOps!A:A,1+BIN2DEC(MID($B347,22,5))),"")</f>
        <v/>
      </c>
      <c r="O347" s="3" t="str" cm="1">
        <f t="array" ref="O347">IF(M347="ALU",INDEX(TMP!A:A,1+BIN2DEC(MID($B347,27,2))),"")</f>
        <v/>
      </c>
      <c r="P347" s="6" t="str">
        <f t="shared" si="39"/>
        <v/>
      </c>
      <c r="Q347" t="str">
        <f t="shared" si="40"/>
        <v/>
      </c>
      <c r="R347" t="str">
        <f t="shared" si="42"/>
        <v/>
      </c>
      <c r="S347" cm="1">
        <f t="array" ref="S347">IF(M347="Control",INDEX(IC!A:A,1+BIN2DEC(MID($B347,21,4))),"")</f>
        <v>7</v>
      </c>
      <c r="T347" cm="1">
        <f t="array" ref="T347">IF(M347="Control",INDEX(EC!A:A,1+BIN2DEC(MID($B347,25,3))),"")</f>
        <v>0</v>
      </c>
      <c r="U347" cm="1">
        <f t="array" ref="U347">IF(M347="Control",INDEX(SR!A:A,1+BIN2DEC(MID($B347,28,2))),"")</f>
        <v>0</v>
      </c>
    </row>
    <row r="348" spans="1:30" x14ac:dyDescent="0.25">
      <c r="A348" s="4" t="str">
        <f t="shared" si="36"/>
        <v>15A</v>
      </c>
      <c r="B348" s="2" t="s">
        <v>343</v>
      </c>
      <c r="C348" s="3"/>
      <c r="D348" s="3"/>
      <c r="E348" s="3"/>
      <c r="F348" s="27" t="str" cm="1">
        <f t="array" ref="F348">INDEX(Sources!A:A, 1 + BIN2DEC(LEFT($B348,5)))</f>
        <v>UNK27</v>
      </c>
      <c r="G348" s="27" t="str" cm="1">
        <f t="array" ref="G348">INDEX(Dest1!A:A,1+BIN2DEC(MID($B348,6,5)))</f>
        <v>TMPB</v>
      </c>
      <c r="H348" s="27" t="str" cm="1">
        <f t="array" ref="H348">INDEX(Source2!A:A,1+BIN2DEC(MID($B348,11,4)))</f>
        <v>--</v>
      </c>
      <c r="I348" s="23" cm="1">
        <f t="array" ref="I348">INDEX('D2'!A:A,1+BIN2DEC(MID($B348,16,2)))</f>
        <v>0</v>
      </c>
      <c r="J348" s="6">
        <f t="shared" si="41"/>
        <v>0</v>
      </c>
      <c r="K348" s="6">
        <f t="shared" si="37"/>
        <v>0</v>
      </c>
      <c r="L348" s="6">
        <f t="shared" si="38"/>
        <v>0</v>
      </c>
      <c r="M348" s="3" t="str" cm="1">
        <f t="array" ref="M348">INDEX(Types!A:A,1+BIN2DEC(MID($B348,20,2)))</f>
        <v>Control</v>
      </c>
      <c r="N348" s="3" t="str" cm="1">
        <f t="array" ref="N348">IF(M348="ALU",INDEX(ALUOps!A:A,1+BIN2DEC(MID($B348,22,5))),"")</f>
        <v/>
      </c>
      <c r="O348" s="3" t="str" cm="1">
        <f t="array" ref="O348">IF(M348="ALU",INDEX(TMP!A:A,1+BIN2DEC(MID($B348,27,2))),"")</f>
        <v/>
      </c>
      <c r="P348" s="6" t="str">
        <f t="shared" si="39"/>
        <v/>
      </c>
      <c r="Q348" t="str">
        <f t="shared" si="40"/>
        <v/>
      </c>
      <c r="R348" t="str">
        <f t="shared" si="42"/>
        <v/>
      </c>
      <c r="S348" cm="1">
        <f t="array" ref="S348">IF(M348="Control",INDEX(IC!A:A,1+BIN2DEC(MID($B348,21,4))),"")</f>
        <v>0</v>
      </c>
      <c r="T348" cm="1">
        <f t="array" ref="T348">IF(M348="Control",INDEX(EC!A:A,1+BIN2DEC(MID($B348,25,3))),"")</f>
        <v>0</v>
      </c>
      <c r="U348" cm="1">
        <f t="array" ref="U348">IF(M348="Control",INDEX(SR!A:A,1+BIN2DEC(MID($B348,28,2))),"")</f>
        <v>0</v>
      </c>
    </row>
    <row r="349" spans="1:30" s="9" customFormat="1" ht="15.75" thickBot="1" x14ac:dyDescent="0.3">
      <c r="A349" s="7" t="str">
        <f t="shared" si="36"/>
        <v>15B</v>
      </c>
      <c r="B349" s="8" t="s">
        <v>62</v>
      </c>
      <c r="C349" s="10"/>
      <c r="D349" s="10"/>
      <c r="E349" s="10"/>
      <c r="F349" s="30" t="str" cm="1">
        <f t="array" ref="F349">INDEX(Sources!A:A, 1 + BIN2DEC(LEFT($B349,5)))</f>
        <v>SIGMA</v>
      </c>
      <c r="G349" s="30" t="str" cm="1">
        <f t="array" ref="G349">INDEX(Dest1!A:A,1+BIN2DEC(MID($B349,6,5)))</f>
        <v>PC</v>
      </c>
      <c r="H349" s="30" t="str" cm="1">
        <f t="array" ref="H349">INDEX(Source2!A:A,1+BIN2DEC(MID($B349,11,4)))</f>
        <v>--</v>
      </c>
      <c r="I349" s="26" cm="1">
        <f t="array" ref="I349">INDEX('D2'!A:A,1+BIN2DEC(MID($B349,16,2)))</f>
        <v>0</v>
      </c>
      <c r="J349" s="11">
        <f t="shared" si="41"/>
        <v>0</v>
      </c>
      <c r="K349" s="11">
        <f t="shared" si="37"/>
        <v>0</v>
      </c>
      <c r="L349" s="11">
        <f t="shared" si="38"/>
        <v>1</v>
      </c>
      <c r="M349" s="10" t="str" cm="1">
        <f t="array" ref="M349">INDEX(Types!A:A,1+BIN2DEC(MID($B349,20,2)))</f>
        <v>Control</v>
      </c>
      <c r="N349" s="10" t="str" cm="1">
        <f t="array" ref="N349">IF(M349="ALU",INDEX(ALUOps!A:A,1+BIN2DEC(MID($B349,22,5))),"")</f>
        <v/>
      </c>
      <c r="O349" s="10" t="str" cm="1">
        <f t="array" ref="O349">IF(M349="ALU",INDEX(TMP!A:A,1+BIN2DEC(MID($B349,27,2))),"")</f>
        <v/>
      </c>
      <c r="P349" s="11" t="str">
        <f t="shared" si="39"/>
        <v/>
      </c>
      <c r="Q349" s="9" t="str">
        <f t="shared" si="40"/>
        <v/>
      </c>
      <c r="R349" s="9" t="str">
        <f t="shared" si="42"/>
        <v/>
      </c>
      <c r="S349" s="9" cm="1">
        <f t="array" ref="S349">IF(M349="Control",INDEX(IC!A:A,1+BIN2DEC(MID($B349,21,4))),"")</f>
        <v>6</v>
      </c>
      <c r="T349" s="9" cm="1">
        <f t="array" ref="T349">IF(M349="Control",INDEX(EC!A:A,1+BIN2DEC(MID($B349,25,3))),"")</f>
        <v>0</v>
      </c>
      <c r="U349" s="9" cm="1">
        <f t="array" ref="U349">IF(M349="Control",INDEX(SR!A:A,1+BIN2DEC(MID($B349,28,2))),"")</f>
        <v>0</v>
      </c>
    </row>
    <row r="350" spans="1:30" x14ac:dyDescent="0.25">
      <c r="A350" s="4" t="str">
        <f t="shared" si="36"/>
        <v>15C</v>
      </c>
      <c r="B350" s="2" t="s">
        <v>111</v>
      </c>
      <c r="C350" s="2" t="s">
        <v>344</v>
      </c>
      <c r="D350" s="2" t="s">
        <v>928</v>
      </c>
      <c r="E350" s="2" t="s">
        <v>462</v>
      </c>
      <c r="F350" s="27" t="str" cm="1">
        <f t="array" ref="F350">INDEX(Sources!A:A, 1 + BIN2DEC(LEFT($B350,5)))</f>
        <v>Q</v>
      </c>
      <c r="G350" s="27" t="str" cm="1">
        <f t="array" ref="G350">INDEX(Dest1!A:A,1+BIN2DEC(MID($B350,6,5)))</f>
        <v>UNK10</v>
      </c>
      <c r="H350" s="27" t="str" cm="1">
        <f t="array" ref="H350">INDEX(Source2!A:A,1+BIN2DEC(MID($B350,11,4)))</f>
        <v>--</v>
      </c>
      <c r="I350" s="23" cm="1">
        <f t="array" ref="I350">INDEX('D2'!A:A,1+BIN2DEC(MID($B350,16,2)))</f>
        <v>0</v>
      </c>
      <c r="J350" s="6">
        <f t="shared" si="41"/>
        <v>0</v>
      </c>
      <c r="K350" s="6">
        <f t="shared" si="37"/>
        <v>0</v>
      </c>
      <c r="L350" s="6">
        <f t="shared" si="38"/>
        <v>0</v>
      </c>
      <c r="M350" s="3" t="str" cm="1">
        <f t="array" ref="M350">INDEX(Types!A:A,1+BIN2DEC(MID($B350,20,2)))</f>
        <v>Control</v>
      </c>
      <c r="N350" s="3" t="str" cm="1">
        <f t="array" ref="N350">IF(M350="ALU",INDEX(ALUOps!A:A,1+BIN2DEC(MID($B350,22,5))),"")</f>
        <v/>
      </c>
      <c r="O350" s="3" t="str" cm="1">
        <f t="array" ref="O350">IF(M350="ALU",INDEX(TMP!A:A,1+BIN2DEC(MID($B350,27,2))),"")</f>
        <v/>
      </c>
      <c r="P350" s="6" t="str">
        <f t="shared" si="39"/>
        <v/>
      </c>
      <c r="Q350" t="str">
        <f t="shared" si="40"/>
        <v/>
      </c>
      <c r="R350" t="str">
        <f t="shared" si="42"/>
        <v/>
      </c>
      <c r="S350" cm="1">
        <f t="array" ref="S350">IF(M350="Control",INDEX(IC!A:A,1+BIN2DEC(MID($B350,21,4))),"")</f>
        <v>0</v>
      </c>
      <c r="T350" cm="1">
        <f t="array" ref="T350">IF(M350="Control",INDEX(EC!A:A,1+BIN2DEC(MID($B350,25,3))),"")</f>
        <v>0</v>
      </c>
      <c r="U350" cm="1">
        <f t="array" ref="U350">IF(M350="Control",INDEX(SR!A:A,1+BIN2DEC(MID($B350,28,2))),"")</f>
        <v>0</v>
      </c>
      <c r="X350" t="s">
        <v>1033</v>
      </c>
      <c r="AD350" s="1" t="s">
        <v>345</v>
      </c>
    </row>
    <row r="351" spans="1:30" x14ac:dyDescent="0.25">
      <c r="A351" s="4" t="str">
        <f t="shared" si="36"/>
        <v>15D</v>
      </c>
      <c r="B351" s="2" t="s">
        <v>66</v>
      </c>
      <c r="C351" s="3"/>
      <c r="D351" s="3"/>
      <c r="E351" s="3"/>
      <c r="F351" s="27" t="str" cm="1">
        <f t="array" ref="F351">INDEX(Sources!A:A, 1 + BIN2DEC(LEFT($B351,5)))</f>
        <v>Q</v>
      </c>
      <c r="G351" s="27" t="str" cm="1">
        <f t="array" ref="G351">INDEX(Dest1!A:A,1+BIN2DEC(MID($B351,6,5)))</f>
        <v>UNK8</v>
      </c>
      <c r="H351" s="27" t="str" cm="1">
        <f t="array" ref="H351">INDEX(Source2!A:A,1+BIN2DEC(MID($B351,11,4)))</f>
        <v>--</v>
      </c>
      <c r="I351" s="23" cm="1">
        <f t="array" ref="I351">INDEX('D2'!A:A,1+BIN2DEC(MID($B351,16,2)))</f>
        <v>0</v>
      </c>
      <c r="J351" s="6">
        <f t="shared" si="41"/>
        <v>0</v>
      </c>
      <c r="K351" s="6">
        <f t="shared" si="37"/>
        <v>0</v>
      </c>
      <c r="L351" s="6">
        <f t="shared" si="38"/>
        <v>0</v>
      </c>
      <c r="M351" s="3" t="str" cm="1">
        <f t="array" ref="M351">INDEX(Types!A:A,1+BIN2DEC(MID($B351,20,2)))</f>
        <v>Control</v>
      </c>
      <c r="N351" s="3" t="str" cm="1">
        <f t="array" ref="N351">IF(M351="ALU",INDEX(ALUOps!A:A,1+BIN2DEC(MID($B351,22,5))),"")</f>
        <v/>
      </c>
      <c r="O351" s="3" t="str" cm="1">
        <f t="array" ref="O351">IF(M351="ALU",INDEX(TMP!A:A,1+BIN2DEC(MID($B351,27,2))),"")</f>
        <v/>
      </c>
      <c r="P351" s="6" t="str">
        <f t="shared" si="39"/>
        <v/>
      </c>
      <c r="Q351" t="str">
        <f t="shared" si="40"/>
        <v/>
      </c>
      <c r="R351" t="str">
        <f t="shared" si="42"/>
        <v/>
      </c>
      <c r="S351" cm="1">
        <f t="array" ref="S351">IF(M351="Control",INDEX(IC!A:A,1+BIN2DEC(MID($B351,21,4))),"")</f>
        <v>0</v>
      </c>
      <c r="T351" cm="1">
        <f t="array" ref="T351">IF(M351="Control",INDEX(EC!A:A,1+BIN2DEC(MID($B351,25,3))),"")</f>
        <v>0</v>
      </c>
      <c r="U351" cm="1">
        <f t="array" ref="U351">IF(M351="Control",INDEX(SR!A:A,1+BIN2DEC(MID($B351,28,2))),"")</f>
        <v>0</v>
      </c>
    </row>
    <row r="352" spans="1:30" x14ac:dyDescent="0.25">
      <c r="A352" s="4" t="str">
        <f t="shared" si="36"/>
        <v>15E</v>
      </c>
      <c r="B352" s="2" t="s">
        <v>108</v>
      </c>
      <c r="C352" s="3"/>
      <c r="D352" s="3"/>
      <c r="E352" s="3"/>
      <c r="F352" s="27" t="str" cm="1">
        <f t="array" ref="F352">INDEX(Sources!A:A, 1 + BIN2DEC(LEFT($B352,5)))</f>
        <v>Q</v>
      </c>
      <c r="G352" s="27" t="str" cm="1">
        <f t="array" ref="G352">INDEX(Dest1!A:A,1+BIN2DEC(MID($B352,6,5)))</f>
        <v>UNK11</v>
      </c>
      <c r="H352" s="27" t="str" cm="1">
        <f t="array" ref="H352">INDEX(Source2!A:A,1+BIN2DEC(MID($B352,11,4)))</f>
        <v>--</v>
      </c>
      <c r="I352" s="23" cm="1">
        <f t="array" ref="I352">INDEX('D2'!A:A,1+BIN2DEC(MID($B352,16,2)))</f>
        <v>0</v>
      </c>
      <c r="J352" s="6">
        <f t="shared" si="41"/>
        <v>0</v>
      </c>
      <c r="K352" s="6">
        <f t="shared" si="37"/>
        <v>0</v>
      </c>
      <c r="L352" s="6">
        <f t="shared" si="38"/>
        <v>0</v>
      </c>
      <c r="M352" s="3" t="str" cm="1">
        <f t="array" ref="M352">INDEX(Types!A:A,1+BIN2DEC(MID($B352,20,2)))</f>
        <v>Control</v>
      </c>
      <c r="N352" s="3" t="str" cm="1">
        <f t="array" ref="N352">IF(M352="ALU",INDEX(ALUOps!A:A,1+BIN2DEC(MID($B352,22,5))),"")</f>
        <v/>
      </c>
      <c r="O352" s="3" t="str" cm="1">
        <f t="array" ref="O352">IF(M352="ALU",INDEX(TMP!A:A,1+BIN2DEC(MID($B352,27,2))),"")</f>
        <v/>
      </c>
      <c r="P352" s="6" t="str">
        <f t="shared" si="39"/>
        <v/>
      </c>
      <c r="Q352" t="str">
        <f t="shared" si="40"/>
        <v/>
      </c>
      <c r="R352" t="str">
        <f t="shared" si="42"/>
        <v/>
      </c>
      <c r="S352" cm="1">
        <f t="array" ref="S352">IF(M352="Control",INDEX(IC!A:A,1+BIN2DEC(MID($B352,21,4))),"")</f>
        <v>0</v>
      </c>
      <c r="T352" cm="1">
        <f t="array" ref="T352">IF(M352="Control",INDEX(EC!A:A,1+BIN2DEC(MID($B352,25,3))),"")</f>
        <v>0</v>
      </c>
      <c r="U352" cm="1">
        <f t="array" ref="U352">IF(M352="Control",INDEX(SR!A:A,1+BIN2DEC(MID($B352,28,2))),"")</f>
        <v>0</v>
      </c>
    </row>
    <row r="353" spans="1:30" x14ac:dyDescent="0.25">
      <c r="A353" s="4" t="str">
        <f t="shared" si="36"/>
        <v>15F</v>
      </c>
      <c r="B353" s="2" t="s">
        <v>8</v>
      </c>
      <c r="C353" s="3"/>
      <c r="D353" s="3"/>
      <c r="E353" s="3"/>
      <c r="F353" s="27" t="str" cm="1">
        <f t="array" ref="F353">INDEX(Sources!A:A, 1 + BIN2DEC(LEFT($B353,5)))</f>
        <v>Q</v>
      </c>
      <c r="G353" s="27" t="str" cm="1">
        <f t="array" ref="G353">INDEX(Dest1!A:A,1+BIN2DEC(MID($B353,6,5)))</f>
        <v>UNK9</v>
      </c>
      <c r="H353" s="27" t="str" cm="1">
        <f t="array" ref="H353">INDEX(Source2!A:A,1+BIN2DEC(MID($B353,11,4)))</f>
        <v>--</v>
      </c>
      <c r="I353" s="23" cm="1">
        <f t="array" ref="I353">INDEX('D2'!A:A,1+BIN2DEC(MID($B353,16,2)))</f>
        <v>0</v>
      </c>
      <c r="J353" s="6">
        <f t="shared" si="41"/>
        <v>0</v>
      </c>
      <c r="K353" s="6">
        <f t="shared" si="37"/>
        <v>0</v>
      </c>
      <c r="L353" s="6">
        <f t="shared" si="38"/>
        <v>0</v>
      </c>
      <c r="M353" s="3" t="str" cm="1">
        <f t="array" ref="M353">INDEX(Types!A:A,1+BIN2DEC(MID($B353,20,2)))</f>
        <v>Control</v>
      </c>
      <c r="N353" s="3" t="str" cm="1">
        <f t="array" ref="N353">IF(M353="ALU",INDEX(ALUOps!A:A,1+BIN2DEC(MID($B353,22,5))),"")</f>
        <v/>
      </c>
      <c r="O353" s="3" t="str" cm="1">
        <f t="array" ref="O353">IF(M353="ALU",INDEX(TMP!A:A,1+BIN2DEC(MID($B353,27,2))),"")</f>
        <v/>
      </c>
      <c r="P353" s="6" t="str">
        <f t="shared" si="39"/>
        <v/>
      </c>
      <c r="Q353" t="str">
        <f t="shared" si="40"/>
        <v/>
      </c>
      <c r="R353" t="str">
        <f t="shared" si="42"/>
        <v/>
      </c>
      <c r="S353" cm="1">
        <f t="array" ref="S353">IF(M353="Control",INDEX(IC!A:A,1+BIN2DEC(MID($B353,21,4))),"")</f>
        <v>0</v>
      </c>
      <c r="T353" cm="1">
        <f t="array" ref="T353">IF(M353="Control",INDEX(EC!A:A,1+BIN2DEC(MID($B353,25,3))),"")</f>
        <v>0</v>
      </c>
      <c r="U353" cm="1">
        <f t="array" ref="U353">IF(M353="Control",INDEX(SR!A:A,1+BIN2DEC(MID($B353,28,2))),"")</f>
        <v>0</v>
      </c>
    </row>
    <row r="354" spans="1:30" x14ac:dyDescent="0.25">
      <c r="A354" s="4" t="str">
        <f t="shared" si="36"/>
        <v>160</v>
      </c>
      <c r="B354" s="2" t="s">
        <v>346</v>
      </c>
      <c r="C354" s="2" t="s">
        <v>347</v>
      </c>
      <c r="D354" s="2" t="s">
        <v>928</v>
      </c>
      <c r="E354" s="2" t="s">
        <v>929</v>
      </c>
      <c r="F354" s="27" t="str" cm="1">
        <f t="array" ref="F354">INDEX(Sources!A:A, 1 + BIN2DEC(LEFT($B354,5)))</f>
        <v>TMPB</v>
      </c>
      <c r="G354" s="27" t="str" cm="1">
        <f t="array" ref="G354">INDEX(Dest1!A:A,1+BIN2DEC(MID($B354,6,5)))</f>
        <v>CS</v>
      </c>
      <c r="H354" s="27" t="str" cm="1">
        <f t="array" ref="H354">INDEX(Source2!A:A,1+BIN2DEC(MID($B354,11,4)))</f>
        <v>--</v>
      </c>
      <c r="I354" s="23" cm="1">
        <f t="array" ref="I354">INDEX('D2'!A:A,1+BIN2DEC(MID($B354,16,2)))</f>
        <v>0</v>
      </c>
      <c r="J354" s="6">
        <f t="shared" si="41"/>
        <v>0</v>
      </c>
      <c r="K354" s="6">
        <f t="shared" si="37"/>
        <v>0</v>
      </c>
      <c r="L354" s="6">
        <f t="shared" si="38"/>
        <v>0</v>
      </c>
      <c r="M354" s="3" t="str" cm="1">
        <f t="array" ref="M354">INDEX(Types!A:A,1+BIN2DEC(MID($B354,20,2)))</f>
        <v>Control</v>
      </c>
      <c r="N354" s="3" t="str" cm="1">
        <f t="array" ref="N354">IF(M354="ALU",INDEX(ALUOps!A:A,1+BIN2DEC(MID($B354,22,5))),"")</f>
        <v/>
      </c>
      <c r="O354" s="3" t="str" cm="1">
        <f t="array" ref="O354">IF(M354="ALU",INDEX(TMP!A:A,1+BIN2DEC(MID($B354,27,2))),"")</f>
        <v/>
      </c>
      <c r="P354" s="6" t="str">
        <f t="shared" si="39"/>
        <v/>
      </c>
      <c r="Q354" t="str">
        <f t="shared" si="40"/>
        <v/>
      </c>
      <c r="R354" t="str">
        <f t="shared" si="42"/>
        <v/>
      </c>
      <c r="S354" cm="1">
        <f t="array" ref="S354">IF(M354="Control",INDEX(IC!A:A,1+BIN2DEC(MID($B354,21,4))),"")</f>
        <v>7</v>
      </c>
      <c r="T354" cm="1">
        <f t="array" ref="T354">IF(M354="Control",INDEX(EC!A:A,1+BIN2DEC(MID($B354,25,3))),"")</f>
        <v>0</v>
      </c>
      <c r="U354" cm="1">
        <f t="array" ref="U354">IF(M354="Control",INDEX(SR!A:A,1+BIN2DEC(MID($B354,28,2))),"")</f>
        <v>0</v>
      </c>
      <c r="AD354" s="1" t="s">
        <v>345</v>
      </c>
    </row>
    <row r="355" spans="1:30" x14ac:dyDescent="0.25">
      <c r="A355" s="4" t="str">
        <f t="shared" si="36"/>
        <v>161</v>
      </c>
      <c r="B355" s="2" t="s">
        <v>348</v>
      </c>
      <c r="C355" s="3"/>
      <c r="D355" s="3"/>
      <c r="E355" s="3"/>
      <c r="F355" s="27" t="str" cm="1">
        <f t="array" ref="F355">INDEX(Sources!A:A, 1 + BIN2DEC(LEFT($B355,5)))</f>
        <v>TMPA</v>
      </c>
      <c r="G355" s="27" t="str" cm="1">
        <f t="array" ref="G355">INDEX(Dest1!A:A,1+BIN2DEC(MID($B355,6,5)))</f>
        <v>PC</v>
      </c>
      <c r="H355" s="27" t="str" cm="1">
        <f t="array" ref="H355">INDEX(Source2!A:A,1+BIN2DEC(MID($B355,11,4)))</f>
        <v>--</v>
      </c>
      <c r="I355" s="23" cm="1">
        <f t="array" ref="I355">INDEX('D2'!A:A,1+BIN2DEC(MID($B355,16,2)))</f>
        <v>0</v>
      </c>
      <c r="J355" s="6">
        <f t="shared" si="41"/>
        <v>0</v>
      </c>
      <c r="K355" s="6">
        <f t="shared" si="37"/>
        <v>0</v>
      </c>
      <c r="L355" s="6">
        <f t="shared" si="38"/>
        <v>1</v>
      </c>
      <c r="M355" s="3" t="str" cm="1">
        <f t="array" ref="M355">INDEX(Types!A:A,1+BIN2DEC(MID($B355,20,2)))</f>
        <v>Control</v>
      </c>
      <c r="N355" s="3" t="str" cm="1">
        <f t="array" ref="N355">IF(M355="ALU",INDEX(ALUOps!A:A,1+BIN2DEC(MID($B355,22,5))),"")</f>
        <v/>
      </c>
      <c r="O355" s="3" t="str" cm="1">
        <f t="array" ref="O355">IF(M355="ALU",INDEX(TMP!A:A,1+BIN2DEC(MID($B355,27,2))),"")</f>
        <v/>
      </c>
      <c r="P355" s="6" t="str">
        <f t="shared" si="39"/>
        <v/>
      </c>
      <c r="Q355" t="str">
        <f t="shared" si="40"/>
        <v/>
      </c>
      <c r="R355" t="str">
        <f t="shared" si="42"/>
        <v/>
      </c>
      <c r="S355" cm="1">
        <f t="array" ref="S355">IF(M355="Control",INDEX(IC!A:A,1+BIN2DEC(MID($B355,21,4))),"")</f>
        <v>6</v>
      </c>
      <c r="T355" cm="1">
        <f t="array" ref="T355">IF(M355="Control",INDEX(EC!A:A,1+BIN2DEC(MID($B355,25,3))),"")</f>
        <v>0</v>
      </c>
      <c r="U355" cm="1">
        <f t="array" ref="U355">IF(M355="Control",INDEX(SR!A:A,1+BIN2DEC(MID($B355,28,2))),"")</f>
        <v>0</v>
      </c>
    </row>
    <row r="356" spans="1:30" s="15" customFormat="1" x14ac:dyDescent="0.25">
      <c r="A356" s="12" t="str">
        <f t="shared" si="36"/>
        <v>162</v>
      </c>
      <c r="B356" s="13" t="s">
        <v>4</v>
      </c>
      <c r="C356" s="14"/>
      <c r="D356" s="14"/>
      <c r="E356" s="14"/>
      <c r="F356" s="28" t="str" cm="1">
        <f t="array" ref="F356">INDEX(Sources!A:A, 1 + BIN2DEC(LEFT($B356,5)))</f>
        <v>--</v>
      </c>
      <c r="G356" s="28" t="str" cm="1">
        <f t="array" ref="G356">INDEX(Dest1!A:A,1+BIN2DEC(MID($B356,6,5)))</f>
        <v>--</v>
      </c>
      <c r="H356" s="28" t="str" cm="1">
        <f t="array" ref="H356">INDEX(Source2!A:A,1+BIN2DEC(MID($B356,11,4)))</f>
        <v>--</v>
      </c>
      <c r="I356" s="24" cm="1">
        <f t="array" ref="I356">INDEX('D2'!A:A,1+BIN2DEC(MID($B356,16,2)))</f>
        <v>0</v>
      </c>
      <c r="J356" s="16">
        <f t="shared" si="41"/>
        <v>0</v>
      </c>
      <c r="K356" s="16">
        <f t="shared" si="37"/>
        <v>0</v>
      </c>
      <c r="L356" s="16">
        <f t="shared" si="38"/>
        <v>0</v>
      </c>
      <c r="M356" s="14" t="str" cm="1">
        <f t="array" ref="M356">INDEX(Types!A:A,1+BIN2DEC(MID($B356,20,2)))</f>
        <v>Control</v>
      </c>
      <c r="N356" s="14" t="str" cm="1">
        <f t="array" ref="N356">IF(M356="ALU",INDEX(ALUOps!A:A,1+BIN2DEC(MID($B356,22,5))),"")</f>
        <v/>
      </c>
      <c r="O356" s="14" t="str" cm="1">
        <f t="array" ref="O356">IF(M356="ALU",INDEX(TMP!A:A,1+BIN2DEC(MID($B356,27,2))),"")</f>
        <v/>
      </c>
      <c r="P356" s="16" t="str">
        <f t="shared" si="39"/>
        <v/>
      </c>
      <c r="Q356" s="15" t="str">
        <f t="shared" si="40"/>
        <v/>
      </c>
      <c r="R356" s="15" t="str">
        <f t="shared" si="42"/>
        <v/>
      </c>
      <c r="S356" s="15" cm="1">
        <f t="array" ref="S356">IF(M356="Control",INDEX(IC!A:A,1+BIN2DEC(MID($B356,21,4))),"")</f>
        <v>0</v>
      </c>
      <c r="T356" s="15" cm="1">
        <f t="array" ref="T356">IF(M356="Control",INDEX(EC!A:A,1+BIN2DEC(MID($B356,25,3))),"")</f>
        <v>0</v>
      </c>
      <c r="U356" s="15" cm="1">
        <f t="array" ref="U356">IF(M356="Control",INDEX(SR!A:A,1+BIN2DEC(MID($B356,28,2))),"")</f>
        <v>0</v>
      </c>
    </row>
    <row r="357" spans="1:30" s="20" customFormat="1" ht="15.75" thickBot="1" x14ac:dyDescent="0.3">
      <c r="A357" s="17" t="str">
        <f t="shared" si="36"/>
        <v>163</v>
      </c>
      <c r="B357" s="18" t="s">
        <v>4</v>
      </c>
      <c r="C357" s="19"/>
      <c r="D357" s="19"/>
      <c r="E357" s="19"/>
      <c r="F357" s="29" t="str" cm="1">
        <f t="array" ref="F357">INDEX(Sources!A:A, 1 + BIN2DEC(LEFT($B357,5)))</f>
        <v>--</v>
      </c>
      <c r="G357" s="29" t="str" cm="1">
        <f t="array" ref="G357">INDEX(Dest1!A:A,1+BIN2DEC(MID($B357,6,5)))</f>
        <v>--</v>
      </c>
      <c r="H357" s="29" t="str" cm="1">
        <f t="array" ref="H357">INDEX(Source2!A:A,1+BIN2DEC(MID($B357,11,4)))</f>
        <v>--</v>
      </c>
      <c r="I357" s="25" cm="1">
        <f t="array" ref="I357">INDEX('D2'!A:A,1+BIN2DEC(MID($B357,16,2)))</f>
        <v>0</v>
      </c>
      <c r="J357" s="21">
        <f t="shared" si="41"/>
        <v>0</v>
      </c>
      <c r="K357" s="21">
        <f t="shared" si="37"/>
        <v>0</v>
      </c>
      <c r="L357" s="21">
        <f t="shared" si="38"/>
        <v>0</v>
      </c>
      <c r="M357" s="19" t="str" cm="1">
        <f t="array" ref="M357">INDEX(Types!A:A,1+BIN2DEC(MID($B357,20,2)))</f>
        <v>Control</v>
      </c>
      <c r="N357" s="19" t="str" cm="1">
        <f t="array" ref="N357">IF(M357="ALU",INDEX(ALUOps!A:A,1+BIN2DEC(MID($B357,22,5))),"")</f>
        <v/>
      </c>
      <c r="O357" s="19" t="str" cm="1">
        <f t="array" ref="O357">IF(M357="ALU",INDEX(TMP!A:A,1+BIN2DEC(MID($B357,27,2))),"")</f>
        <v/>
      </c>
      <c r="P357" s="21" t="str">
        <f t="shared" si="39"/>
        <v/>
      </c>
      <c r="Q357" s="20" t="str">
        <f t="shared" si="40"/>
        <v/>
      </c>
      <c r="R357" s="20" t="str">
        <f t="shared" si="42"/>
        <v/>
      </c>
      <c r="S357" s="20" cm="1">
        <f t="array" ref="S357">IF(M357="Control",INDEX(IC!A:A,1+BIN2DEC(MID($B357,21,4))),"")</f>
        <v>0</v>
      </c>
      <c r="T357" s="20" cm="1">
        <f t="array" ref="T357">IF(M357="Control",INDEX(EC!A:A,1+BIN2DEC(MID($B357,25,3))),"")</f>
        <v>0</v>
      </c>
      <c r="U357" s="20" cm="1">
        <f t="array" ref="U357">IF(M357="Control",INDEX(SR!A:A,1+BIN2DEC(MID($B357,28,2))),"")</f>
        <v>0</v>
      </c>
    </row>
    <row r="358" spans="1:30" x14ac:dyDescent="0.25">
      <c r="A358" s="4" t="str">
        <f t="shared" si="36"/>
        <v>164</v>
      </c>
      <c r="B358" s="2" t="s">
        <v>349</v>
      </c>
      <c r="C358" s="2" t="s">
        <v>350</v>
      </c>
      <c r="D358" s="2" t="s">
        <v>928</v>
      </c>
      <c r="E358" s="2" t="s">
        <v>462</v>
      </c>
      <c r="F358" s="27" t="str" cm="1">
        <f t="array" ref="F358">INDEX(Sources!A:A, 1 + BIN2DEC(LEFT($B358,5)))</f>
        <v>UNK5</v>
      </c>
      <c r="G358" s="27" t="str" cm="1">
        <f t="array" ref="G358">INDEX(Dest1!A:A,1+BIN2DEC(MID($B358,6,5)))</f>
        <v>UNK26</v>
      </c>
      <c r="H358" s="27" t="str" cm="1">
        <f t="array" ref="H358">INDEX(Source2!A:A,1+BIN2DEC(MID($B358,11,4)))</f>
        <v>--</v>
      </c>
      <c r="I358" s="23" cm="1">
        <f t="array" ref="I358">INDEX('D2'!A:A,1+BIN2DEC(MID($B358,16,2)))</f>
        <v>0</v>
      </c>
      <c r="J358" s="6">
        <f t="shared" si="41"/>
        <v>0</v>
      </c>
      <c r="K358" s="6">
        <f t="shared" si="37"/>
        <v>0</v>
      </c>
      <c r="L358" s="6">
        <f t="shared" si="38"/>
        <v>0</v>
      </c>
      <c r="M358" s="3" t="str" cm="1">
        <f t="array" ref="M358">INDEX(Types!A:A,1+BIN2DEC(MID($B358,20,2)))</f>
        <v>Control</v>
      </c>
      <c r="N358" s="3" t="str" cm="1">
        <f t="array" ref="N358">IF(M358="ALU",INDEX(ALUOps!A:A,1+BIN2DEC(MID($B358,22,5))),"")</f>
        <v/>
      </c>
      <c r="O358" s="3" t="str" cm="1">
        <f t="array" ref="O358">IF(M358="ALU",INDEX(TMP!A:A,1+BIN2DEC(MID($B358,27,2))),"")</f>
        <v/>
      </c>
      <c r="P358" s="6" t="str">
        <f t="shared" si="39"/>
        <v/>
      </c>
      <c r="Q358" t="str">
        <f t="shared" si="40"/>
        <v/>
      </c>
      <c r="R358" t="str">
        <f t="shared" si="42"/>
        <v/>
      </c>
      <c r="S358" cm="1">
        <f t="array" ref="S358">IF(M358="Control",INDEX(IC!A:A,1+BIN2DEC(MID($B358,21,4))),"")</f>
        <v>0</v>
      </c>
      <c r="T358" cm="1">
        <f t="array" ref="T358">IF(M358="Control",INDEX(EC!A:A,1+BIN2DEC(MID($B358,25,3))),"")</f>
        <v>6</v>
      </c>
      <c r="U358" cm="1">
        <f t="array" ref="U358">IF(M358="Control",INDEX(SR!A:A,1+BIN2DEC(MID($B358,28,2))),"")</f>
        <v>2</v>
      </c>
      <c r="X358" t="s">
        <v>1034</v>
      </c>
      <c r="AD358" s="1" t="s">
        <v>351</v>
      </c>
    </row>
    <row r="359" spans="1:30" x14ac:dyDescent="0.25">
      <c r="A359" s="4" t="str">
        <f t="shared" si="36"/>
        <v>165</v>
      </c>
      <c r="B359" s="2" t="s">
        <v>53</v>
      </c>
      <c r="C359" s="3"/>
      <c r="D359" s="3"/>
      <c r="E359" s="3"/>
      <c r="F359" s="27" t="str" cm="1">
        <f t="array" ref="F359">INDEX(Sources!A:A, 1 + BIN2DEC(LEFT($B359,5)))</f>
        <v>OUT</v>
      </c>
      <c r="G359" s="27" t="str" cm="1">
        <f t="array" ref="G359">INDEX(Dest1!A:A,1+BIN2DEC(MID($B359,6,5)))</f>
        <v>OPR</v>
      </c>
      <c r="H359" s="27" t="str" cm="1">
        <f t="array" ref="H359">INDEX(Source2!A:A,1+BIN2DEC(MID($B359,11,4)))</f>
        <v>--</v>
      </c>
      <c r="I359" s="23" cm="1">
        <f t="array" ref="I359">INDEX('D2'!A:A,1+BIN2DEC(MID($B359,16,2)))</f>
        <v>1</v>
      </c>
      <c r="J359" s="6">
        <f t="shared" si="41"/>
        <v>1</v>
      </c>
      <c r="K359" s="6">
        <f t="shared" si="37"/>
        <v>0</v>
      </c>
      <c r="L359" s="6">
        <f t="shared" si="38"/>
        <v>1</v>
      </c>
      <c r="M359" s="3" t="str" cm="1">
        <f t="array" ref="M359">INDEX(Types!A:A,1+BIN2DEC(MID($B359,20,2)))</f>
        <v>Control</v>
      </c>
      <c r="N359" s="3" t="str" cm="1">
        <f t="array" ref="N359">IF(M359="ALU",INDEX(ALUOps!A:A,1+BIN2DEC(MID($B359,22,5))),"")</f>
        <v/>
      </c>
      <c r="O359" s="3" t="str" cm="1">
        <f t="array" ref="O359">IF(M359="ALU",INDEX(TMP!A:A,1+BIN2DEC(MID($B359,27,2))),"")</f>
        <v/>
      </c>
      <c r="P359" s="6" t="str">
        <f t="shared" si="39"/>
        <v/>
      </c>
      <c r="Q359" t="str">
        <f t="shared" si="40"/>
        <v/>
      </c>
      <c r="R359" t="str">
        <f t="shared" si="42"/>
        <v/>
      </c>
      <c r="S359" cm="1">
        <f t="array" ref="S359">IF(M359="Control",INDEX(IC!A:A,1+BIN2DEC(MID($B359,21,4))),"")</f>
        <v>0</v>
      </c>
      <c r="T359" cm="1">
        <f t="array" ref="T359">IF(M359="Control",INDEX(EC!A:A,1+BIN2DEC(MID($B359,25,3))),"")</f>
        <v>0</v>
      </c>
      <c r="U359" cm="1">
        <f t="array" ref="U359">IF(M359="Control",INDEX(SR!A:A,1+BIN2DEC(MID($B359,28,2))),"")</f>
        <v>0</v>
      </c>
    </row>
    <row r="360" spans="1:30" s="15" customFormat="1" x14ac:dyDescent="0.25">
      <c r="A360" s="12" t="str">
        <f t="shared" si="36"/>
        <v>166</v>
      </c>
      <c r="B360" s="13" t="s">
        <v>4</v>
      </c>
      <c r="C360" s="14"/>
      <c r="D360" s="14"/>
      <c r="E360" s="14"/>
      <c r="F360" s="28" t="str" cm="1">
        <f t="array" ref="F360">INDEX(Sources!A:A, 1 + BIN2DEC(LEFT($B360,5)))</f>
        <v>--</v>
      </c>
      <c r="G360" s="28" t="str" cm="1">
        <f t="array" ref="G360">INDEX(Dest1!A:A,1+BIN2DEC(MID($B360,6,5)))</f>
        <v>--</v>
      </c>
      <c r="H360" s="28" t="str" cm="1">
        <f t="array" ref="H360">INDEX(Source2!A:A,1+BIN2DEC(MID($B360,11,4)))</f>
        <v>--</v>
      </c>
      <c r="I360" s="24" cm="1">
        <f t="array" ref="I360">INDEX('D2'!A:A,1+BIN2DEC(MID($B360,16,2)))</f>
        <v>0</v>
      </c>
      <c r="J360" s="16">
        <f t="shared" si="41"/>
        <v>0</v>
      </c>
      <c r="K360" s="16">
        <f t="shared" si="37"/>
        <v>0</v>
      </c>
      <c r="L360" s="16">
        <f t="shared" si="38"/>
        <v>0</v>
      </c>
      <c r="M360" s="14" t="str" cm="1">
        <f t="array" ref="M360">INDEX(Types!A:A,1+BIN2DEC(MID($B360,20,2)))</f>
        <v>Control</v>
      </c>
      <c r="N360" s="14" t="str" cm="1">
        <f t="array" ref="N360">IF(M360="ALU",INDEX(ALUOps!A:A,1+BIN2DEC(MID($B360,22,5))),"")</f>
        <v/>
      </c>
      <c r="O360" s="14" t="str" cm="1">
        <f t="array" ref="O360">IF(M360="ALU",INDEX(TMP!A:A,1+BIN2DEC(MID($B360,27,2))),"")</f>
        <v/>
      </c>
      <c r="P360" s="16" t="str">
        <f t="shared" si="39"/>
        <v/>
      </c>
      <c r="Q360" s="15" t="str">
        <f t="shared" si="40"/>
        <v/>
      </c>
      <c r="R360" s="15" t="str">
        <f t="shared" si="42"/>
        <v/>
      </c>
      <c r="S360" s="15" cm="1">
        <f t="array" ref="S360">IF(M360="Control",INDEX(IC!A:A,1+BIN2DEC(MID($B360,21,4))),"")</f>
        <v>0</v>
      </c>
      <c r="T360" s="15" cm="1">
        <f t="array" ref="T360">IF(M360="Control",INDEX(EC!A:A,1+BIN2DEC(MID($B360,25,3))),"")</f>
        <v>0</v>
      </c>
      <c r="U360" s="15" cm="1">
        <f t="array" ref="U360">IF(M360="Control",INDEX(SR!A:A,1+BIN2DEC(MID($B360,28,2))),"")</f>
        <v>0</v>
      </c>
    </row>
    <row r="361" spans="1:30" s="20" customFormat="1" ht="15.75" thickBot="1" x14ac:dyDescent="0.3">
      <c r="A361" s="17" t="str">
        <f t="shared" si="36"/>
        <v>167</v>
      </c>
      <c r="B361" s="18" t="s">
        <v>4</v>
      </c>
      <c r="C361" s="19"/>
      <c r="D361" s="19"/>
      <c r="E361" s="19"/>
      <c r="F361" s="29" t="str" cm="1">
        <f t="array" ref="F361">INDEX(Sources!A:A, 1 + BIN2DEC(LEFT($B361,5)))</f>
        <v>--</v>
      </c>
      <c r="G361" s="29" t="str" cm="1">
        <f t="array" ref="G361">INDEX(Dest1!A:A,1+BIN2DEC(MID($B361,6,5)))</f>
        <v>--</v>
      </c>
      <c r="H361" s="29" t="str" cm="1">
        <f t="array" ref="H361">INDEX(Source2!A:A,1+BIN2DEC(MID($B361,11,4)))</f>
        <v>--</v>
      </c>
      <c r="I361" s="25" cm="1">
        <f t="array" ref="I361">INDEX('D2'!A:A,1+BIN2DEC(MID($B361,16,2)))</f>
        <v>0</v>
      </c>
      <c r="J361" s="21">
        <f t="shared" si="41"/>
        <v>0</v>
      </c>
      <c r="K361" s="21">
        <f t="shared" si="37"/>
        <v>0</v>
      </c>
      <c r="L361" s="21">
        <f t="shared" si="38"/>
        <v>0</v>
      </c>
      <c r="M361" s="19" t="str" cm="1">
        <f t="array" ref="M361">INDEX(Types!A:A,1+BIN2DEC(MID($B361,20,2)))</f>
        <v>Control</v>
      </c>
      <c r="N361" s="19" t="str" cm="1">
        <f t="array" ref="N361">IF(M361="ALU",INDEX(ALUOps!A:A,1+BIN2DEC(MID($B361,22,5))),"")</f>
        <v/>
      </c>
      <c r="O361" s="19" t="str" cm="1">
        <f t="array" ref="O361">IF(M361="ALU",INDEX(TMP!A:A,1+BIN2DEC(MID($B361,27,2))),"")</f>
        <v/>
      </c>
      <c r="P361" s="21" t="str">
        <f t="shared" si="39"/>
        <v/>
      </c>
      <c r="Q361" s="20" t="str">
        <f t="shared" si="40"/>
        <v/>
      </c>
      <c r="R361" s="20" t="str">
        <f t="shared" si="42"/>
        <v/>
      </c>
      <c r="S361" s="20" cm="1">
        <f t="array" ref="S361">IF(M361="Control",INDEX(IC!A:A,1+BIN2DEC(MID($B361,21,4))),"")</f>
        <v>0</v>
      </c>
      <c r="T361" s="20" cm="1">
        <f t="array" ref="T361">IF(M361="Control",INDEX(EC!A:A,1+BIN2DEC(MID($B361,25,3))),"")</f>
        <v>0</v>
      </c>
      <c r="U361" s="20" cm="1">
        <f t="array" ref="U361">IF(M361="Control",INDEX(SR!A:A,1+BIN2DEC(MID($B361,28,2))),"")</f>
        <v>0</v>
      </c>
    </row>
    <row r="362" spans="1:30" x14ac:dyDescent="0.25">
      <c r="A362" s="4" t="str">
        <f t="shared" si="36"/>
        <v>168</v>
      </c>
      <c r="B362" s="2" t="s">
        <v>352</v>
      </c>
      <c r="C362" s="2" t="s">
        <v>353</v>
      </c>
      <c r="D362" s="2" t="s">
        <v>928</v>
      </c>
      <c r="E362" s="2" t="s">
        <v>462</v>
      </c>
      <c r="F362" s="27" t="str" cm="1">
        <f t="array" ref="F362">INDEX(Sources!A:A, 1 + BIN2DEC(LEFT($B362,5)))</f>
        <v>UNK5</v>
      </c>
      <c r="G362" s="27" t="str" cm="1">
        <f t="array" ref="G362">INDEX(Dest1!A:A,1+BIN2DEC(MID($B362,6,5)))</f>
        <v>UNK26</v>
      </c>
      <c r="H362" s="27" t="str" cm="1">
        <f t="array" ref="H362">INDEX(Source2!A:A,1+BIN2DEC(MID($B362,11,4)))</f>
        <v>--</v>
      </c>
      <c r="I362" s="23" cm="1">
        <f t="array" ref="I362">INDEX('D2'!A:A,1+BIN2DEC(MID($B362,16,2)))</f>
        <v>0</v>
      </c>
      <c r="J362" s="6">
        <f t="shared" si="41"/>
        <v>0</v>
      </c>
      <c r="K362" s="6">
        <f t="shared" si="37"/>
        <v>0</v>
      </c>
      <c r="L362" s="6">
        <f t="shared" si="38"/>
        <v>1</v>
      </c>
      <c r="M362" s="3" t="str" cm="1">
        <f t="array" ref="M362">INDEX(Types!A:A,1+BIN2DEC(MID($B362,20,2)))</f>
        <v>Control</v>
      </c>
      <c r="N362" s="3" t="str" cm="1">
        <f t="array" ref="N362">IF(M362="ALU",INDEX(ALUOps!A:A,1+BIN2DEC(MID($B362,22,5))),"")</f>
        <v/>
      </c>
      <c r="O362" s="3" t="str" cm="1">
        <f t="array" ref="O362">IF(M362="ALU",INDEX(TMP!A:A,1+BIN2DEC(MID($B362,27,2))),"")</f>
        <v/>
      </c>
      <c r="P362" s="6" t="str">
        <f t="shared" si="39"/>
        <v/>
      </c>
      <c r="Q362" t="str">
        <f t="shared" si="40"/>
        <v/>
      </c>
      <c r="R362" t="str">
        <f t="shared" si="42"/>
        <v/>
      </c>
      <c r="S362" cm="1">
        <f t="array" ref="S362">IF(M362="Control",INDEX(IC!A:A,1+BIN2DEC(MID($B362,21,4))),"")</f>
        <v>0</v>
      </c>
      <c r="T362" cm="1">
        <f t="array" ref="T362">IF(M362="Control",INDEX(EC!A:A,1+BIN2DEC(MID($B362,25,3))),"")</f>
        <v>5</v>
      </c>
      <c r="U362" cm="1">
        <f t="array" ref="U362">IF(M362="Control",INDEX(SR!A:A,1+BIN2DEC(MID($B362,28,2))),"")</f>
        <v>2</v>
      </c>
      <c r="X362" t="s">
        <v>1035</v>
      </c>
      <c r="AD362" s="1" t="s">
        <v>354</v>
      </c>
    </row>
    <row r="363" spans="1:30" x14ac:dyDescent="0.25">
      <c r="A363" s="4" t="str">
        <f t="shared" si="36"/>
        <v>169</v>
      </c>
      <c r="B363" s="2" t="s">
        <v>50</v>
      </c>
      <c r="C363" s="3"/>
      <c r="D363" s="3"/>
      <c r="E363" s="3"/>
      <c r="F363" s="27" t="str" cm="1">
        <f t="array" ref="F363">INDEX(Sources!A:A, 1 + BIN2DEC(LEFT($B363,5)))</f>
        <v>OPR</v>
      </c>
      <c r="G363" s="27" t="str" cm="1">
        <f t="array" ref="G363">INDEX(Dest1!A:A,1+BIN2DEC(MID($B363,6,5)))</f>
        <v>OUT</v>
      </c>
      <c r="H363" s="27" t="str" cm="1">
        <f t="array" ref="H363">INDEX(Source2!A:A,1+BIN2DEC(MID($B363,11,4)))</f>
        <v>--</v>
      </c>
      <c r="I363" s="23" cm="1">
        <f t="array" ref="I363">INDEX('D2'!A:A,1+BIN2DEC(MID($B363,16,2)))</f>
        <v>0</v>
      </c>
      <c r="J363" s="6">
        <f t="shared" si="41"/>
        <v>0</v>
      </c>
      <c r="K363" s="6">
        <f t="shared" si="37"/>
        <v>0</v>
      </c>
      <c r="L363" s="6">
        <f t="shared" si="38"/>
        <v>0</v>
      </c>
      <c r="M363" s="3" t="str" cm="1">
        <f t="array" ref="M363">INDEX(Types!A:A,1+BIN2DEC(MID($B363,20,2)))</f>
        <v>Control</v>
      </c>
      <c r="N363" s="3" t="str" cm="1">
        <f t="array" ref="N363">IF(M363="ALU",INDEX(ALUOps!A:A,1+BIN2DEC(MID($B363,22,5))),"")</f>
        <v/>
      </c>
      <c r="O363" s="3" t="str" cm="1">
        <f t="array" ref="O363">IF(M363="ALU",INDEX(TMP!A:A,1+BIN2DEC(MID($B363,27,2))),"")</f>
        <v/>
      </c>
      <c r="P363" s="6" t="str">
        <f t="shared" si="39"/>
        <v/>
      </c>
      <c r="Q363" t="str">
        <f t="shared" si="40"/>
        <v/>
      </c>
      <c r="R363" t="str">
        <f t="shared" si="42"/>
        <v/>
      </c>
      <c r="S363" cm="1">
        <f t="array" ref="S363">IF(M363="Control",INDEX(IC!A:A,1+BIN2DEC(MID($B363,21,4))),"")</f>
        <v>0</v>
      </c>
      <c r="T363" cm="1">
        <f t="array" ref="T363">IF(M363="Control",INDEX(EC!A:A,1+BIN2DEC(MID($B363,25,3))),"")</f>
        <v>0</v>
      </c>
      <c r="U363" cm="1">
        <f t="array" ref="U363">IF(M363="Control",INDEX(SR!A:A,1+BIN2DEC(MID($B363,28,2))),"")</f>
        <v>0</v>
      </c>
    </row>
    <row r="364" spans="1:30" s="15" customFormat="1" x14ac:dyDescent="0.25">
      <c r="A364" s="12" t="str">
        <f t="shared" si="36"/>
        <v>16A</v>
      </c>
      <c r="B364" s="13" t="s">
        <v>4</v>
      </c>
      <c r="C364" s="14"/>
      <c r="D364" s="14"/>
      <c r="E364" s="14"/>
      <c r="F364" s="28" t="str" cm="1">
        <f t="array" ref="F364">INDEX(Sources!A:A, 1 + BIN2DEC(LEFT($B364,5)))</f>
        <v>--</v>
      </c>
      <c r="G364" s="28" t="str" cm="1">
        <f t="array" ref="G364">INDEX(Dest1!A:A,1+BIN2DEC(MID($B364,6,5)))</f>
        <v>--</v>
      </c>
      <c r="H364" s="28" t="str" cm="1">
        <f t="array" ref="H364">INDEX(Source2!A:A,1+BIN2DEC(MID($B364,11,4)))</f>
        <v>--</v>
      </c>
      <c r="I364" s="24" cm="1">
        <f t="array" ref="I364">INDEX('D2'!A:A,1+BIN2DEC(MID($B364,16,2)))</f>
        <v>0</v>
      </c>
      <c r="J364" s="16">
        <f t="shared" si="41"/>
        <v>0</v>
      </c>
      <c r="K364" s="16">
        <f t="shared" si="37"/>
        <v>0</v>
      </c>
      <c r="L364" s="16">
        <f t="shared" si="38"/>
        <v>0</v>
      </c>
      <c r="M364" s="14" t="str" cm="1">
        <f t="array" ref="M364">INDEX(Types!A:A,1+BIN2DEC(MID($B364,20,2)))</f>
        <v>Control</v>
      </c>
      <c r="N364" s="14" t="str" cm="1">
        <f t="array" ref="N364">IF(M364="ALU",INDEX(ALUOps!A:A,1+BIN2DEC(MID($B364,22,5))),"")</f>
        <v/>
      </c>
      <c r="O364" s="14" t="str" cm="1">
        <f t="array" ref="O364">IF(M364="ALU",INDEX(TMP!A:A,1+BIN2DEC(MID($B364,27,2))),"")</f>
        <v/>
      </c>
      <c r="P364" s="16" t="str">
        <f t="shared" si="39"/>
        <v/>
      </c>
      <c r="Q364" s="15" t="str">
        <f t="shared" si="40"/>
        <v/>
      </c>
      <c r="R364" s="15" t="str">
        <f t="shared" si="42"/>
        <v/>
      </c>
      <c r="S364" s="15" cm="1">
        <f t="array" ref="S364">IF(M364="Control",INDEX(IC!A:A,1+BIN2DEC(MID($B364,21,4))),"")</f>
        <v>0</v>
      </c>
      <c r="T364" s="15" cm="1">
        <f t="array" ref="T364">IF(M364="Control",INDEX(EC!A:A,1+BIN2DEC(MID($B364,25,3))),"")</f>
        <v>0</v>
      </c>
      <c r="U364" s="15" cm="1">
        <f t="array" ref="U364">IF(M364="Control",INDEX(SR!A:A,1+BIN2DEC(MID($B364,28,2))),"")</f>
        <v>0</v>
      </c>
    </row>
    <row r="365" spans="1:30" s="20" customFormat="1" ht="15.75" thickBot="1" x14ac:dyDescent="0.3">
      <c r="A365" s="17" t="str">
        <f t="shared" si="36"/>
        <v>16B</v>
      </c>
      <c r="B365" s="18" t="s">
        <v>4</v>
      </c>
      <c r="C365" s="19"/>
      <c r="D365" s="19"/>
      <c r="E365" s="19"/>
      <c r="F365" s="29" t="str" cm="1">
        <f t="array" ref="F365">INDEX(Sources!A:A, 1 + BIN2DEC(LEFT($B365,5)))</f>
        <v>--</v>
      </c>
      <c r="G365" s="29" t="str" cm="1">
        <f t="array" ref="G365">INDEX(Dest1!A:A,1+BIN2DEC(MID($B365,6,5)))</f>
        <v>--</v>
      </c>
      <c r="H365" s="29" t="str" cm="1">
        <f t="array" ref="H365">INDEX(Source2!A:A,1+BIN2DEC(MID($B365,11,4)))</f>
        <v>--</v>
      </c>
      <c r="I365" s="25" cm="1">
        <f t="array" ref="I365">INDEX('D2'!A:A,1+BIN2DEC(MID($B365,16,2)))</f>
        <v>0</v>
      </c>
      <c r="J365" s="21">
        <f t="shared" si="41"/>
        <v>0</v>
      </c>
      <c r="K365" s="21">
        <f t="shared" si="37"/>
        <v>0</v>
      </c>
      <c r="L365" s="21">
        <f t="shared" si="38"/>
        <v>0</v>
      </c>
      <c r="M365" s="19" t="str" cm="1">
        <f t="array" ref="M365">INDEX(Types!A:A,1+BIN2DEC(MID($B365,20,2)))</f>
        <v>Control</v>
      </c>
      <c r="N365" s="19" t="str" cm="1">
        <f t="array" ref="N365">IF(M365="ALU",INDEX(ALUOps!A:A,1+BIN2DEC(MID($B365,22,5))),"")</f>
        <v/>
      </c>
      <c r="O365" s="19" t="str" cm="1">
        <f t="array" ref="O365">IF(M365="ALU",INDEX(TMP!A:A,1+BIN2DEC(MID($B365,27,2))),"")</f>
        <v/>
      </c>
      <c r="P365" s="21" t="str">
        <f t="shared" si="39"/>
        <v/>
      </c>
      <c r="Q365" s="20" t="str">
        <f t="shared" si="40"/>
        <v/>
      </c>
      <c r="R365" s="20" t="str">
        <f t="shared" si="42"/>
        <v/>
      </c>
      <c r="S365" s="20" cm="1">
        <f t="array" ref="S365">IF(M365="Control",INDEX(IC!A:A,1+BIN2DEC(MID($B365,21,4))),"")</f>
        <v>0</v>
      </c>
      <c r="T365" s="20" cm="1">
        <f t="array" ref="T365">IF(M365="Control",INDEX(EC!A:A,1+BIN2DEC(MID($B365,25,3))),"")</f>
        <v>0</v>
      </c>
      <c r="U365" s="20" cm="1">
        <f t="array" ref="U365">IF(M365="Control",INDEX(SR!A:A,1+BIN2DEC(MID($B365,28,2))),"")</f>
        <v>0</v>
      </c>
    </row>
    <row r="366" spans="1:30" x14ac:dyDescent="0.25">
      <c r="A366" s="4" t="str">
        <f t="shared" si="36"/>
        <v>16C</v>
      </c>
      <c r="B366" s="2" t="s">
        <v>63</v>
      </c>
      <c r="C366" s="2" t="s">
        <v>355</v>
      </c>
      <c r="D366" s="2" t="s">
        <v>934</v>
      </c>
      <c r="E366" s="2" t="s">
        <v>462</v>
      </c>
      <c r="F366" s="27" t="str" cm="1">
        <f t="array" ref="F366">INDEX(Sources!A:A, 1 + BIN2DEC(LEFT($B366,5)))</f>
        <v>Q</v>
      </c>
      <c r="G366" s="27" t="str" cm="1">
        <f t="array" ref="G366">INDEX(Dest1!A:A,1+BIN2DEC(MID($B366,6,5)))</f>
        <v>UNK10</v>
      </c>
      <c r="H366" s="27" t="str" cm="1">
        <f t="array" ref="H366">INDEX(Source2!A:A,1+BIN2DEC(MID($B366,11,4)))</f>
        <v>--</v>
      </c>
      <c r="I366" s="23" cm="1">
        <f t="array" ref="I366">INDEX('D2'!A:A,1+BIN2DEC(MID($B366,16,2)))</f>
        <v>0</v>
      </c>
      <c r="J366" s="6">
        <f t="shared" si="41"/>
        <v>0</v>
      </c>
      <c r="K366" s="6">
        <f t="shared" si="37"/>
        <v>0</v>
      </c>
      <c r="L366" s="6">
        <f t="shared" si="38"/>
        <v>0</v>
      </c>
      <c r="M366" s="3" t="str" cm="1">
        <f t="array" ref="M366">INDEX(Types!A:A,1+BIN2DEC(MID($B366,20,2)))</f>
        <v>Jump</v>
      </c>
      <c r="N366" s="3" t="str" cm="1">
        <f t="array" ref="N366">IF(M366="ALU",INDEX(ALUOps!A:A,1+BIN2DEC(MID($B366,22,5))),"")</f>
        <v/>
      </c>
      <c r="O366" s="3" t="str" cm="1">
        <f t="array" ref="O366">IF(M366="ALU",INDEX(TMP!A:A,1+BIN2DEC(MID($B366,27,2))),"")</f>
        <v/>
      </c>
      <c r="P366" s="6" t="str">
        <f t="shared" si="39"/>
        <v/>
      </c>
      <c r="Q366">
        <f t="shared" si="40"/>
        <v>8</v>
      </c>
      <c r="R366">
        <f t="shared" si="42"/>
        <v>2</v>
      </c>
      <c r="S366" t="str" cm="1">
        <f t="array" ref="S366">IF(M366="Control",INDEX(IC!A:A,1+BIN2DEC(MID($B366,21,4))),"")</f>
        <v/>
      </c>
      <c r="T366" t="str" cm="1">
        <f t="array" ref="T366">IF(M366="Control",INDEX(EC!A:A,1+BIN2DEC(MID($B366,25,3))),"")</f>
        <v/>
      </c>
      <c r="U366" t="str" cm="1">
        <f t="array" ref="U366">IF(M366="Control",INDEX(SR!A:A,1+BIN2DEC(MID($B366,28,2))),"")</f>
        <v/>
      </c>
      <c r="X366" t="s">
        <v>1148</v>
      </c>
      <c r="AC366" t="s">
        <v>1149</v>
      </c>
      <c r="AD366" s="1" t="s">
        <v>356</v>
      </c>
    </row>
    <row r="367" spans="1:30" x14ac:dyDescent="0.25">
      <c r="A367" s="4" t="str">
        <f t="shared" si="36"/>
        <v>16D</v>
      </c>
      <c r="B367" s="2" t="s">
        <v>66</v>
      </c>
      <c r="C367" s="3"/>
      <c r="D367" s="3"/>
      <c r="E367" s="3"/>
      <c r="F367" s="27" t="str" cm="1">
        <f t="array" ref="F367">INDEX(Sources!A:A, 1 + BIN2DEC(LEFT($B367,5)))</f>
        <v>Q</v>
      </c>
      <c r="G367" s="27" t="str" cm="1">
        <f t="array" ref="G367">INDEX(Dest1!A:A,1+BIN2DEC(MID($B367,6,5)))</f>
        <v>UNK8</v>
      </c>
      <c r="H367" s="27" t="str" cm="1">
        <f t="array" ref="H367">INDEX(Source2!A:A,1+BIN2DEC(MID($B367,11,4)))</f>
        <v>--</v>
      </c>
      <c r="I367" s="23" cm="1">
        <f t="array" ref="I367">INDEX('D2'!A:A,1+BIN2DEC(MID($B367,16,2)))</f>
        <v>0</v>
      </c>
      <c r="J367" s="6">
        <f t="shared" si="41"/>
        <v>0</v>
      </c>
      <c r="K367" s="6">
        <f t="shared" si="37"/>
        <v>0</v>
      </c>
      <c r="L367" s="6">
        <f t="shared" si="38"/>
        <v>0</v>
      </c>
      <c r="M367" s="3" t="str" cm="1">
        <f t="array" ref="M367">INDEX(Types!A:A,1+BIN2DEC(MID($B367,20,2)))</f>
        <v>Control</v>
      </c>
      <c r="N367" s="3" t="str" cm="1">
        <f t="array" ref="N367">IF(M367="ALU",INDEX(ALUOps!A:A,1+BIN2DEC(MID($B367,22,5))),"")</f>
        <v/>
      </c>
      <c r="O367" s="3" t="str" cm="1">
        <f t="array" ref="O367">IF(M367="ALU",INDEX(TMP!A:A,1+BIN2DEC(MID($B367,27,2))),"")</f>
        <v/>
      </c>
      <c r="P367" s="6" t="str">
        <f t="shared" si="39"/>
        <v/>
      </c>
      <c r="Q367" t="str">
        <f t="shared" si="40"/>
        <v/>
      </c>
      <c r="R367" t="str">
        <f t="shared" si="42"/>
        <v/>
      </c>
      <c r="S367" cm="1">
        <f t="array" ref="S367">IF(M367="Control",INDEX(IC!A:A,1+BIN2DEC(MID($B367,21,4))),"")</f>
        <v>0</v>
      </c>
      <c r="T367" cm="1">
        <f t="array" ref="T367">IF(M367="Control",INDEX(EC!A:A,1+BIN2DEC(MID($B367,25,3))),"")</f>
        <v>0</v>
      </c>
      <c r="U367" cm="1">
        <f t="array" ref="U367">IF(M367="Control",INDEX(SR!A:A,1+BIN2DEC(MID($B367,28,2))),"")</f>
        <v>0</v>
      </c>
    </row>
    <row r="368" spans="1:30" x14ac:dyDescent="0.25">
      <c r="A368" s="4" t="str">
        <f t="shared" si="36"/>
        <v>16E</v>
      </c>
      <c r="B368" s="2" t="s">
        <v>357</v>
      </c>
      <c r="C368" s="3"/>
      <c r="D368" s="3"/>
      <c r="E368" s="3"/>
      <c r="F368" s="27" t="str" cm="1">
        <f t="array" ref="F368">INDEX(Sources!A:A, 1 + BIN2DEC(LEFT($B368,5)))</f>
        <v>OPR</v>
      </c>
      <c r="G368" s="27" t="str" cm="1">
        <f t="array" ref="G368">INDEX(Dest1!A:A,1+BIN2DEC(MID($B368,6,5)))</f>
        <v>TMPB</v>
      </c>
      <c r="H368" s="27" t="str" cm="1">
        <f t="array" ref="H368">INDEX(Source2!A:A,1+BIN2DEC(MID($B368,11,4)))</f>
        <v>--</v>
      </c>
      <c r="I368" s="23" cm="1">
        <f t="array" ref="I368">INDEX('D2'!A:A,1+BIN2DEC(MID($B368,16,2)))</f>
        <v>0</v>
      </c>
      <c r="J368" s="6">
        <f t="shared" si="41"/>
        <v>0</v>
      </c>
      <c r="K368" s="6">
        <f t="shared" si="37"/>
        <v>0</v>
      </c>
      <c r="L368" s="6">
        <f t="shared" si="38"/>
        <v>1</v>
      </c>
      <c r="M368" s="3" t="str" cm="1">
        <f t="array" ref="M368">INDEX(Types!A:A,1+BIN2DEC(MID($B368,20,2)))</f>
        <v>ALU</v>
      </c>
      <c r="N368" s="3" cm="1">
        <f t="array" ref="N368">IF(M368="ALU",INDEX(ALUOps!A:A,1+BIN2DEC(MID($B368,22,5))),"")</f>
        <v>27</v>
      </c>
      <c r="O368" s="3" cm="1">
        <f t="array" ref="O368">IF(M368="ALU",INDEX(TMP!A:A,1+BIN2DEC(MID($B368,27,2))),"")</f>
        <v>3</v>
      </c>
      <c r="P368" s="6">
        <f t="shared" si="39"/>
        <v>1</v>
      </c>
      <c r="Q368" t="str">
        <f t="shared" si="40"/>
        <v/>
      </c>
      <c r="R368" t="str">
        <f t="shared" si="42"/>
        <v/>
      </c>
      <c r="S368" t="str" cm="1">
        <f t="array" ref="S368">IF(M368="Control",INDEX(IC!A:A,1+BIN2DEC(MID($B368,21,4))),"")</f>
        <v/>
      </c>
      <c r="T368" t="str" cm="1">
        <f t="array" ref="T368">IF(M368="Control",INDEX(EC!A:A,1+BIN2DEC(MID($B368,25,3))),"")</f>
        <v/>
      </c>
      <c r="U368" t="str" cm="1">
        <f t="array" ref="U368">IF(M368="Control",INDEX(SR!A:A,1+BIN2DEC(MID($B368,28,2))),"")</f>
        <v/>
      </c>
    </row>
    <row r="369" spans="1:30" s="9" customFormat="1" ht="15.75" thickBot="1" x14ac:dyDescent="0.3">
      <c r="A369" s="7" t="str">
        <f t="shared" si="36"/>
        <v>16F</v>
      </c>
      <c r="B369" s="8" t="s">
        <v>73</v>
      </c>
      <c r="C369" s="10"/>
      <c r="D369" s="10"/>
      <c r="E369" s="10"/>
      <c r="F369" s="30" t="str" cm="1">
        <f t="array" ref="F369">INDEX(Sources!A:A, 1 + BIN2DEC(LEFT($B369,5)))</f>
        <v>SIGMA</v>
      </c>
      <c r="G369" s="30" t="str" cm="1">
        <f t="array" ref="G369">INDEX(Dest1!A:A,1+BIN2DEC(MID($B369,6,5)))</f>
        <v>UNK24</v>
      </c>
      <c r="H369" s="30" t="str" cm="1">
        <f t="array" ref="H369">INDEX(Source2!A:A,1+BIN2DEC(MID($B369,11,4)))</f>
        <v>--</v>
      </c>
      <c r="I369" s="26" cm="1">
        <f t="array" ref="I369">INDEX('D2'!A:A,1+BIN2DEC(MID($B369,16,2)))</f>
        <v>0</v>
      </c>
      <c r="J369" s="11">
        <f t="shared" si="41"/>
        <v>0</v>
      </c>
      <c r="K369" s="11">
        <f t="shared" si="37"/>
        <v>1</v>
      </c>
      <c r="L369" s="11">
        <f t="shared" si="38"/>
        <v>0</v>
      </c>
      <c r="M369" s="10" t="str" cm="1">
        <f t="array" ref="M369">INDEX(Types!A:A,1+BIN2DEC(MID($B369,20,2)))</f>
        <v>Control</v>
      </c>
      <c r="N369" s="10" t="str" cm="1">
        <f t="array" ref="N369">IF(M369="ALU",INDEX(ALUOps!A:A,1+BIN2DEC(MID($B369,22,5))),"")</f>
        <v/>
      </c>
      <c r="O369" s="10" t="str" cm="1">
        <f t="array" ref="O369">IF(M369="ALU",INDEX(TMP!A:A,1+BIN2DEC(MID($B369,27,2))),"")</f>
        <v/>
      </c>
      <c r="P369" s="11" t="str">
        <f t="shared" si="39"/>
        <v/>
      </c>
      <c r="Q369" s="9" t="str">
        <f t="shared" si="40"/>
        <v/>
      </c>
      <c r="R369" s="9" t="str">
        <f t="shared" si="42"/>
        <v/>
      </c>
      <c r="S369" s="9" cm="1">
        <f t="array" ref="S369">IF(M369="Control",INDEX(IC!A:A,1+BIN2DEC(MID($B369,21,4))),"")</f>
        <v>0</v>
      </c>
      <c r="T369" s="9" cm="1">
        <f t="array" ref="T369">IF(M369="Control",INDEX(EC!A:A,1+BIN2DEC(MID($B369,25,3))),"")</f>
        <v>0</v>
      </c>
      <c r="U369" s="9" cm="1">
        <f t="array" ref="U369">IF(M369="Control",INDEX(SR!A:A,1+BIN2DEC(MID($B369,28,2))),"")</f>
        <v>0</v>
      </c>
    </row>
    <row r="370" spans="1:30" x14ac:dyDescent="0.25">
      <c r="A370" s="4" t="str">
        <f t="shared" si="36"/>
        <v>170</v>
      </c>
      <c r="B370" s="2" t="s">
        <v>358</v>
      </c>
      <c r="C370" s="2" t="s">
        <v>359</v>
      </c>
      <c r="D370" s="2" t="s">
        <v>934</v>
      </c>
      <c r="E370" s="2" t="s">
        <v>462</v>
      </c>
      <c r="F370" s="27" t="str" cm="1">
        <f t="array" ref="F370">INDEX(Sources!A:A, 1 + BIN2DEC(LEFT($B370,5)))</f>
        <v>OPR</v>
      </c>
      <c r="G370" s="27" t="str" cm="1">
        <f t="array" ref="G370">INDEX(Dest1!A:A,1+BIN2DEC(MID($B370,6,5)))</f>
        <v>TMPA</v>
      </c>
      <c r="H370" s="27" t="str" cm="1">
        <f t="array" ref="H370">INDEX(Source2!A:A,1+BIN2DEC(MID($B370,11,4)))</f>
        <v>--</v>
      </c>
      <c r="I370" s="23" cm="1">
        <f t="array" ref="I370">INDEX('D2'!A:A,1+BIN2DEC(MID($B370,16,2)))</f>
        <v>0</v>
      </c>
      <c r="J370" s="6">
        <f t="shared" si="41"/>
        <v>0</v>
      </c>
      <c r="K370" s="6">
        <f t="shared" si="37"/>
        <v>0</v>
      </c>
      <c r="L370" s="6">
        <f t="shared" si="38"/>
        <v>0</v>
      </c>
      <c r="M370" s="3" t="str" cm="1">
        <f t="array" ref="M370">INDEX(Types!A:A,1+BIN2DEC(MID($B370,20,2)))</f>
        <v>ALU</v>
      </c>
      <c r="N370" s="3" cm="1">
        <f t="array" ref="N370">IF(M370="ALU",INDEX(ALUOps!A:A,1+BIN2DEC(MID($B370,22,5))),"")</f>
        <v>9</v>
      </c>
      <c r="O370" s="3" cm="1">
        <f t="array" ref="O370">IF(M370="ALU",INDEX(TMP!A:A,1+BIN2DEC(MID($B370,27,2))),"")</f>
        <v>2</v>
      </c>
      <c r="P370" s="6">
        <f t="shared" si="39"/>
        <v>1</v>
      </c>
      <c r="Q370" t="str">
        <f t="shared" si="40"/>
        <v/>
      </c>
      <c r="R370" t="str">
        <f t="shared" si="42"/>
        <v/>
      </c>
      <c r="S370" t="str" cm="1">
        <f t="array" ref="S370">IF(M370="Control",INDEX(IC!A:A,1+BIN2DEC(MID($B370,21,4))),"")</f>
        <v/>
      </c>
      <c r="T370" t="str" cm="1">
        <f t="array" ref="T370">IF(M370="Control",INDEX(EC!A:A,1+BIN2DEC(MID($B370,25,3))),"")</f>
        <v/>
      </c>
      <c r="U370" t="str" cm="1">
        <f t="array" ref="U370">IF(M370="Control",INDEX(SR!A:A,1+BIN2DEC(MID($B370,28,2))),"")</f>
        <v/>
      </c>
      <c r="AD370" s="1" t="s">
        <v>360</v>
      </c>
    </row>
    <row r="371" spans="1:30" x14ac:dyDescent="0.25">
      <c r="A371" s="4" t="str">
        <f t="shared" si="36"/>
        <v>171</v>
      </c>
      <c r="B371" s="2" t="s">
        <v>3</v>
      </c>
      <c r="C371" s="3"/>
      <c r="D371" s="3"/>
      <c r="E371" s="3"/>
      <c r="F371" s="27" t="str" cm="1">
        <f t="array" ref="F371">INDEX(Sources!A:A, 1 + BIN2DEC(LEFT($B371,5)))</f>
        <v>SIGMA</v>
      </c>
      <c r="G371" s="27" t="str" cm="1">
        <f t="array" ref="G371">INDEX(Dest1!A:A,1+BIN2DEC(MID($B371,6,5)))</f>
        <v>OPR</v>
      </c>
      <c r="H371" s="27" t="str" cm="1">
        <f t="array" ref="H371">INDEX(Source2!A:A,1+BIN2DEC(MID($B371,11,4)))</f>
        <v>--</v>
      </c>
      <c r="I371" s="23" cm="1">
        <f t="array" ref="I371">INDEX('D2'!A:A,1+BIN2DEC(MID($B371,16,2)))</f>
        <v>0</v>
      </c>
      <c r="J371" s="6">
        <f t="shared" si="41"/>
        <v>0</v>
      </c>
      <c r="K371" s="6">
        <f t="shared" si="37"/>
        <v>1</v>
      </c>
      <c r="L371" s="6">
        <f t="shared" si="38"/>
        <v>1</v>
      </c>
      <c r="M371" s="3" t="str" cm="1">
        <f t="array" ref="M371">INDEX(Types!A:A,1+BIN2DEC(MID($B371,20,2)))</f>
        <v>Control</v>
      </c>
      <c r="N371" s="3" t="str" cm="1">
        <f t="array" ref="N371">IF(M371="ALU",INDEX(ALUOps!A:A,1+BIN2DEC(MID($B371,22,5))),"")</f>
        <v/>
      </c>
      <c r="O371" s="3" t="str" cm="1">
        <f t="array" ref="O371">IF(M371="ALU",INDEX(TMP!A:A,1+BIN2DEC(MID($B371,27,2))),"")</f>
        <v/>
      </c>
      <c r="P371" s="6" t="str">
        <f t="shared" si="39"/>
        <v/>
      </c>
      <c r="Q371" t="str">
        <f t="shared" si="40"/>
        <v/>
      </c>
      <c r="R371" t="str">
        <f t="shared" si="42"/>
        <v/>
      </c>
      <c r="S371" cm="1">
        <f t="array" ref="S371">IF(M371="Control",INDEX(IC!A:A,1+BIN2DEC(MID($B371,21,4))),"")</f>
        <v>0</v>
      </c>
      <c r="T371" cm="1">
        <f t="array" ref="T371">IF(M371="Control",INDEX(EC!A:A,1+BIN2DEC(MID($B371,25,3))),"")</f>
        <v>1</v>
      </c>
      <c r="U371" cm="1">
        <f t="array" ref="U371">IF(M371="Control",INDEX(SR!A:A,1+BIN2DEC(MID($B371,28,2))),"")</f>
        <v>0</v>
      </c>
    </row>
    <row r="372" spans="1:30" x14ac:dyDescent="0.25">
      <c r="A372" s="4" t="str">
        <f t="shared" si="36"/>
        <v>172</v>
      </c>
      <c r="B372" s="2" t="s">
        <v>4</v>
      </c>
      <c r="C372" s="3"/>
      <c r="D372" s="3"/>
      <c r="E372" s="3"/>
      <c r="F372" s="27" t="str" cm="1">
        <f t="array" ref="F372">INDEX(Sources!A:A, 1 + BIN2DEC(LEFT($B372,5)))</f>
        <v>--</v>
      </c>
      <c r="G372" s="27" t="str" cm="1">
        <f t="array" ref="G372">INDEX(Dest1!A:A,1+BIN2DEC(MID($B372,6,5)))</f>
        <v>--</v>
      </c>
      <c r="H372" s="27" t="str" cm="1">
        <f t="array" ref="H372">INDEX(Source2!A:A,1+BIN2DEC(MID($B372,11,4)))</f>
        <v>--</v>
      </c>
      <c r="I372" s="23" cm="1">
        <f t="array" ref="I372">INDEX('D2'!A:A,1+BIN2DEC(MID($B372,16,2)))</f>
        <v>0</v>
      </c>
      <c r="J372" s="6">
        <f t="shared" si="41"/>
        <v>0</v>
      </c>
      <c r="K372" s="6">
        <f t="shared" si="37"/>
        <v>0</v>
      </c>
      <c r="L372" s="6">
        <f t="shared" si="38"/>
        <v>0</v>
      </c>
      <c r="M372" s="3" t="str" cm="1">
        <f t="array" ref="M372">INDEX(Types!A:A,1+BIN2DEC(MID($B372,20,2)))</f>
        <v>Control</v>
      </c>
      <c r="N372" s="3" t="str" cm="1">
        <f t="array" ref="N372">IF(M372="ALU",INDEX(ALUOps!A:A,1+BIN2DEC(MID($B372,22,5))),"")</f>
        <v/>
      </c>
      <c r="O372" s="3" t="str" cm="1">
        <f t="array" ref="O372">IF(M372="ALU",INDEX(TMP!A:A,1+BIN2DEC(MID($B372,27,2))),"")</f>
        <v/>
      </c>
      <c r="P372" s="6" t="str">
        <f t="shared" si="39"/>
        <v/>
      </c>
      <c r="Q372" t="str">
        <f t="shared" si="40"/>
        <v/>
      </c>
      <c r="R372" t="str">
        <f t="shared" si="42"/>
        <v/>
      </c>
      <c r="S372" cm="1">
        <f t="array" ref="S372">IF(M372="Control",INDEX(IC!A:A,1+BIN2DEC(MID($B372,21,4))),"")</f>
        <v>0</v>
      </c>
      <c r="T372" cm="1">
        <f t="array" ref="T372">IF(M372="Control",INDEX(EC!A:A,1+BIN2DEC(MID($B372,25,3))),"")</f>
        <v>0</v>
      </c>
      <c r="U372" cm="1">
        <f t="array" ref="U372">IF(M372="Control",INDEX(SR!A:A,1+BIN2DEC(MID($B372,28,2))),"")</f>
        <v>0</v>
      </c>
    </row>
    <row r="373" spans="1:30" s="9" customFormat="1" ht="15.75" thickBot="1" x14ac:dyDescent="0.3">
      <c r="A373" s="7" t="str">
        <f t="shared" si="36"/>
        <v>173</v>
      </c>
      <c r="B373" s="8" t="s">
        <v>4</v>
      </c>
      <c r="C373" s="10"/>
      <c r="D373" s="10"/>
      <c r="E373" s="10"/>
      <c r="F373" s="30" t="str" cm="1">
        <f t="array" ref="F373">INDEX(Sources!A:A, 1 + BIN2DEC(LEFT($B373,5)))</f>
        <v>--</v>
      </c>
      <c r="G373" s="30" t="str" cm="1">
        <f t="array" ref="G373">INDEX(Dest1!A:A,1+BIN2DEC(MID($B373,6,5)))</f>
        <v>--</v>
      </c>
      <c r="H373" s="30" t="str" cm="1">
        <f t="array" ref="H373">INDEX(Source2!A:A,1+BIN2DEC(MID($B373,11,4)))</f>
        <v>--</v>
      </c>
      <c r="I373" s="26" cm="1">
        <f t="array" ref="I373">INDEX('D2'!A:A,1+BIN2DEC(MID($B373,16,2)))</f>
        <v>0</v>
      </c>
      <c r="J373" s="11">
        <f t="shared" si="41"/>
        <v>0</v>
      </c>
      <c r="K373" s="11">
        <f t="shared" si="37"/>
        <v>0</v>
      </c>
      <c r="L373" s="11">
        <f t="shared" si="38"/>
        <v>0</v>
      </c>
      <c r="M373" s="10" t="str" cm="1">
        <f t="array" ref="M373">INDEX(Types!A:A,1+BIN2DEC(MID($B373,20,2)))</f>
        <v>Control</v>
      </c>
      <c r="N373" s="10" t="str" cm="1">
        <f t="array" ref="N373">IF(M373="ALU",INDEX(ALUOps!A:A,1+BIN2DEC(MID($B373,22,5))),"")</f>
        <v/>
      </c>
      <c r="O373" s="10" t="str" cm="1">
        <f t="array" ref="O373">IF(M373="ALU",INDEX(TMP!A:A,1+BIN2DEC(MID($B373,27,2))),"")</f>
        <v/>
      </c>
      <c r="P373" s="11" t="str">
        <f t="shared" si="39"/>
        <v/>
      </c>
      <c r="Q373" s="9" t="str">
        <f t="shared" si="40"/>
        <v/>
      </c>
      <c r="R373" s="9" t="str">
        <f t="shared" si="42"/>
        <v/>
      </c>
      <c r="S373" s="9" cm="1">
        <f t="array" ref="S373">IF(M373="Control",INDEX(IC!A:A,1+BIN2DEC(MID($B373,21,4))),"")</f>
        <v>0</v>
      </c>
      <c r="T373" s="9" cm="1">
        <f t="array" ref="T373">IF(M373="Control",INDEX(EC!A:A,1+BIN2DEC(MID($B373,25,3))),"")</f>
        <v>0</v>
      </c>
      <c r="U373" s="9" cm="1">
        <f t="array" ref="U373">IF(M373="Control",INDEX(SR!A:A,1+BIN2DEC(MID($B373,28,2))),"")</f>
        <v>0</v>
      </c>
    </row>
    <row r="374" spans="1:30" x14ac:dyDescent="0.25">
      <c r="A374" s="4" t="str">
        <f t="shared" si="36"/>
        <v>174</v>
      </c>
      <c r="B374" s="2" t="s">
        <v>358</v>
      </c>
      <c r="C374" s="2" t="s">
        <v>361</v>
      </c>
      <c r="D374" s="2" t="s">
        <v>934</v>
      </c>
      <c r="E374" s="2" t="s">
        <v>462</v>
      </c>
      <c r="F374" s="27" t="str" cm="1">
        <f t="array" ref="F374">INDEX(Sources!A:A, 1 + BIN2DEC(LEFT($B374,5)))</f>
        <v>OPR</v>
      </c>
      <c r="G374" s="27" t="str" cm="1">
        <f t="array" ref="G374">INDEX(Dest1!A:A,1+BIN2DEC(MID($B374,6,5)))</f>
        <v>TMPA</v>
      </c>
      <c r="H374" s="27" t="str" cm="1">
        <f t="array" ref="H374">INDEX(Source2!A:A,1+BIN2DEC(MID($B374,11,4)))</f>
        <v>--</v>
      </c>
      <c r="I374" s="23" cm="1">
        <f t="array" ref="I374">INDEX('D2'!A:A,1+BIN2DEC(MID($B374,16,2)))</f>
        <v>0</v>
      </c>
      <c r="J374" s="6">
        <f t="shared" si="41"/>
        <v>0</v>
      </c>
      <c r="K374" s="6">
        <f t="shared" si="37"/>
        <v>0</v>
      </c>
      <c r="L374" s="6">
        <f t="shared" si="38"/>
        <v>0</v>
      </c>
      <c r="M374" s="3" t="str" cm="1">
        <f t="array" ref="M374">INDEX(Types!A:A,1+BIN2DEC(MID($B374,20,2)))</f>
        <v>ALU</v>
      </c>
      <c r="N374" s="3" cm="1">
        <f t="array" ref="N374">IF(M374="ALU",INDEX(ALUOps!A:A,1+BIN2DEC(MID($B374,22,5))),"")</f>
        <v>9</v>
      </c>
      <c r="O374" s="3" cm="1">
        <f t="array" ref="O374">IF(M374="ALU",INDEX(TMP!A:A,1+BIN2DEC(MID($B374,27,2))),"")</f>
        <v>2</v>
      </c>
      <c r="P374" s="6">
        <f t="shared" si="39"/>
        <v>1</v>
      </c>
      <c r="Q374" t="str">
        <f t="shared" si="40"/>
        <v/>
      </c>
      <c r="R374" t="str">
        <f t="shared" si="42"/>
        <v/>
      </c>
      <c r="S374" t="str" cm="1">
        <f t="array" ref="S374">IF(M374="Control",INDEX(IC!A:A,1+BIN2DEC(MID($B374,21,4))),"")</f>
        <v/>
      </c>
      <c r="T374" t="str" cm="1">
        <f t="array" ref="T374">IF(M374="Control",INDEX(EC!A:A,1+BIN2DEC(MID($B374,25,3))),"")</f>
        <v/>
      </c>
      <c r="U374" t="str" cm="1">
        <f t="array" ref="U374">IF(M374="Control",INDEX(SR!A:A,1+BIN2DEC(MID($B374,28,2))),"")</f>
        <v/>
      </c>
      <c r="AD374" s="1" t="s">
        <v>362</v>
      </c>
    </row>
    <row r="375" spans="1:30" x14ac:dyDescent="0.25">
      <c r="A375" s="4" t="str">
        <f t="shared" si="36"/>
        <v>175</v>
      </c>
      <c r="B375" s="2" t="s">
        <v>271</v>
      </c>
      <c r="C375" s="3"/>
      <c r="D375" s="3"/>
      <c r="E375" s="3"/>
      <c r="F375" s="27" t="str" cm="1">
        <f t="array" ref="F375">INDEX(Sources!A:A, 1 + BIN2DEC(LEFT($B375,5)))</f>
        <v>SIGMA</v>
      </c>
      <c r="G375" s="27" t="str" cm="1">
        <f t="array" ref="G375">INDEX(Dest1!A:A,1+BIN2DEC(MID($B375,6,5)))</f>
        <v>OPR</v>
      </c>
      <c r="H375" s="27" t="str" cm="1">
        <f t="array" ref="H375">INDEX(Source2!A:A,1+BIN2DEC(MID($B375,11,4)))</f>
        <v>--</v>
      </c>
      <c r="I375" s="23" cm="1">
        <f t="array" ref="I375">INDEX('D2'!A:A,1+BIN2DEC(MID($B375,16,2)))</f>
        <v>0</v>
      </c>
      <c r="J375" s="6">
        <f t="shared" si="41"/>
        <v>0</v>
      </c>
      <c r="K375" s="6">
        <f t="shared" si="37"/>
        <v>0</v>
      </c>
      <c r="L375" s="6">
        <f t="shared" si="38"/>
        <v>1</v>
      </c>
      <c r="M375" s="3" t="str" cm="1">
        <f t="array" ref="M375">INDEX(Types!A:A,1+BIN2DEC(MID($B375,20,2)))</f>
        <v>Control</v>
      </c>
      <c r="N375" s="3" t="str" cm="1">
        <f t="array" ref="N375">IF(M375="ALU",INDEX(ALUOps!A:A,1+BIN2DEC(MID($B375,22,5))),"")</f>
        <v/>
      </c>
      <c r="O375" s="3" t="str" cm="1">
        <f t="array" ref="O375">IF(M375="ALU",INDEX(TMP!A:A,1+BIN2DEC(MID($B375,27,2))),"")</f>
        <v/>
      </c>
      <c r="P375" s="6" t="str">
        <f t="shared" si="39"/>
        <v/>
      </c>
      <c r="Q375" t="str">
        <f t="shared" si="40"/>
        <v/>
      </c>
      <c r="R375" t="str">
        <f t="shared" si="42"/>
        <v/>
      </c>
      <c r="S375" cm="1">
        <f t="array" ref="S375">IF(M375="Control",INDEX(IC!A:A,1+BIN2DEC(MID($B375,21,4))),"")</f>
        <v>0</v>
      </c>
      <c r="T375" cm="1">
        <f t="array" ref="T375">IF(M375="Control",INDEX(EC!A:A,1+BIN2DEC(MID($B375,25,3))),"")</f>
        <v>1</v>
      </c>
      <c r="U375" cm="1">
        <f t="array" ref="U375">IF(M375="Control",INDEX(SR!A:A,1+BIN2DEC(MID($B375,28,2))),"")</f>
        <v>0</v>
      </c>
    </row>
    <row r="376" spans="1:30" x14ac:dyDescent="0.25">
      <c r="A376" s="4" t="str">
        <f t="shared" si="36"/>
        <v>176</v>
      </c>
      <c r="B376" s="2" t="s">
        <v>4</v>
      </c>
      <c r="C376" s="3"/>
      <c r="D376" s="3"/>
      <c r="E376" s="3"/>
      <c r="F376" s="27" t="str" cm="1">
        <f t="array" ref="F376">INDEX(Sources!A:A, 1 + BIN2DEC(LEFT($B376,5)))</f>
        <v>--</v>
      </c>
      <c r="G376" s="27" t="str" cm="1">
        <f t="array" ref="G376">INDEX(Dest1!A:A,1+BIN2DEC(MID($B376,6,5)))</f>
        <v>--</v>
      </c>
      <c r="H376" s="27" t="str" cm="1">
        <f t="array" ref="H376">INDEX(Source2!A:A,1+BIN2DEC(MID($B376,11,4)))</f>
        <v>--</v>
      </c>
      <c r="I376" s="23" cm="1">
        <f t="array" ref="I376">INDEX('D2'!A:A,1+BIN2DEC(MID($B376,16,2)))</f>
        <v>0</v>
      </c>
      <c r="J376" s="6">
        <f t="shared" si="41"/>
        <v>0</v>
      </c>
      <c r="K376" s="6">
        <f t="shared" si="37"/>
        <v>0</v>
      </c>
      <c r="L376" s="6">
        <f t="shared" si="38"/>
        <v>0</v>
      </c>
      <c r="M376" s="3" t="str" cm="1">
        <f t="array" ref="M376">INDEX(Types!A:A,1+BIN2DEC(MID($B376,20,2)))</f>
        <v>Control</v>
      </c>
      <c r="N376" s="3" t="str" cm="1">
        <f t="array" ref="N376">IF(M376="ALU",INDEX(ALUOps!A:A,1+BIN2DEC(MID($B376,22,5))),"")</f>
        <v/>
      </c>
      <c r="O376" s="3" t="str" cm="1">
        <f t="array" ref="O376">IF(M376="ALU",INDEX(TMP!A:A,1+BIN2DEC(MID($B376,27,2))),"")</f>
        <v/>
      </c>
      <c r="P376" s="6" t="str">
        <f t="shared" si="39"/>
        <v/>
      </c>
      <c r="Q376" t="str">
        <f t="shared" si="40"/>
        <v/>
      </c>
      <c r="R376" t="str">
        <f t="shared" si="42"/>
        <v/>
      </c>
      <c r="S376" cm="1">
        <f t="array" ref="S376">IF(M376="Control",INDEX(IC!A:A,1+BIN2DEC(MID($B376,21,4))),"")</f>
        <v>0</v>
      </c>
      <c r="T376" cm="1">
        <f t="array" ref="T376">IF(M376="Control",INDEX(EC!A:A,1+BIN2DEC(MID($B376,25,3))),"")</f>
        <v>0</v>
      </c>
      <c r="U376" cm="1">
        <f t="array" ref="U376">IF(M376="Control",INDEX(SR!A:A,1+BIN2DEC(MID($B376,28,2))),"")</f>
        <v>0</v>
      </c>
    </row>
    <row r="377" spans="1:30" s="9" customFormat="1" ht="15.75" thickBot="1" x14ac:dyDescent="0.3">
      <c r="A377" s="7" t="str">
        <f t="shared" si="36"/>
        <v>177</v>
      </c>
      <c r="B377" s="8" t="s">
        <v>4</v>
      </c>
      <c r="C377" s="10"/>
      <c r="D377" s="10"/>
      <c r="E377" s="10"/>
      <c r="F377" s="30" t="str" cm="1">
        <f t="array" ref="F377">INDEX(Sources!A:A, 1 + BIN2DEC(LEFT($B377,5)))</f>
        <v>--</v>
      </c>
      <c r="G377" s="30" t="str" cm="1">
        <f t="array" ref="G377">INDEX(Dest1!A:A,1+BIN2DEC(MID($B377,6,5)))</f>
        <v>--</v>
      </c>
      <c r="H377" s="30" t="str" cm="1">
        <f t="array" ref="H377">INDEX(Source2!A:A,1+BIN2DEC(MID($B377,11,4)))</f>
        <v>--</v>
      </c>
      <c r="I377" s="26" cm="1">
        <f t="array" ref="I377">INDEX('D2'!A:A,1+BIN2DEC(MID($B377,16,2)))</f>
        <v>0</v>
      </c>
      <c r="J377" s="11">
        <f t="shared" si="41"/>
        <v>0</v>
      </c>
      <c r="K377" s="11">
        <f t="shared" si="37"/>
        <v>0</v>
      </c>
      <c r="L377" s="11">
        <f t="shared" si="38"/>
        <v>0</v>
      </c>
      <c r="M377" s="10" t="str" cm="1">
        <f t="array" ref="M377">INDEX(Types!A:A,1+BIN2DEC(MID($B377,20,2)))</f>
        <v>Control</v>
      </c>
      <c r="N377" s="10" t="str" cm="1">
        <f t="array" ref="N377">IF(M377="ALU",INDEX(ALUOps!A:A,1+BIN2DEC(MID($B377,22,5))),"")</f>
        <v/>
      </c>
      <c r="O377" s="10" t="str" cm="1">
        <f t="array" ref="O377">IF(M377="ALU",INDEX(TMP!A:A,1+BIN2DEC(MID($B377,27,2))),"")</f>
        <v/>
      </c>
      <c r="P377" s="11" t="str">
        <f t="shared" si="39"/>
        <v/>
      </c>
      <c r="Q377" s="9" t="str">
        <f t="shared" si="40"/>
        <v/>
      </c>
      <c r="R377" s="9" t="str">
        <f t="shared" si="42"/>
        <v/>
      </c>
      <c r="S377" s="9" cm="1">
        <f t="array" ref="S377">IF(M377="Control",INDEX(IC!A:A,1+BIN2DEC(MID($B377,21,4))),"")</f>
        <v>0</v>
      </c>
      <c r="T377" s="9" cm="1">
        <f t="array" ref="T377">IF(M377="Control",INDEX(EC!A:A,1+BIN2DEC(MID($B377,25,3))),"")</f>
        <v>0</v>
      </c>
      <c r="U377" s="9" cm="1">
        <f t="array" ref="U377">IF(M377="Control",INDEX(SR!A:A,1+BIN2DEC(MID($B377,28,2))),"")</f>
        <v>0</v>
      </c>
    </row>
    <row r="378" spans="1:30" x14ac:dyDescent="0.25">
      <c r="A378" s="4" t="str">
        <f t="shared" si="36"/>
        <v>178</v>
      </c>
      <c r="B378" s="2" t="s">
        <v>363</v>
      </c>
      <c r="C378" s="2" t="s">
        <v>364</v>
      </c>
      <c r="D378" s="2" t="s">
        <v>934</v>
      </c>
      <c r="E378" s="2" t="s">
        <v>462</v>
      </c>
      <c r="F378" s="27" t="str" cm="1">
        <f t="array" ref="F378">INDEX(Sources!A:A, 1 + BIN2DEC(LEFT($B378,5)))</f>
        <v>OPR</v>
      </c>
      <c r="G378" s="27" t="str" cm="1">
        <f t="array" ref="G378">INDEX(Dest1!A:A,1+BIN2DEC(MID($B378,6,5)))</f>
        <v>UNK17</v>
      </c>
      <c r="H378" s="27" t="str" cm="1">
        <f t="array" ref="H378">INDEX(Source2!A:A,1+BIN2DEC(MID($B378,11,4)))</f>
        <v>9</v>
      </c>
      <c r="I378" s="23" cm="1">
        <f t="array" ref="I378">INDEX('D2'!A:A,1+BIN2DEC(MID($B378,16,2)))</f>
        <v>0</v>
      </c>
      <c r="J378" s="6">
        <f t="shared" si="41"/>
        <v>0</v>
      </c>
      <c r="K378" s="6">
        <f t="shared" si="37"/>
        <v>0</v>
      </c>
      <c r="L378" s="6">
        <f t="shared" si="38"/>
        <v>0</v>
      </c>
      <c r="M378" s="3" t="str" cm="1">
        <f t="array" ref="M378">INDEX(Types!A:A,1+BIN2DEC(MID($B378,20,2)))</f>
        <v>ALU</v>
      </c>
      <c r="N378" s="3" cm="1">
        <f t="array" ref="N378">IF(M378="ALU",INDEX(ALUOps!A:A,1+BIN2DEC(MID($B378,22,5))),"")</f>
        <v>0</v>
      </c>
      <c r="O378" s="3" cm="1">
        <f t="array" ref="O378">IF(M378="ALU",INDEX(TMP!A:A,1+BIN2DEC(MID($B378,27,2))),"")</f>
        <v>1</v>
      </c>
      <c r="P378" s="6">
        <f t="shared" si="39"/>
        <v>1</v>
      </c>
      <c r="Q378" t="str">
        <f t="shared" si="40"/>
        <v/>
      </c>
      <c r="R378" t="str">
        <f t="shared" si="42"/>
        <v/>
      </c>
      <c r="S378" t="str" cm="1">
        <f t="array" ref="S378">IF(M378="Control",INDEX(IC!A:A,1+BIN2DEC(MID($B378,21,4))),"")</f>
        <v/>
      </c>
      <c r="T378" t="str" cm="1">
        <f t="array" ref="T378">IF(M378="Control",INDEX(EC!A:A,1+BIN2DEC(MID($B378,25,3))),"")</f>
        <v/>
      </c>
      <c r="U378" t="str" cm="1">
        <f t="array" ref="U378">IF(M378="Control",INDEX(SR!A:A,1+BIN2DEC(MID($B378,28,2))),"")</f>
        <v/>
      </c>
      <c r="AD378" s="1" t="s">
        <v>365</v>
      </c>
    </row>
    <row r="379" spans="1:30" x14ac:dyDescent="0.25">
      <c r="A379" s="4" t="str">
        <f t="shared" si="36"/>
        <v>179</v>
      </c>
      <c r="B379" s="2" t="s">
        <v>366</v>
      </c>
      <c r="C379" s="3"/>
      <c r="D379" s="3"/>
      <c r="E379" s="3"/>
      <c r="F379" s="27" t="str" cm="1">
        <f t="array" ref="F379">INDEX(Sources!A:A, 1 + BIN2DEC(LEFT($B379,5)))</f>
        <v>A</v>
      </c>
      <c r="G379" s="27" t="str" cm="1">
        <f t="array" ref="G379">INDEX(Dest1!A:A,1+BIN2DEC(MID($B379,6,5)))</f>
        <v>TMPB</v>
      </c>
      <c r="H379" s="27" t="str" cm="1">
        <f t="array" ref="H379">INDEX(Source2!A:A,1+BIN2DEC(MID($B379,11,4)))</f>
        <v>--</v>
      </c>
      <c r="I379" s="23" cm="1">
        <f t="array" ref="I379">INDEX('D2'!A:A,1+BIN2DEC(MID($B379,16,2)))</f>
        <v>0</v>
      </c>
      <c r="J379" s="6">
        <f t="shared" si="41"/>
        <v>0</v>
      </c>
      <c r="K379" s="6">
        <f t="shared" si="37"/>
        <v>0</v>
      </c>
      <c r="L379" s="6">
        <f t="shared" si="38"/>
        <v>0</v>
      </c>
      <c r="M379" s="3" t="str" cm="1">
        <f t="array" ref="M379">INDEX(Types!A:A,1+BIN2DEC(MID($B379,20,2)))</f>
        <v>Control</v>
      </c>
      <c r="N379" s="3" t="str" cm="1">
        <f t="array" ref="N379">IF(M379="ALU",INDEX(ALUOps!A:A,1+BIN2DEC(MID($B379,22,5))),"")</f>
        <v/>
      </c>
      <c r="O379" s="3" t="str" cm="1">
        <f t="array" ref="O379">IF(M379="ALU",INDEX(TMP!A:A,1+BIN2DEC(MID($B379,27,2))),"")</f>
        <v/>
      </c>
      <c r="P379" s="6" t="str">
        <f t="shared" si="39"/>
        <v/>
      </c>
      <c r="Q379" t="str">
        <f t="shared" si="40"/>
        <v/>
      </c>
      <c r="R379" t="str">
        <f t="shared" si="42"/>
        <v/>
      </c>
      <c r="S379" cm="1">
        <f t="array" ref="S379">IF(M379="Control",INDEX(IC!A:A,1+BIN2DEC(MID($B379,21,4))),"")</f>
        <v>0</v>
      </c>
      <c r="T379" cm="1">
        <f t="array" ref="T379">IF(M379="Control",INDEX(EC!A:A,1+BIN2DEC(MID($B379,25,3))),"")</f>
        <v>0</v>
      </c>
      <c r="U379" cm="1">
        <f t="array" ref="U379">IF(M379="Control",INDEX(SR!A:A,1+BIN2DEC(MID($B379,28,2))),"")</f>
        <v>0</v>
      </c>
    </row>
    <row r="380" spans="1:30" x14ac:dyDescent="0.25">
      <c r="A380" s="4" t="str">
        <f t="shared" si="36"/>
        <v>17A</v>
      </c>
      <c r="B380" s="2" t="s">
        <v>367</v>
      </c>
      <c r="C380" s="3"/>
      <c r="D380" s="3"/>
      <c r="E380" s="3"/>
      <c r="F380" s="27" t="str" cm="1">
        <f t="array" ref="F380">INDEX(Sources!A:A, 1 + BIN2DEC(LEFT($B380,5)))</f>
        <v>REG</v>
      </c>
      <c r="G380" s="27" t="str" cm="1">
        <f t="array" ref="G380">INDEX(Dest1!A:A,1+BIN2DEC(MID($B380,6,5)))</f>
        <v>LC</v>
      </c>
      <c r="H380" s="27" t="str" cm="1">
        <f t="array" ref="H380">INDEX(Source2!A:A,1+BIN2DEC(MID($B380,11,4)))</f>
        <v>13</v>
      </c>
      <c r="I380" s="23" t="str" cm="1">
        <f t="array" ref="I380">INDEX('D2'!A:A,1+BIN2DEC(MID($B380,16,2)))</f>
        <v>TMPB</v>
      </c>
      <c r="J380" s="6">
        <f t="shared" si="41"/>
        <v>0</v>
      </c>
      <c r="K380" s="6">
        <f t="shared" si="37"/>
        <v>0</v>
      </c>
      <c r="L380" s="6">
        <f t="shared" si="38"/>
        <v>0</v>
      </c>
      <c r="M380" s="3" t="str" cm="1">
        <f t="array" ref="M380">INDEX(Types!A:A,1+BIN2DEC(MID($B380,20,2)))</f>
        <v>Jump</v>
      </c>
      <c r="N380" s="3" t="str" cm="1">
        <f t="array" ref="N380">IF(M380="ALU",INDEX(ALUOps!A:A,1+BIN2DEC(MID($B380,22,5))),"")</f>
        <v/>
      </c>
      <c r="O380" s="3" t="str" cm="1">
        <f t="array" ref="O380">IF(M380="ALU",INDEX(TMP!A:A,1+BIN2DEC(MID($B380,27,2))),"")</f>
        <v/>
      </c>
      <c r="P380" s="6" t="str">
        <f t="shared" si="39"/>
        <v/>
      </c>
      <c r="Q380">
        <f t="shared" si="40"/>
        <v>8</v>
      </c>
      <c r="R380">
        <f t="shared" si="42"/>
        <v>4</v>
      </c>
      <c r="S380" t="str" cm="1">
        <f t="array" ref="S380">IF(M380="Control",INDEX(IC!A:A,1+BIN2DEC(MID($B380,21,4))),"")</f>
        <v/>
      </c>
      <c r="T380" t="str" cm="1">
        <f t="array" ref="T380">IF(M380="Control",INDEX(EC!A:A,1+BIN2DEC(MID($B380,25,3))),"")</f>
        <v/>
      </c>
      <c r="U380" t="str" cm="1">
        <f t="array" ref="U380">IF(M380="Control",INDEX(SR!A:A,1+BIN2DEC(MID($B380,28,2))),"")</f>
        <v/>
      </c>
    </row>
    <row r="381" spans="1:30" x14ac:dyDescent="0.25">
      <c r="A381" s="4" t="str">
        <f t="shared" si="36"/>
        <v>17B</v>
      </c>
      <c r="B381" s="2" t="s">
        <v>368</v>
      </c>
      <c r="C381" s="3"/>
      <c r="D381" s="3"/>
      <c r="E381" s="3"/>
      <c r="F381" s="27" t="str" cm="1">
        <f t="array" ref="F381">INDEX(Sources!A:A, 1 + BIN2DEC(LEFT($B381,5)))</f>
        <v>REG</v>
      </c>
      <c r="G381" s="27" t="str" cm="1">
        <f t="array" ref="G381">INDEX(Dest1!A:A,1+BIN2DEC(MID($B381,6,5)))</f>
        <v>LC</v>
      </c>
      <c r="H381" s="27" t="str" cm="1">
        <f t="array" ref="H381">INDEX(Source2!A:A,1+BIN2DEC(MID($B381,11,4)))</f>
        <v>11</v>
      </c>
      <c r="I381" s="23" t="str" cm="1">
        <f t="array" ref="I381">INDEX('D2'!A:A,1+BIN2DEC(MID($B381,16,2)))</f>
        <v>TMPB</v>
      </c>
      <c r="J381" s="6">
        <f t="shared" si="41"/>
        <v>0</v>
      </c>
      <c r="K381" s="6">
        <f t="shared" si="37"/>
        <v>0</v>
      </c>
      <c r="L381" s="6">
        <f t="shared" si="38"/>
        <v>0</v>
      </c>
      <c r="M381" s="3" t="str" cm="1">
        <f t="array" ref="M381">INDEX(Types!A:A,1+BIN2DEC(MID($B381,20,2)))</f>
        <v>Control</v>
      </c>
      <c r="N381" s="3" t="str" cm="1">
        <f t="array" ref="N381">IF(M381="ALU",INDEX(ALUOps!A:A,1+BIN2DEC(MID($B381,22,5))),"")</f>
        <v/>
      </c>
      <c r="O381" s="3" t="str" cm="1">
        <f t="array" ref="O381">IF(M381="ALU",INDEX(TMP!A:A,1+BIN2DEC(MID($B381,27,2))),"")</f>
        <v/>
      </c>
      <c r="P381" s="6" t="str">
        <f t="shared" si="39"/>
        <v/>
      </c>
      <c r="Q381" t="str">
        <f t="shared" si="40"/>
        <v/>
      </c>
      <c r="R381" t="str">
        <f t="shared" si="42"/>
        <v/>
      </c>
      <c r="S381" cm="1">
        <f t="array" ref="S381">IF(M381="Control",INDEX(IC!A:A,1+BIN2DEC(MID($B381,21,4))),"")</f>
        <v>0</v>
      </c>
      <c r="T381" cm="1">
        <f t="array" ref="T381">IF(M381="Control",INDEX(EC!A:A,1+BIN2DEC(MID($B381,25,3))),"")</f>
        <v>0</v>
      </c>
      <c r="U381" cm="1">
        <f t="array" ref="U381">IF(M381="Control",INDEX(SR!A:A,1+BIN2DEC(MID($B381,28,2))),"")</f>
        <v>0</v>
      </c>
    </row>
    <row r="382" spans="1:30" x14ac:dyDescent="0.25">
      <c r="A382" s="4" t="str">
        <f t="shared" si="36"/>
        <v>17C</v>
      </c>
      <c r="B382" s="2" t="s">
        <v>369</v>
      </c>
      <c r="C382" s="2" t="s">
        <v>370</v>
      </c>
      <c r="D382" s="2" t="s">
        <v>934</v>
      </c>
      <c r="E382" s="2" t="s">
        <v>929</v>
      </c>
      <c r="F382" s="27" t="str" cm="1">
        <f t="array" ref="F382">INDEX(Sources!A:A, 1 + BIN2DEC(LEFT($B382,5)))</f>
        <v>SIGMA</v>
      </c>
      <c r="G382" s="27" t="str" cm="1">
        <f t="array" ref="G382">INDEX(Dest1!A:A,1+BIN2DEC(MID($B382,6,5)))</f>
        <v>TMPA</v>
      </c>
      <c r="H382" s="27" t="str" cm="1">
        <f t="array" ref="H382">INDEX(Source2!A:A,1+BIN2DEC(MID($B382,11,4)))</f>
        <v>--</v>
      </c>
      <c r="I382" s="23" cm="1">
        <f t="array" ref="I382">INDEX('D2'!A:A,1+BIN2DEC(MID($B382,16,2)))</f>
        <v>0</v>
      </c>
      <c r="J382" s="6">
        <f t="shared" si="41"/>
        <v>0</v>
      </c>
      <c r="K382" s="6">
        <f t="shared" si="37"/>
        <v>0</v>
      </c>
      <c r="L382" s="6">
        <f t="shared" si="38"/>
        <v>0</v>
      </c>
      <c r="M382" s="3" t="str" cm="1">
        <f t="array" ref="M382">INDEX(Types!A:A,1+BIN2DEC(MID($B382,20,2)))</f>
        <v>ALU</v>
      </c>
      <c r="N382" s="3" cm="1">
        <f t="array" ref="N382">IF(M382="ALU",INDEX(ALUOps!A:A,1+BIN2DEC(MID($B382,22,5))),"")</f>
        <v>12</v>
      </c>
      <c r="O382" s="3" cm="1">
        <f t="array" ref="O382">IF(M382="ALU",INDEX(TMP!A:A,1+BIN2DEC(MID($B382,27,2))),"")</f>
        <v>1</v>
      </c>
      <c r="P382" s="6">
        <f t="shared" si="39"/>
        <v>0</v>
      </c>
      <c r="Q382" t="str">
        <f t="shared" si="40"/>
        <v/>
      </c>
      <c r="R382" t="str">
        <f t="shared" si="42"/>
        <v/>
      </c>
      <c r="S382" t="str" cm="1">
        <f t="array" ref="S382">IF(M382="Control",INDEX(IC!A:A,1+BIN2DEC(MID($B382,21,4))),"")</f>
        <v/>
      </c>
      <c r="T382" t="str" cm="1">
        <f t="array" ref="T382">IF(M382="Control",INDEX(EC!A:A,1+BIN2DEC(MID($B382,25,3))),"")</f>
        <v/>
      </c>
      <c r="U382" t="str" cm="1">
        <f t="array" ref="U382">IF(M382="Control",INDEX(SR!A:A,1+BIN2DEC(MID($B382,28,2))),"")</f>
        <v/>
      </c>
      <c r="AD382" s="1" t="s">
        <v>365</v>
      </c>
    </row>
    <row r="383" spans="1:30" x14ac:dyDescent="0.25">
      <c r="A383" s="4" t="str">
        <f t="shared" si="36"/>
        <v>17D</v>
      </c>
      <c r="B383" s="2" t="s">
        <v>371</v>
      </c>
      <c r="C383" s="3"/>
      <c r="D383" s="3"/>
      <c r="E383" s="3"/>
      <c r="F383" s="27" t="str" cm="1">
        <f t="array" ref="F383">INDEX(Sources!A:A, 1 + BIN2DEC(LEFT($B383,5)))</f>
        <v>--</v>
      </c>
      <c r="G383" s="27" t="str" cm="1">
        <f t="array" ref="G383">INDEX(Dest1!A:A,1+BIN2DEC(MID($B383,6,5)))</f>
        <v>--</v>
      </c>
      <c r="H383" s="27" t="str" cm="1">
        <f t="array" ref="H383">INDEX(Source2!A:A,1+BIN2DEC(MID($B383,11,4)))</f>
        <v>--</v>
      </c>
      <c r="I383" s="23" cm="1">
        <f t="array" ref="I383">INDEX('D2'!A:A,1+BIN2DEC(MID($B383,16,2)))</f>
        <v>0</v>
      </c>
      <c r="J383" s="6">
        <f t="shared" si="41"/>
        <v>0</v>
      </c>
      <c r="K383" s="6">
        <f t="shared" si="37"/>
        <v>0</v>
      </c>
      <c r="L383" s="6">
        <f t="shared" si="38"/>
        <v>0</v>
      </c>
      <c r="M383" s="3" t="str" cm="1">
        <f t="array" ref="M383">INDEX(Types!A:A,1+BIN2DEC(MID($B383,20,2)))</f>
        <v>ALU</v>
      </c>
      <c r="N383" s="3" cm="1">
        <f t="array" ref="N383">IF(M383="ALU",INDEX(ALUOps!A:A,1+BIN2DEC(MID($B383,22,5))),"")</f>
        <v>0</v>
      </c>
      <c r="O383" s="3" cm="1">
        <f t="array" ref="O383">IF(M383="ALU",INDEX(TMP!A:A,1+BIN2DEC(MID($B383,27,2))),"")</f>
        <v>2</v>
      </c>
      <c r="P383" s="6">
        <f t="shared" si="39"/>
        <v>1</v>
      </c>
      <c r="Q383" t="str">
        <f t="shared" si="40"/>
        <v/>
      </c>
      <c r="R383" t="str">
        <f t="shared" si="42"/>
        <v/>
      </c>
      <c r="S383" t="str" cm="1">
        <f t="array" ref="S383">IF(M383="Control",INDEX(IC!A:A,1+BIN2DEC(MID($B383,21,4))),"")</f>
        <v/>
      </c>
      <c r="T383" t="str" cm="1">
        <f t="array" ref="T383">IF(M383="Control",INDEX(EC!A:A,1+BIN2DEC(MID($B383,25,3))),"")</f>
        <v/>
      </c>
      <c r="U383" t="str" cm="1">
        <f t="array" ref="U383">IF(M383="Control",INDEX(SR!A:A,1+BIN2DEC(MID($B383,28,2))),"")</f>
        <v/>
      </c>
    </row>
    <row r="384" spans="1:30" x14ac:dyDescent="0.25">
      <c r="A384" s="4" t="str">
        <f t="shared" si="36"/>
        <v>17E</v>
      </c>
      <c r="B384" s="2" t="s">
        <v>372</v>
      </c>
      <c r="C384" s="3"/>
      <c r="D384" s="3"/>
      <c r="E384" s="3"/>
      <c r="F384" s="27" t="str" cm="1">
        <f t="array" ref="F384">INDEX(Sources!A:A, 1 + BIN2DEC(LEFT($B384,5)))</f>
        <v>TMPB</v>
      </c>
      <c r="G384" s="27" t="str" cm="1">
        <f t="array" ref="G384">INDEX(Dest1!A:A,1+BIN2DEC(MID($B384,6,5)))</f>
        <v>A</v>
      </c>
      <c r="H384" s="27" t="str" cm="1">
        <f t="array" ref="H384">INDEX(Source2!A:A,1+BIN2DEC(MID($B384,11,4)))</f>
        <v>--</v>
      </c>
      <c r="I384" s="23" cm="1">
        <f t="array" ref="I384">INDEX('D2'!A:A,1+BIN2DEC(MID($B384,16,2)))</f>
        <v>0</v>
      </c>
      <c r="J384" s="6">
        <f t="shared" si="41"/>
        <v>0</v>
      </c>
      <c r="K384" s="6">
        <f t="shared" si="37"/>
        <v>0</v>
      </c>
      <c r="L384" s="6">
        <f t="shared" si="38"/>
        <v>0</v>
      </c>
      <c r="M384" s="3" t="str" cm="1">
        <f t="array" ref="M384">INDEX(Types!A:A,1+BIN2DEC(MID($B384,20,2)))</f>
        <v>Jump</v>
      </c>
      <c r="N384" s="3" t="str" cm="1">
        <f t="array" ref="N384">IF(M384="ALU",INDEX(ALUOps!A:A,1+BIN2DEC(MID($B384,22,5))),"")</f>
        <v/>
      </c>
      <c r="O384" s="3" t="str" cm="1">
        <f t="array" ref="O384">IF(M384="ALU",INDEX(TMP!A:A,1+BIN2DEC(MID($B384,27,2))),"")</f>
        <v/>
      </c>
      <c r="P384" s="6" t="str">
        <f t="shared" si="39"/>
        <v/>
      </c>
      <c r="Q384">
        <f t="shared" si="40"/>
        <v>8</v>
      </c>
      <c r="R384">
        <f t="shared" si="42"/>
        <v>8</v>
      </c>
      <c r="S384" t="str" cm="1">
        <f t="array" ref="S384">IF(M384="Control",INDEX(IC!A:A,1+BIN2DEC(MID($B384,21,4))),"")</f>
        <v/>
      </c>
      <c r="T384" t="str" cm="1">
        <f t="array" ref="T384">IF(M384="Control",INDEX(EC!A:A,1+BIN2DEC(MID($B384,25,3))),"")</f>
        <v/>
      </c>
      <c r="U384" t="str" cm="1">
        <f t="array" ref="U384">IF(M384="Control",INDEX(SR!A:A,1+BIN2DEC(MID($B384,28,2))),"")</f>
        <v/>
      </c>
    </row>
    <row r="385" spans="1:30" x14ac:dyDescent="0.25">
      <c r="A385" s="4" t="str">
        <f t="shared" si="36"/>
        <v>17F</v>
      </c>
      <c r="B385" s="2" t="s">
        <v>373</v>
      </c>
      <c r="C385" s="3"/>
      <c r="D385" s="3"/>
      <c r="E385" s="3"/>
      <c r="F385" s="27" t="str" cm="1">
        <f t="array" ref="F385">INDEX(Sources!A:A, 1 + BIN2DEC(LEFT($B385,5)))</f>
        <v>TMPA</v>
      </c>
      <c r="G385" s="27" t="str" cm="1">
        <f t="array" ref="G385">INDEX(Dest1!A:A,1+BIN2DEC(MID($B385,6,5)))</f>
        <v>UNK5</v>
      </c>
      <c r="H385" s="27" t="str" cm="1">
        <f t="array" ref="H385">INDEX(Source2!A:A,1+BIN2DEC(MID($B385,11,4)))</f>
        <v>11</v>
      </c>
      <c r="I385" s="23" cm="1">
        <f t="array" ref="I385">INDEX('D2'!A:A,1+BIN2DEC(MID($B385,16,2)))</f>
        <v>0</v>
      </c>
      <c r="J385" s="6">
        <f t="shared" si="41"/>
        <v>0</v>
      </c>
      <c r="K385" s="6">
        <f t="shared" si="37"/>
        <v>0</v>
      </c>
      <c r="L385" s="6">
        <f t="shared" si="38"/>
        <v>0</v>
      </c>
      <c r="M385" s="3" t="str" cm="1">
        <f t="array" ref="M385">INDEX(Types!A:A,1+BIN2DEC(MID($B385,20,2)))</f>
        <v>Control</v>
      </c>
      <c r="N385" s="3" t="str" cm="1">
        <f t="array" ref="N385">IF(M385="ALU",INDEX(ALUOps!A:A,1+BIN2DEC(MID($B385,22,5))),"")</f>
        <v/>
      </c>
      <c r="O385" s="3" t="str" cm="1">
        <f t="array" ref="O385">IF(M385="ALU",INDEX(TMP!A:A,1+BIN2DEC(MID($B385,27,2))),"")</f>
        <v/>
      </c>
      <c r="P385" s="6" t="str">
        <f t="shared" si="39"/>
        <v/>
      </c>
      <c r="Q385" t="str">
        <f t="shared" si="40"/>
        <v/>
      </c>
      <c r="R385" t="str">
        <f t="shared" si="42"/>
        <v/>
      </c>
      <c r="S385" cm="1">
        <f t="array" ref="S385">IF(M385="Control",INDEX(IC!A:A,1+BIN2DEC(MID($B385,21,4))),"")</f>
        <v>1</v>
      </c>
      <c r="T385" cm="1">
        <f t="array" ref="T385">IF(M385="Control",INDEX(EC!A:A,1+BIN2DEC(MID($B385,25,3))),"")</f>
        <v>6</v>
      </c>
      <c r="U385" cm="1">
        <f t="array" ref="U385">IF(M385="Control",INDEX(SR!A:A,1+BIN2DEC(MID($B385,28,2))),"")</f>
        <v>2</v>
      </c>
    </row>
    <row r="386" spans="1:30" x14ac:dyDescent="0.25">
      <c r="A386" s="4" t="str">
        <f t="shared" si="36"/>
        <v>180</v>
      </c>
      <c r="B386" s="2" t="s">
        <v>374</v>
      </c>
      <c r="C386" s="2" t="s">
        <v>375</v>
      </c>
      <c r="D386" s="2" t="s">
        <v>934</v>
      </c>
      <c r="E386" s="2" t="s">
        <v>488</v>
      </c>
      <c r="F386" s="27" t="str" cm="1">
        <f t="array" ref="F386">INDEX(Sources!A:A, 1 + BIN2DEC(LEFT($B386,5)))</f>
        <v>TMPA</v>
      </c>
      <c r="G386" s="27" t="str" cm="1">
        <f t="array" ref="G386">INDEX(Dest1!A:A,1+BIN2DEC(MID($B386,6,5)))</f>
        <v>AH</v>
      </c>
      <c r="H386" s="27" t="str" cm="1">
        <f t="array" ref="H386">INDEX(Source2!A:A,1+BIN2DEC(MID($B386,11,4)))</f>
        <v>11</v>
      </c>
      <c r="I386" s="23" cm="1">
        <f t="array" ref="I386">INDEX('D2'!A:A,1+BIN2DEC(MID($B386,16,2)))</f>
        <v>0</v>
      </c>
      <c r="J386" s="6">
        <f t="shared" si="41"/>
        <v>0</v>
      </c>
      <c r="K386" s="6">
        <f t="shared" si="37"/>
        <v>0</v>
      </c>
      <c r="L386" s="6">
        <f t="shared" si="38"/>
        <v>0</v>
      </c>
      <c r="M386" s="3" t="str" cm="1">
        <f t="array" ref="M386">INDEX(Types!A:A,1+BIN2DEC(MID($B386,20,2)))</f>
        <v>Control</v>
      </c>
      <c r="N386" s="3" t="str" cm="1">
        <f t="array" ref="N386">IF(M386="ALU",INDEX(ALUOps!A:A,1+BIN2DEC(MID($B386,22,5))),"")</f>
        <v/>
      </c>
      <c r="O386" s="3" t="str" cm="1">
        <f t="array" ref="O386">IF(M386="ALU",INDEX(TMP!A:A,1+BIN2DEC(MID($B386,27,2))),"")</f>
        <v/>
      </c>
      <c r="P386" s="6" t="str">
        <f t="shared" si="39"/>
        <v/>
      </c>
      <c r="Q386" t="str">
        <f t="shared" si="40"/>
        <v/>
      </c>
      <c r="R386" t="str">
        <f t="shared" si="42"/>
        <v/>
      </c>
      <c r="S386" cm="1">
        <f t="array" ref="S386">IF(M386="Control",INDEX(IC!A:A,1+BIN2DEC(MID($B386,21,4))),"")</f>
        <v>1</v>
      </c>
      <c r="T386" cm="1">
        <f t="array" ref="T386">IF(M386="Control",INDEX(EC!A:A,1+BIN2DEC(MID($B386,25,3))),"")</f>
        <v>6</v>
      </c>
      <c r="U386" cm="1">
        <f t="array" ref="U386">IF(M386="Control",INDEX(SR!A:A,1+BIN2DEC(MID($B386,28,2))),"")</f>
        <v>2</v>
      </c>
      <c r="AD386" s="1" t="s">
        <v>365</v>
      </c>
    </row>
    <row r="387" spans="1:30" x14ac:dyDescent="0.25">
      <c r="A387" s="4" t="str">
        <f t="shared" ref="A387:A450" si="43">DEC2HEX(ROW(A386)-ROW($A$1),3)</f>
        <v>181</v>
      </c>
      <c r="B387" s="2" t="s">
        <v>4</v>
      </c>
      <c r="C387" s="3"/>
      <c r="D387" s="3"/>
      <c r="E387" s="3"/>
      <c r="F387" s="27" t="str" cm="1">
        <f t="array" ref="F387">INDEX(Sources!A:A, 1 + BIN2DEC(LEFT($B387,5)))</f>
        <v>--</v>
      </c>
      <c r="G387" s="27" t="str" cm="1">
        <f t="array" ref="G387">INDEX(Dest1!A:A,1+BIN2DEC(MID($B387,6,5)))</f>
        <v>--</v>
      </c>
      <c r="H387" s="27" t="str" cm="1">
        <f t="array" ref="H387">INDEX(Source2!A:A,1+BIN2DEC(MID($B387,11,4)))</f>
        <v>--</v>
      </c>
      <c r="I387" s="23" cm="1">
        <f t="array" ref="I387">INDEX('D2'!A:A,1+BIN2DEC(MID($B387,16,2)))</f>
        <v>0</v>
      </c>
      <c r="J387" s="6">
        <f t="shared" si="41"/>
        <v>0</v>
      </c>
      <c r="K387" s="6">
        <f t="shared" ref="K387:K450" si="44">BIN2DEC(MID($B387,18,1))</f>
        <v>0</v>
      </c>
      <c r="L387" s="6">
        <f t="shared" ref="L387:L450" si="45">BIN2DEC(MID($B387,19,1))</f>
        <v>0</v>
      </c>
      <c r="M387" s="3" t="str" cm="1">
        <f t="array" ref="M387">INDEX(Types!A:A,1+BIN2DEC(MID($B387,20,2)))</f>
        <v>Control</v>
      </c>
      <c r="N387" s="3" t="str" cm="1">
        <f t="array" ref="N387">IF(M387="ALU",INDEX(ALUOps!A:A,1+BIN2DEC(MID($B387,22,5))),"")</f>
        <v/>
      </c>
      <c r="O387" s="3" t="str" cm="1">
        <f t="array" ref="O387">IF(M387="ALU",INDEX(TMP!A:A,1+BIN2DEC(MID($B387,27,2))),"")</f>
        <v/>
      </c>
      <c r="P387" s="6" t="str">
        <f t="shared" ref="P387:P450" si="46">IF(M387="ALU",BIN2DEC(MID($B387,29,1)),"")</f>
        <v/>
      </c>
      <c r="Q387" t="str">
        <f t="shared" ref="Q387:Q450" si="47">IF(M387="Jump",BIN2DEC(MID($B387,22,4)),"")</f>
        <v/>
      </c>
      <c r="R387" t="str">
        <f t="shared" si="42"/>
        <v/>
      </c>
      <c r="S387" cm="1">
        <f t="array" ref="S387">IF(M387="Control",INDEX(IC!A:A,1+BIN2DEC(MID($B387,21,4))),"")</f>
        <v>0</v>
      </c>
      <c r="T387" cm="1">
        <f t="array" ref="T387">IF(M387="Control",INDEX(EC!A:A,1+BIN2DEC(MID($B387,25,3))),"")</f>
        <v>0</v>
      </c>
      <c r="U387" cm="1">
        <f t="array" ref="U387">IF(M387="Control",INDEX(SR!A:A,1+BIN2DEC(MID($B387,28,2))),"")</f>
        <v>0</v>
      </c>
    </row>
    <row r="388" spans="1:30" x14ac:dyDescent="0.25">
      <c r="A388" s="4" t="str">
        <f t="shared" si="43"/>
        <v>182</v>
      </c>
      <c r="B388" s="2" t="s">
        <v>4</v>
      </c>
      <c r="C388" s="3"/>
      <c r="D388" s="3"/>
      <c r="E388" s="3"/>
      <c r="F388" s="27" t="str" cm="1">
        <f t="array" ref="F388">INDEX(Sources!A:A, 1 + BIN2DEC(LEFT($B388,5)))</f>
        <v>--</v>
      </c>
      <c r="G388" s="27" t="str" cm="1">
        <f t="array" ref="G388">INDEX(Dest1!A:A,1+BIN2DEC(MID($B388,6,5)))</f>
        <v>--</v>
      </c>
      <c r="H388" s="27" t="str" cm="1">
        <f t="array" ref="H388">INDEX(Source2!A:A,1+BIN2DEC(MID($B388,11,4)))</f>
        <v>--</v>
      </c>
      <c r="I388" s="23" cm="1">
        <f t="array" ref="I388">INDEX('D2'!A:A,1+BIN2DEC(MID($B388,16,2)))</f>
        <v>0</v>
      </c>
      <c r="J388" s="6">
        <f t="shared" ref="J388:J451" si="48">BIN2DEC(MID($B388,17,1))</f>
        <v>0</v>
      </c>
      <c r="K388" s="6">
        <f t="shared" si="44"/>
        <v>0</v>
      </c>
      <c r="L388" s="6">
        <f t="shared" si="45"/>
        <v>0</v>
      </c>
      <c r="M388" s="3" t="str" cm="1">
        <f t="array" ref="M388">INDEX(Types!A:A,1+BIN2DEC(MID($B388,20,2)))</f>
        <v>Control</v>
      </c>
      <c r="N388" s="3" t="str" cm="1">
        <f t="array" ref="N388">IF(M388="ALU",INDEX(ALUOps!A:A,1+BIN2DEC(MID($B388,22,5))),"")</f>
        <v/>
      </c>
      <c r="O388" s="3" t="str" cm="1">
        <f t="array" ref="O388">IF(M388="ALU",INDEX(TMP!A:A,1+BIN2DEC(MID($B388,27,2))),"")</f>
        <v/>
      </c>
      <c r="P388" s="6" t="str">
        <f t="shared" si="46"/>
        <v/>
      </c>
      <c r="Q388" t="str">
        <f t="shared" si="47"/>
        <v/>
      </c>
      <c r="R388" t="str">
        <f t="shared" si="42"/>
        <v/>
      </c>
      <c r="S388" cm="1">
        <f t="array" ref="S388">IF(M388="Control",INDEX(IC!A:A,1+BIN2DEC(MID($B388,21,4))),"")</f>
        <v>0</v>
      </c>
      <c r="T388" cm="1">
        <f t="array" ref="T388">IF(M388="Control",INDEX(EC!A:A,1+BIN2DEC(MID($B388,25,3))),"")</f>
        <v>0</v>
      </c>
      <c r="U388" cm="1">
        <f t="array" ref="U388">IF(M388="Control",INDEX(SR!A:A,1+BIN2DEC(MID($B388,28,2))),"")</f>
        <v>0</v>
      </c>
    </row>
    <row r="389" spans="1:30" s="9" customFormat="1" ht="15.75" thickBot="1" x14ac:dyDescent="0.3">
      <c r="A389" s="7" t="str">
        <f t="shared" si="43"/>
        <v>183</v>
      </c>
      <c r="B389" s="8" t="s">
        <v>4</v>
      </c>
      <c r="C389" s="10"/>
      <c r="D389" s="10"/>
      <c r="E389" s="10"/>
      <c r="F389" s="30" t="str" cm="1">
        <f t="array" ref="F389">INDEX(Sources!A:A, 1 + BIN2DEC(LEFT($B389,5)))</f>
        <v>--</v>
      </c>
      <c r="G389" s="30" t="str" cm="1">
        <f t="array" ref="G389">INDEX(Dest1!A:A,1+BIN2DEC(MID($B389,6,5)))</f>
        <v>--</v>
      </c>
      <c r="H389" s="30" t="str" cm="1">
        <f t="array" ref="H389">INDEX(Source2!A:A,1+BIN2DEC(MID($B389,11,4)))</f>
        <v>--</v>
      </c>
      <c r="I389" s="26" cm="1">
        <f t="array" ref="I389">INDEX('D2'!A:A,1+BIN2DEC(MID($B389,16,2)))</f>
        <v>0</v>
      </c>
      <c r="J389" s="11">
        <f t="shared" si="48"/>
        <v>0</v>
      </c>
      <c r="K389" s="11">
        <f t="shared" si="44"/>
        <v>0</v>
      </c>
      <c r="L389" s="11">
        <f t="shared" si="45"/>
        <v>0</v>
      </c>
      <c r="M389" s="10" t="str" cm="1">
        <f t="array" ref="M389">INDEX(Types!A:A,1+BIN2DEC(MID($B389,20,2)))</f>
        <v>Control</v>
      </c>
      <c r="N389" s="10" t="str" cm="1">
        <f t="array" ref="N389">IF(M389="ALU",INDEX(ALUOps!A:A,1+BIN2DEC(MID($B389,22,5))),"")</f>
        <v/>
      </c>
      <c r="O389" s="10" t="str" cm="1">
        <f t="array" ref="O389">IF(M389="ALU",INDEX(TMP!A:A,1+BIN2DEC(MID($B389,27,2))),"")</f>
        <v/>
      </c>
      <c r="P389" s="11" t="str">
        <f t="shared" si="46"/>
        <v/>
      </c>
      <c r="Q389" s="9" t="str">
        <f t="shared" si="47"/>
        <v/>
      </c>
      <c r="R389" s="9" t="str">
        <f t="shared" si="42"/>
        <v/>
      </c>
      <c r="S389" s="9" cm="1">
        <f t="array" ref="S389">IF(M389="Control",INDEX(IC!A:A,1+BIN2DEC(MID($B389,21,4))),"")</f>
        <v>0</v>
      </c>
      <c r="T389" s="9" cm="1">
        <f t="array" ref="T389">IF(M389="Control",INDEX(EC!A:A,1+BIN2DEC(MID($B389,25,3))),"")</f>
        <v>0</v>
      </c>
      <c r="U389" s="9" cm="1">
        <f t="array" ref="U389">IF(M389="Control",INDEX(SR!A:A,1+BIN2DEC(MID($B389,28,2))),"")</f>
        <v>0</v>
      </c>
    </row>
    <row r="390" spans="1:30" x14ac:dyDescent="0.25">
      <c r="A390" s="4" t="str">
        <f t="shared" si="43"/>
        <v>184</v>
      </c>
      <c r="B390" s="2" t="s">
        <v>376</v>
      </c>
      <c r="C390" s="2" t="s">
        <v>377</v>
      </c>
      <c r="D390" s="2" t="s">
        <v>934</v>
      </c>
      <c r="E390" s="2" t="s">
        <v>462</v>
      </c>
      <c r="F390" s="27" t="str" cm="1">
        <f t="array" ref="F390">INDEX(Sources!A:A, 1 + BIN2DEC(LEFT($B390,5)))</f>
        <v>OPR</v>
      </c>
      <c r="G390" s="27" t="str" cm="1">
        <f t="array" ref="G390">INDEX(Dest1!A:A,1+BIN2DEC(MID($B390,6,5)))</f>
        <v>TMPB</v>
      </c>
      <c r="H390" s="27" t="str" cm="1">
        <f t="array" ref="H390">INDEX(Source2!A:A,1+BIN2DEC(MID($B390,11,4)))</f>
        <v>7</v>
      </c>
      <c r="I390" s="23" cm="1">
        <f t="array" ref="I390">INDEX('D2'!A:A,1+BIN2DEC(MID($B390,16,2)))</f>
        <v>0</v>
      </c>
      <c r="J390" s="6">
        <f t="shared" si="48"/>
        <v>0</v>
      </c>
      <c r="K390" s="6">
        <f t="shared" si="44"/>
        <v>0</v>
      </c>
      <c r="L390" s="6">
        <f t="shared" si="45"/>
        <v>0</v>
      </c>
      <c r="M390" s="3" t="str" cm="1">
        <f t="array" ref="M390">INDEX(Types!A:A,1+BIN2DEC(MID($B390,20,2)))</f>
        <v>ALU</v>
      </c>
      <c r="N390" s="3" t="str" cm="1">
        <f t="array" ref="N390">IF(M390="ALU",INDEX(ALUOps!A:A,1+BIN2DEC(MID($B390,22,5))),"")</f>
        <v>ADJ2</v>
      </c>
      <c r="O390" s="3" cm="1">
        <f t="array" ref="O390">IF(M390="ALU",INDEX(TMP!A:A,1+BIN2DEC(MID($B390,27,2))),"")</f>
        <v>2</v>
      </c>
      <c r="P390" s="6">
        <f t="shared" si="46"/>
        <v>1</v>
      </c>
      <c r="Q390" t="str">
        <f t="shared" si="47"/>
        <v/>
      </c>
      <c r="R390" t="str">
        <f t="shared" si="42"/>
        <v/>
      </c>
      <c r="S390" t="str" cm="1">
        <f t="array" ref="S390">IF(M390="Control",INDEX(IC!A:A,1+BIN2DEC(MID($B390,21,4))),"")</f>
        <v/>
      </c>
      <c r="T390" t="str" cm="1">
        <f t="array" ref="T390">IF(M390="Control",INDEX(EC!A:A,1+BIN2DEC(MID($B390,25,3))),"")</f>
        <v/>
      </c>
      <c r="U390" t="str" cm="1">
        <f t="array" ref="U390">IF(M390="Control",INDEX(SR!A:A,1+BIN2DEC(MID($B390,28,2))),"")</f>
        <v/>
      </c>
      <c r="AD390" s="1" t="s">
        <v>378</v>
      </c>
    </row>
    <row r="391" spans="1:30" x14ac:dyDescent="0.25">
      <c r="A391" s="4" t="str">
        <f t="shared" si="43"/>
        <v>185</v>
      </c>
      <c r="B391" s="2" t="s">
        <v>379</v>
      </c>
      <c r="C391" s="3"/>
      <c r="D391" s="3"/>
      <c r="E391" s="3"/>
      <c r="F391" s="27" t="str" cm="1">
        <f t="array" ref="F391">INDEX(Sources!A:A, 1 + BIN2DEC(LEFT($B391,5)))</f>
        <v>--</v>
      </c>
      <c r="G391" s="27" t="str" cm="1">
        <f t="array" ref="G391">INDEX(Dest1!A:A,1+BIN2DEC(MID($B391,6,5)))</f>
        <v>--</v>
      </c>
      <c r="H391" s="27" t="str" cm="1">
        <f t="array" ref="H391">INDEX(Source2!A:A,1+BIN2DEC(MID($B391,11,4)))</f>
        <v>--</v>
      </c>
      <c r="I391" s="23" cm="1">
        <f t="array" ref="I391">INDEX('D2'!A:A,1+BIN2DEC(MID($B391,16,2)))</f>
        <v>0</v>
      </c>
      <c r="J391" s="6">
        <f t="shared" si="48"/>
        <v>0</v>
      </c>
      <c r="K391" s="6">
        <f t="shared" si="44"/>
        <v>0</v>
      </c>
      <c r="L391" s="6">
        <f t="shared" si="45"/>
        <v>0</v>
      </c>
      <c r="M391" s="3" t="str" cm="1">
        <f t="array" ref="M391">INDEX(Types!A:A,1+BIN2DEC(MID($B391,20,2)))</f>
        <v>Control</v>
      </c>
      <c r="N391" s="3" t="str" cm="1">
        <f t="array" ref="N391">IF(M391="ALU",INDEX(ALUOps!A:A,1+BIN2DEC(MID($B391,22,5))),"")</f>
        <v/>
      </c>
      <c r="O391" s="3" t="str" cm="1">
        <f t="array" ref="O391">IF(M391="ALU",INDEX(TMP!A:A,1+BIN2DEC(MID($B391,27,2))),"")</f>
        <v/>
      </c>
      <c r="P391" s="6" t="str">
        <f t="shared" si="46"/>
        <v/>
      </c>
      <c r="Q391" t="str">
        <f t="shared" si="47"/>
        <v/>
      </c>
      <c r="R391" t="str">
        <f t="shared" ref="R391:R454" si="49">IF(M391="Jump",15-BIN2DEC(MID($B391,26,4)),"")</f>
        <v/>
      </c>
      <c r="S391" cm="1">
        <f t="array" ref="S391">IF(M391="Control",INDEX(IC!A:A,1+BIN2DEC(MID($B391,21,4))),"")</f>
        <v>1</v>
      </c>
      <c r="T391" cm="1">
        <f t="array" ref="T391">IF(M391="Control",INDEX(EC!A:A,1+BIN2DEC(MID($B391,25,3))),"")</f>
        <v>6</v>
      </c>
      <c r="U391" cm="1">
        <f t="array" ref="U391">IF(M391="Control",INDEX(SR!A:A,1+BIN2DEC(MID($B391,28,2))),"")</f>
        <v>1</v>
      </c>
    </row>
    <row r="392" spans="1:30" x14ac:dyDescent="0.25">
      <c r="A392" s="4" t="str">
        <f t="shared" si="43"/>
        <v>186</v>
      </c>
      <c r="B392" s="2" t="s">
        <v>4</v>
      </c>
      <c r="C392" s="3"/>
      <c r="D392" s="3"/>
      <c r="E392" s="3"/>
      <c r="F392" s="27" t="str" cm="1">
        <f t="array" ref="F392">INDEX(Sources!A:A, 1 + BIN2DEC(LEFT($B392,5)))</f>
        <v>--</v>
      </c>
      <c r="G392" s="27" t="str" cm="1">
        <f t="array" ref="G392">INDEX(Dest1!A:A,1+BIN2DEC(MID($B392,6,5)))</f>
        <v>--</v>
      </c>
      <c r="H392" s="27" t="str" cm="1">
        <f t="array" ref="H392">INDEX(Source2!A:A,1+BIN2DEC(MID($B392,11,4)))</f>
        <v>--</v>
      </c>
      <c r="I392" s="23" cm="1">
        <f t="array" ref="I392">INDEX('D2'!A:A,1+BIN2DEC(MID($B392,16,2)))</f>
        <v>0</v>
      </c>
      <c r="J392" s="6">
        <f t="shared" si="48"/>
        <v>0</v>
      </c>
      <c r="K392" s="6">
        <f t="shared" si="44"/>
        <v>0</v>
      </c>
      <c r="L392" s="6">
        <f t="shared" si="45"/>
        <v>0</v>
      </c>
      <c r="M392" s="3" t="str" cm="1">
        <f t="array" ref="M392">INDEX(Types!A:A,1+BIN2DEC(MID($B392,20,2)))</f>
        <v>Control</v>
      </c>
      <c r="N392" s="3" t="str" cm="1">
        <f t="array" ref="N392">IF(M392="ALU",INDEX(ALUOps!A:A,1+BIN2DEC(MID($B392,22,5))),"")</f>
        <v/>
      </c>
      <c r="O392" s="3" t="str" cm="1">
        <f t="array" ref="O392">IF(M392="ALU",INDEX(TMP!A:A,1+BIN2DEC(MID($B392,27,2))),"")</f>
        <v/>
      </c>
      <c r="P392" s="6" t="str">
        <f t="shared" si="46"/>
        <v/>
      </c>
      <c r="Q392" t="str">
        <f t="shared" si="47"/>
        <v/>
      </c>
      <c r="R392" t="str">
        <f t="shared" si="49"/>
        <v/>
      </c>
      <c r="S392" cm="1">
        <f t="array" ref="S392">IF(M392="Control",INDEX(IC!A:A,1+BIN2DEC(MID($B392,21,4))),"")</f>
        <v>0</v>
      </c>
      <c r="T392" cm="1">
        <f t="array" ref="T392">IF(M392="Control",INDEX(EC!A:A,1+BIN2DEC(MID($B392,25,3))),"")</f>
        <v>0</v>
      </c>
      <c r="U392" cm="1">
        <f t="array" ref="U392">IF(M392="Control",INDEX(SR!A:A,1+BIN2DEC(MID($B392,28,2))),"")</f>
        <v>0</v>
      </c>
    </row>
    <row r="393" spans="1:30" s="9" customFormat="1" ht="15.75" thickBot="1" x14ac:dyDescent="0.3">
      <c r="A393" s="7" t="str">
        <f t="shared" si="43"/>
        <v>187</v>
      </c>
      <c r="B393" s="8" t="s">
        <v>4</v>
      </c>
      <c r="C393" s="10"/>
      <c r="D393" s="10"/>
      <c r="E393" s="10"/>
      <c r="F393" s="30" t="str" cm="1">
        <f t="array" ref="F393">INDEX(Sources!A:A, 1 + BIN2DEC(LEFT($B393,5)))</f>
        <v>--</v>
      </c>
      <c r="G393" s="30" t="str" cm="1">
        <f t="array" ref="G393">INDEX(Dest1!A:A,1+BIN2DEC(MID($B393,6,5)))</f>
        <v>--</v>
      </c>
      <c r="H393" s="30" t="str" cm="1">
        <f t="array" ref="H393">INDEX(Source2!A:A,1+BIN2DEC(MID($B393,11,4)))</f>
        <v>--</v>
      </c>
      <c r="I393" s="26" cm="1">
        <f t="array" ref="I393">INDEX('D2'!A:A,1+BIN2DEC(MID($B393,16,2)))</f>
        <v>0</v>
      </c>
      <c r="J393" s="11">
        <f t="shared" si="48"/>
        <v>0</v>
      </c>
      <c r="K393" s="11">
        <f t="shared" si="44"/>
        <v>0</v>
      </c>
      <c r="L393" s="11">
        <f t="shared" si="45"/>
        <v>0</v>
      </c>
      <c r="M393" s="10" t="str" cm="1">
        <f t="array" ref="M393">INDEX(Types!A:A,1+BIN2DEC(MID($B393,20,2)))</f>
        <v>Control</v>
      </c>
      <c r="N393" s="10" t="str" cm="1">
        <f t="array" ref="N393">IF(M393="ALU",INDEX(ALUOps!A:A,1+BIN2DEC(MID($B393,22,5))),"")</f>
        <v/>
      </c>
      <c r="O393" s="10" t="str" cm="1">
        <f t="array" ref="O393">IF(M393="ALU",INDEX(TMP!A:A,1+BIN2DEC(MID($B393,27,2))),"")</f>
        <v/>
      </c>
      <c r="P393" s="11" t="str">
        <f t="shared" si="46"/>
        <v/>
      </c>
      <c r="Q393" s="9" t="str">
        <f t="shared" si="47"/>
        <v/>
      </c>
      <c r="R393" s="9" t="str">
        <f t="shared" si="49"/>
        <v/>
      </c>
      <c r="S393" s="9" cm="1">
        <f t="array" ref="S393">IF(M393="Control",INDEX(IC!A:A,1+BIN2DEC(MID($B393,21,4))),"")</f>
        <v>0</v>
      </c>
      <c r="T393" s="9" cm="1">
        <f t="array" ref="T393">IF(M393="Control",INDEX(EC!A:A,1+BIN2DEC(MID($B393,25,3))),"")</f>
        <v>0</v>
      </c>
      <c r="U393" s="9" cm="1">
        <f t="array" ref="U393">IF(M393="Control",INDEX(SR!A:A,1+BIN2DEC(MID($B393,28,2))),"")</f>
        <v>0</v>
      </c>
    </row>
    <row r="394" spans="1:30" x14ac:dyDescent="0.25">
      <c r="A394" s="4" t="str">
        <f t="shared" si="43"/>
        <v>188</v>
      </c>
      <c r="B394" s="2" t="s">
        <v>380</v>
      </c>
      <c r="C394" s="2" t="s">
        <v>381</v>
      </c>
      <c r="D394" s="2" t="s">
        <v>934</v>
      </c>
      <c r="E394" s="2" t="s">
        <v>462</v>
      </c>
      <c r="F394" s="27" t="str" cm="1">
        <f t="array" ref="F394">INDEX(Sources!A:A, 1 + BIN2DEC(LEFT($B394,5)))</f>
        <v>OPR</v>
      </c>
      <c r="G394" s="27" t="str" cm="1">
        <f t="array" ref="G394">INDEX(Dest1!A:A,1+BIN2DEC(MID($B394,6,5)))</f>
        <v>UNK17</v>
      </c>
      <c r="H394" s="27" t="str" cm="1">
        <f t="array" ref="H394">INDEX(Source2!A:A,1+BIN2DEC(MID($B394,11,4)))</f>
        <v>7</v>
      </c>
      <c r="I394" s="23" t="str" cm="1">
        <f t="array" ref="I394">INDEX('D2'!A:A,1+BIN2DEC(MID($B394,16,2)))</f>
        <v>TMPB</v>
      </c>
      <c r="J394" s="6">
        <f t="shared" si="48"/>
        <v>0</v>
      </c>
      <c r="K394" s="6">
        <f t="shared" si="44"/>
        <v>0</v>
      </c>
      <c r="L394" s="6">
        <f t="shared" si="45"/>
        <v>0</v>
      </c>
      <c r="M394" s="3" t="str" cm="1">
        <f t="array" ref="M394">INDEX(Types!A:A,1+BIN2DEC(MID($B394,20,2)))</f>
        <v>ALU</v>
      </c>
      <c r="N394" s="3" cm="1">
        <f t="array" ref="N394">IF(M394="ALU",INDEX(ALUOps!A:A,1+BIN2DEC(MID($B394,22,5))),"")</f>
        <v>26</v>
      </c>
      <c r="O394" s="3" cm="1">
        <f t="array" ref="O394">IF(M394="ALU",INDEX(TMP!A:A,1+BIN2DEC(MID($B394,27,2))),"")</f>
        <v>1</v>
      </c>
      <c r="P394" s="6">
        <f t="shared" si="46"/>
        <v>1</v>
      </c>
      <c r="Q394" t="str">
        <f t="shared" si="47"/>
        <v/>
      </c>
      <c r="R394" t="str">
        <f t="shared" si="49"/>
        <v/>
      </c>
      <c r="S394" t="str" cm="1">
        <f t="array" ref="S394">IF(M394="Control",INDEX(IC!A:A,1+BIN2DEC(MID($B394,21,4))),"")</f>
        <v/>
      </c>
      <c r="T394" t="str" cm="1">
        <f t="array" ref="T394">IF(M394="Control",INDEX(EC!A:A,1+BIN2DEC(MID($B394,25,3))),"")</f>
        <v/>
      </c>
      <c r="U394" t="str" cm="1">
        <f t="array" ref="U394">IF(M394="Control",INDEX(SR!A:A,1+BIN2DEC(MID($B394,28,2))),"")</f>
        <v/>
      </c>
      <c r="AD394" s="1" t="s">
        <v>382</v>
      </c>
    </row>
    <row r="395" spans="1:30" x14ac:dyDescent="0.25">
      <c r="A395" s="4" t="str">
        <f t="shared" si="43"/>
        <v>189</v>
      </c>
      <c r="B395" s="2" t="s">
        <v>383</v>
      </c>
      <c r="C395" s="3"/>
      <c r="D395" s="3"/>
      <c r="E395" s="3"/>
      <c r="F395" s="27" t="str" cm="1">
        <f t="array" ref="F395">INDEX(Sources!A:A, 1 + BIN2DEC(LEFT($B395,5)))</f>
        <v>UNK5</v>
      </c>
      <c r="G395" s="27" t="str" cm="1">
        <f t="array" ref="G395">INDEX(Dest1!A:A,1+BIN2DEC(MID($B395,6,5)))</f>
        <v>TMPA</v>
      </c>
      <c r="H395" s="27" t="str" cm="1">
        <f t="array" ref="H395">INDEX(Source2!A:A,1+BIN2DEC(MID($B395,11,4)))</f>
        <v>--</v>
      </c>
      <c r="I395" s="23" cm="1">
        <f t="array" ref="I395">INDEX('D2'!A:A,1+BIN2DEC(MID($B395,16,2)))</f>
        <v>0</v>
      </c>
      <c r="J395" s="6">
        <f t="shared" si="48"/>
        <v>0</v>
      </c>
      <c r="K395" s="6">
        <f t="shared" si="44"/>
        <v>0</v>
      </c>
      <c r="L395" s="6">
        <f t="shared" si="45"/>
        <v>0</v>
      </c>
      <c r="M395" s="3" t="str" cm="1">
        <f t="array" ref="M395">INDEX(Types!A:A,1+BIN2DEC(MID($B395,20,2)))</f>
        <v>Jump</v>
      </c>
      <c r="N395" s="3" t="str" cm="1">
        <f t="array" ref="N395">IF(M395="ALU",INDEX(ALUOps!A:A,1+BIN2DEC(MID($B395,22,5))),"")</f>
        <v/>
      </c>
      <c r="O395" s="3" t="str" cm="1">
        <f t="array" ref="O395">IF(M395="ALU",INDEX(TMP!A:A,1+BIN2DEC(MID($B395,27,2))),"")</f>
        <v/>
      </c>
      <c r="P395" s="6" t="str">
        <f t="shared" si="46"/>
        <v/>
      </c>
      <c r="Q395">
        <f t="shared" si="47"/>
        <v>8</v>
      </c>
      <c r="R395">
        <f t="shared" si="49"/>
        <v>4</v>
      </c>
      <c r="S395" t="str" cm="1">
        <f t="array" ref="S395">IF(M395="Control",INDEX(IC!A:A,1+BIN2DEC(MID($B395,21,4))),"")</f>
        <v/>
      </c>
      <c r="T395" t="str" cm="1">
        <f t="array" ref="T395">IF(M395="Control",INDEX(EC!A:A,1+BIN2DEC(MID($B395,25,3))),"")</f>
        <v/>
      </c>
      <c r="U395" t="str" cm="1">
        <f t="array" ref="U395">IF(M395="Control",INDEX(SR!A:A,1+BIN2DEC(MID($B395,28,2))),"")</f>
        <v/>
      </c>
    </row>
    <row r="396" spans="1:30" x14ac:dyDescent="0.25">
      <c r="A396" s="4" t="str">
        <f t="shared" si="43"/>
        <v>18A</v>
      </c>
      <c r="B396" s="2" t="s">
        <v>368</v>
      </c>
      <c r="C396" s="3"/>
      <c r="D396" s="3"/>
      <c r="E396" s="3"/>
      <c r="F396" s="27" t="str" cm="1">
        <f t="array" ref="F396">INDEX(Sources!A:A, 1 + BIN2DEC(LEFT($B396,5)))</f>
        <v>REG</v>
      </c>
      <c r="G396" s="27" t="str" cm="1">
        <f t="array" ref="G396">INDEX(Dest1!A:A,1+BIN2DEC(MID($B396,6,5)))</f>
        <v>LC</v>
      </c>
      <c r="H396" s="27" t="str" cm="1">
        <f t="array" ref="H396">INDEX(Source2!A:A,1+BIN2DEC(MID($B396,11,4)))</f>
        <v>11</v>
      </c>
      <c r="I396" s="23" t="str" cm="1">
        <f t="array" ref="I396">INDEX('D2'!A:A,1+BIN2DEC(MID($B396,16,2)))</f>
        <v>TMPB</v>
      </c>
      <c r="J396" s="6">
        <f t="shared" si="48"/>
        <v>0</v>
      </c>
      <c r="K396" s="6">
        <f t="shared" si="44"/>
        <v>0</v>
      </c>
      <c r="L396" s="6">
        <f t="shared" si="45"/>
        <v>0</v>
      </c>
      <c r="M396" s="3" t="str" cm="1">
        <f t="array" ref="M396">INDEX(Types!A:A,1+BIN2DEC(MID($B396,20,2)))</f>
        <v>Control</v>
      </c>
      <c r="N396" s="3" t="str" cm="1">
        <f t="array" ref="N396">IF(M396="ALU",INDEX(ALUOps!A:A,1+BIN2DEC(MID($B396,22,5))),"")</f>
        <v/>
      </c>
      <c r="O396" s="3" t="str" cm="1">
        <f t="array" ref="O396">IF(M396="ALU",INDEX(TMP!A:A,1+BIN2DEC(MID($B396,27,2))),"")</f>
        <v/>
      </c>
      <c r="P396" s="6" t="str">
        <f t="shared" si="46"/>
        <v/>
      </c>
      <c r="Q396" t="str">
        <f t="shared" si="47"/>
        <v/>
      </c>
      <c r="R396" t="str">
        <f t="shared" si="49"/>
        <v/>
      </c>
      <c r="S396" cm="1">
        <f t="array" ref="S396">IF(M396="Control",INDEX(IC!A:A,1+BIN2DEC(MID($B396,21,4))),"")</f>
        <v>0</v>
      </c>
      <c r="T396" cm="1">
        <f t="array" ref="T396">IF(M396="Control",INDEX(EC!A:A,1+BIN2DEC(MID($B396,25,3))),"")</f>
        <v>0</v>
      </c>
      <c r="U396" cm="1">
        <f t="array" ref="U396">IF(M396="Control",INDEX(SR!A:A,1+BIN2DEC(MID($B396,28,2))),"")</f>
        <v>0</v>
      </c>
    </row>
    <row r="397" spans="1:30" x14ac:dyDescent="0.25">
      <c r="A397" s="4" t="str">
        <f t="shared" si="43"/>
        <v>18B</v>
      </c>
      <c r="B397" s="2" t="s">
        <v>384</v>
      </c>
      <c r="C397" s="3"/>
      <c r="D397" s="3"/>
      <c r="E397" s="3"/>
      <c r="F397" s="27" t="str" cm="1">
        <f t="array" ref="F397">INDEX(Sources!A:A, 1 + BIN2DEC(LEFT($B397,5)))</f>
        <v>SIGMA</v>
      </c>
      <c r="G397" s="27" t="str" cm="1">
        <f t="array" ref="G397">INDEX(Dest1!A:A,1+BIN2DEC(MID($B397,6,5)))</f>
        <v>UNK24</v>
      </c>
      <c r="H397" s="27" t="str" cm="1">
        <f t="array" ref="H397">INDEX(Source2!A:A,1+BIN2DEC(MID($B397,11,4)))</f>
        <v>--</v>
      </c>
      <c r="I397" s="23" cm="1">
        <f t="array" ref="I397">INDEX('D2'!A:A,1+BIN2DEC(MID($B397,16,2)))</f>
        <v>0</v>
      </c>
      <c r="J397" s="6">
        <f t="shared" si="48"/>
        <v>0</v>
      </c>
      <c r="K397" s="6">
        <f t="shared" si="44"/>
        <v>1</v>
      </c>
      <c r="L397" s="6">
        <f t="shared" si="45"/>
        <v>0</v>
      </c>
      <c r="M397" s="3" t="str" cm="1">
        <f t="array" ref="M397">INDEX(Types!A:A,1+BIN2DEC(MID($B397,20,2)))</f>
        <v>Jump</v>
      </c>
      <c r="N397" s="3" t="str" cm="1">
        <f t="array" ref="N397">IF(M397="ALU",INDEX(ALUOps!A:A,1+BIN2DEC(MID($B397,22,5))),"")</f>
        <v/>
      </c>
      <c r="O397" s="3" t="str" cm="1">
        <f t="array" ref="O397">IF(M397="ALU",INDEX(TMP!A:A,1+BIN2DEC(MID($B397,27,2))),"")</f>
        <v/>
      </c>
      <c r="P397" s="6" t="str">
        <f t="shared" si="46"/>
        <v/>
      </c>
      <c r="Q397">
        <f t="shared" si="47"/>
        <v>7</v>
      </c>
      <c r="R397">
        <f t="shared" si="49"/>
        <v>7</v>
      </c>
      <c r="S397" t="str" cm="1">
        <f t="array" ref="S397">IF(M397="Control",INDEX(IC!A:A,1+BIN2DEC(MID($B397,21,4))),"")</f>
        <v/>
      </c>
      <c r="T397" t="str" cm="1">
        <f t="array" ref="T397">IF(M397="Control",INDEX(EC!A:A,1+BIN2DEC(MID($B397,25,3))),"")</f>
        <v/>
      </c>
      <c r="U397" t="str" cm="1">
        <f t="array" ref="U397">IF(M397="Control",INDEX(SR!A:A,1+BIN2DEC(MID($B397,28,2))),"")</f>
        <v/>
      </c>
    </row>
    <row r="398" spans="1:30" x14ac:dyDescent="0.25">
      <c r="A398" s="4" t="str">
        <f t="shared" si="43"/>
        <v>18C</v>
      </c>
      <c r="B398" s="2" t="s">
        <v>385</v>
      </c>
      <c r="C398" s="2" t="s">
        <v>386</v>
      </c>
      <c r="D398" s="2" t="s">
        <v>934</v>
      </c>
      <c r="E398" s="2" t="s">
        <v>929</v>
      </c>
      <c r="F398" s="27" t="str" cm="1">
        <f t="array" ref="F398">INDEX(Sources!A:A, 1 + BIN2DEC(LEFT($B398,5)))</f>
        <v>AH</v>
      </c>
      <c r="G398" s="27" t="str" cm="1">
        <f t="array" ref="G398">INDEX(Dest1!A:A,1+BIN2DEC(MID($B398,6,5)))</f>
        <v>TMPA</v>
      </c>
      <c r="H398" s="27" t="str" cm="1">
        <f t="array" ref="H398">INDEX(Source2!A:A,1+BIN2DEC(MID($B398,11,4)))</f>
        <v>--</v>
      </c>
      <c r="I398" s="23" cm="1">
        <f t="array" ref="I398">INDEX('D2'!A:A,1+BIN2DEC(MID($B398,16,2)))</f>
        <v>0</v>
      </c>
      <c r="J398" s="6">
        <f t="shared" si="48"/>
        <v>0</v>
      </c>
      <c r="K398" s="6">
        <f t="shared" si="44"/>
        <v>0</v>
      </c>
      <c r="L398" s="6">
        <f t="shared" si="45"/>
        <v>0</v>
      </c>
      <c r="M398" s="3" t="str" cm="1">
        <f t="array" ref="M398">INDEX(Types!A:A,1+BIN2DEC(MID($B398,20,2)))</f>
        <v>Control</v>
      </c>
      <c r="N398" s="3" t="str" cm="1">
        <f t="array" ref="N398">IF(M398="ALU",INDEX(ALUOps!A:A,1+BIN2DEC(MID($B398,22,5))),"")</f>
        <v/>
      </c>
      <c r="O398" s="3" t="str" cm="1">
        <f t="array" ref="O398">IF(M398="ALU",INDEX(TMP!A:A,1+BIN2DEC(MID($B398,27,2))),"")</f>
        <v/>
      </c>
      <c r="P398" s="6" t="str">
        <f t="shared" si="46"/>
        <v/>
      </c>
      <c r="Q398" t="str">
        <f t="shared" si="47"/>
        <v/>
      </c>
      <c r="R398" t="str">
        <f t="shared" si="49"/>
        <v/>
      </c>
      <c r="S398" cm="1">
        <f t="array" ref="S398">IF(M398="Control",INDEX(IC!A:A,1+BIN2DEC(MID($B398,21,4))),"")</f>
        <v>0</v>
      </c>
      <c r="T398" cm="1">
        <f t="array" ref="T398">IF(M398="Control",INDEX(EC!A:A,1+BIN2DEC(MID($B398,25,3))),"")</f>
        <v>0</v>
      </c>
      <c r="U398" cm="1">
        <f t="array" ref="U398">IF(M398="Control",INDEX(SR!A:A,1+BIN2DEC(MID($B398,28,2))),"")</f>
        <v>0</v>
      </c>
      <c r="AD398" s="1" t="s">
        <v>382</v>
      </c>
    </row>
    <row r="399" spans="1:30" x14ac:dyDescent="0.25">
      <c r="A399" s="4" t="str">
        <f t="shared" si="43"/>
        <v>18D</v>
      </c>
      <c r="B399" s="2" t="s">
        <v>387</v>
      </c>
      <c r="C399" s="3"/>
      <c r="D399" s="3"/>
      <c r="E399" s="3"/>
      <c r="F399" s="27" t="str" cm="1">
        <f t="array" ref="F399">INDEX(Sources!A:A, 1 + BIN2DEC(LEFT($B399,5)))</f>
        <v>REG</v>
      </c>
      <c r="G399" s="27" t="str" cm="1">
        <f t="array" ref="G399">INDEX(Dest1!A:A,1+BIN2DEC(MID($B399,6,5)))</f>
        <v>LC</v>
      </c>
      <c r="H399" s="27" t="str" cm="1">
        <f t="array" ref="H399">INDEX(Source2!A:A,1+BIN2DEC(MID($B399,11,4)))</f>
        <v>13</v>
      </c>
      <c r="I399" s="23" t="str" cm="1">
        <f t="array" ref="I399">INDEX('D2'!A:A,1+BIN2DEC(MID($B399,16,2)))</f>
        <v>TMPB</v>
      </c>
      <c r="J399" s="6">
        <f t="shared" si="48"/>
        <v>0</v>
      </c>
      <c r="K399" s="6">
        <f t="shared" si="44"/>
        <v>0</v>
      </c>
      <c r="L399" s="6">
        <f t="shared" si="45"/>
        <v>0</v>
      </c>
      <c r="M399" s="3" t="str" cm="1">
        <f t="array" ref="M399">INDEX(Types!A:A,1+BIN2DEC(MID($B399,20,2)))</f>
        <v>Control</v>
      </c>
      <c r="N399" s="3" t="str" cm="1">
        <f t="array" ref="N399">IF(M399="ALU",INDEX(ALUOps!A:A,1+BIN2DEC(MID($B399,22,5))),"")</f>
        <v/>
      </c>
      <c r="O399" s="3" t="str" cm="1">
        <f t="array" ref="O399">IF(M399="ALU",INDEX(TMP!A:A,1+BIN2DEC(MID($B399,27,2))),"")</f>
        <v/>
      </c>
      <c r="P399" s="6" t="str">
        <f t="shared" si="46"/>
        <v/>
      </c>
      <c r="Q399" t="str">
        <f t="shared" si="47"/>
        <v/>
      </c>
      <c r="R399" t="str">
        <f t="shared" si="49"/>
        <v/>
      </c>
      <c r="S399" cm="1">
        <f t="array" ref="S399">IF(M399="Control",INDEX(IC!A:A,1+BIN2DEC(MID($B399,21,4))),"")</f>
        <v>0</v>
      </c>
      <c r="T399" cm="1">
        <f t="array" ref="T399">IF(M399="Control",INDEX(EC!A:A,1+BIN2DEC(MID($B399,25,3))),"")</f>
        <v>0</v>
      </c>
      <c r="U399" cm="1">
        <f t="array" ref="U399">IF(M399="Control",INDEX(SR!A:A,1+BIN2DEC(MID($B399,28,2))),"")</f>
        <v>0</v>
      </c>
    </row>
    <row r="400" spans="1:30" x14ac:dyDescent="0.25">
      <c r="A400" s="4" t="str">
        <f t="shared" si="43"/>
        <v>18E</v>
      </c>
      <c r="B400" s="2" t="s">
        <v>73</v>
      </c>
      <c r="C400" s="3"/>
      <c r="D400" s="3"/>
      <c r="E400" s="3"/>
      <c r="F400" s="27" t="str" cm="1">
        <f t="array" ref="F400">INDEX(Sources!A:A, 1 + BIN2DEC(LEFT($B400,5)))</f>
        <v>SIGMA</v>
      </c>
      <c r="G400" s="27" t="str" cm="1">
        <f t="array" ref="G400">INDEX(Dest1!A:A,1+BIN2DEC(MID($B400,6,5)))</f>
        <v>UNK24</v>
      </c>
      <c r="H400" s="27" t="str" cm="1">
        <f t="array" ref="H400">INDEX(Source2!A:A,1+BIN2DEC(MID($B400,11,4)))</f>
        <v>--</v>
      </c>
      <c r="I400" s="23" cm="1">
        <f t="array" ref="I400">INDEX('D2'!A:A,1+BIN2DEC(MID($B400,16,2)))</f>
        <v>0</v>
      </c>
      <c r="J400" s="6">
        <f t="shared" si="48"/>
        <v>0</v>
      </c>
      <c r="K400" s="6">
        <f t="shared" si="44"/>
        <v>1</v>
      </c>
      <c r="L400" s="6">
        <f t="shared" si="45"/>
        <v>0</v>
      </c>
      <c r="M400" s="3" t="str" cm="1">
        <f t="array" ref="M400">INDEX(Types!A:A,1+BIN2DEC(MID($B400,20,2)))</f>
        <v>Control</v>
      </c>
      <c r="N400" s="3" t="str" cm="1">
        <f t="array" ref="N400">IF(M400="ALU",INDEX(ALUOps!A:A,1+BIN2DEC(MID($B400,22,5))),"")</f>
        <v/>
      </c>
      <c r="O400" s="3" t="str" cm="1">
        <f t="array" ref="O400">IF(M400="ALU",INDEX(TMP!A:A,1+BIN2DEC(MID($B400,27,2))),"")</f>
        <v/>
      </c>
      <c r="P400" s="6" t="str">
        <f t="shared" si="46"/>
        <v/>
      </c>
      <c r="Q400" t="str">
        <f t="shared" si="47"/>
        <v/>
      </c>
      <c r="R400" t="str">
        <f t="shared" si="49"/>
        <v/>
      </c>
      <c r="S400" cm="1">
        <f t="array" ref="S400">IF(M400="Control",INDEX(IC!A:A,1+BIN2DEC(MID($B400,21,4))),"")</f>
        <v>0</v>
      </c>
      <c r="T400" cm="1">
        <f t="array" ref="T400">IF(M400="Control",INDEX(EC!A:A,1+BIN2DEC(MID($B400,25,3))),"")</f>
        <v>0</v>
      </c>
      <c r="U400" cm="1">
        <f t="array" ref="U400">IF(M400="Control",INDEX(SR!A:A,1+BIN2DEC(MID($B400,28,2))),"")</f>
        <v>0</v>
      </c>
    </row>
    <row r="401" spans="1:30" x14ac:dyDescent="0.25">
      <c r="A401" s="4" t="str">
        <f t="shared" si="43"/>
        <v>18F</v>
      </c>
      <c r="B401" s="2" t="s">
        <v>388</v>
      </c>
      <c r="C401" s="3"/>
      <c r="D401" s="3"/>
      <c r="E401" s="3"/>
      <c r="F401" s="27" t="str" cm="1">
        <f t="array" ref="F401">INDEX(Sources!A:A, 1 + BIN2DEC(LEFT($B401,5)))</f>
        <v>--</v>
      </c>
      <c r="G401" s="27" t="str" cm="1">
        <f t="array" ref="G401">INDEX(Dest1!A:A,1+BIN2DEC(MID($B401,6,5)))</f>
        <v>--</v>
      </c>
      <c r="H401" s="27" t="str" cm="1">
        <f t="array" ref="H401">INDEX(Source2!A:A,1+BIN2DEC(MID($B401,11,4)))</f>
        <v>--</v>
      </c>
      <c r="I401" s="23" cm="1">
        <f t="array" ref="I401">INDEX('D2'!A:A,1+BIN2DEC(MID($B401,16,2)))</f>
        <v>0</v>
      </c>
      <c r="J401" s="6">
        <f t="shared" si="48"/>
        <v>0</v>
      </c>
      <c r="K401" s="6">
        <f t="shared" si="44"/>
        <v>0</v>
      </c>
      <c r="L401" s="6">
        <f t="shared" si="45"/>
        <v>0</v>
      </c>
      <c r="M401" s="3" t="str" cm="1">
        <f t="array" ref="M401">INDEX(Types!A:A,1+BIN2DEC(MID($B401,20,2)))</f>
        <v>Jump</v>
      </c>
      <c r="N401" s="3" t="str" cm="1">
        <f t="array" ref="N401">IF(M401="ALU",INDEX(ALUOps!A:A,1+BIN2DEC(MID($B401,22,5))),"")</f>
        <v/>
      </c>
      <c r="O401" s="3" t="str" cm="1">
        <f t="array" ref="O401">IF(M401="ALU",INDEX(TMP!A:A,1+BIN2DEC(MID($B401,27,2))),"")</f>
        <v/>
      </c>
      <c r="P401" s="6" t="str">
        <f t="shared" si="46"/>
        <v/>
      </c>
      <c r="Q401">
        <f t="shared" si="47"/>
        <v>14</v>
      </c>
      <c r="R401">
        <f t="shared" si="49"/>
        <v>13</v>
      </c>
      <c r="S401" t="str" cm="1">
        <f t="array" ref="S401">IF(M401="Control",INDEX(IC!A:A,1+BIN2DEC(MID($B401,21,4))),"")</f>
        <v/>
      </c>
      <c r="T401" t="str" cm="1">
        <f t="array" ref="T401">IF(M401="Control",INDEX(EC!A:A,1+BIN2DEC(MID($B401,25,3))),"")</f>
        <v/>
      </c>
      <c r="U401" t="str" cm="1">
        <f t="array" ref="U401">IF(M401="Control",INDEX(SR!A:A,1+BIN2DEC(MID($B401,28,2))),"")</f>
        <v/>
      </c>
    </row>
    <row r="402" spans="1:30" x14ac:dyDescent="0.25">
      <c r="A402" s="4" t="str">
        <f t="shared" si="43"/>
        <v>190</v>
      </c>
      <c r="B402" s="2" t="s">
        <v>283</v>
      </c>
      <c r="C402" s="2" t="s">
        <v>389</v>
      </c>
      <c r="D402" s="2" t="s">
        <v>934</v>
      </c>
      <c r="E402" s="2" t="s">
        <v>488</v>
      </c>
      <c r="F402" s="27" t="str" cm="1">
        <f t="array" ref="F402">INDEX(Sources!A:A, 1 + BIN2DEC(LEFT($B402,5)))</f>
        <v>SIGMA</v>
      </c>
      <c r="G402" s="27" t="str" cm="1">
        <f t="array" ref="G402">INDEX(Dest1!A:A,1+BIN2DEC(MID($B402,6,5)))</f>
        <v>TMPA</v>
      </c>
      <c r="H402" s="27" t="str" cm="1">
        <f t="array" ref="H402">INDEX(Source2!A:A,1+BIN2DEC(MID($B402,11,4)))</f>
        <v>--</v>
      </c>
      <c r="I402" s="23" cm="1">
        <f t="array" ref="I402">INDEX('D2'!A:A,1+BIN2DEC(MID($B402,16,2)))</f>
        <v>0</v>
      </c>
      <c r="J402" s="6">
        <f t="shared" si="48"/>
        <v>0</v>
      </c>
      <c r="K402" s="6">
        <f t="shared" si="44"/>
        <v>0</v>
      </c>
      <c r="L402" s="6">
        <f t="shared" si="45"/>
        <v>0</v>
      </c>
      <c r="M402" s="3" t="str" cm="1">
        <f t="array" ref="M402">INDEX(Types!A:A,1+BIN2DEC(MID($B402,20,2)))</f>
        <v>ALU</v>
      </c>
      <c r="N402" s="3" cm="1">
        <f t="array" ref="N402">IF(M402="ALU",INDEX(ALUOps!A:A,1+BIN2DEC(MID($B402,22,5))),"")</f>
        <v>13</v>
      </c>
      <c r="O402" s="3" cm="1">
        <f t="array" ref="O402">IF(M402="ALU",INDEX(TMP!A:A,1+BIN2DEC(MID($B402,27,2))),"")</f>
        <v>1</v>
      </c>
      <c r="P402" s="6">
        <f t="shared" si="46"/>
        <v>0</v>
      </c>
      <c r="Q402" t="str">
        <f t="shared" si="47"/>
        <v/>
      </c>
      <c r="R402" t="str">
        <f t="shared" si="49"/>
        <v/>
      </c>
      <c r="S402" t="str" cm="1">
        <f t="array" ref="S402">IF(M402="Control",INDEX(IC!A:A,1+BIN2DEC(MID($B402,21,4))),"")</f>
        <v/>
      </c>
      <c r="T402" t="str" cm="1">
        <f t="array" ref="T402">IF(M402="Control",INDEX(EC!A:A,1+BIN2DEC(MID($B402,25,3))),"")</f>
        <v/>
      </c>
      <c r="U402" t="str" cm="1">
        <f t="array" ref="U402">IF(M402="Control",INDEX(SR!A:A,1+BIN2DEC(MID($B402,28,2))),"")</f>
        <v/>
      </c>
      <c r="AD402" s="1" t="s">
        <v>382</v>
      </c>
    </row>
    <row r="403" spans="1:30" x14ac:dyDescent="0.25">
      <c r="A403" s="4" t="str">
        <f t="shared" si="43"/>
        <v>191</v>
      </c>
      <c r="B403" s="2" t="s">
        <v>284</v>
      </c>
      <c r="C403" s="3"/>
      <c r="D403" s="3"/>
      <c r="E403" s="3"/>
      <c r="F403" s="27" t="str" cm="1">
        <f t="array" ref="F403">INDEX(Sources!A:A, 1 + BIN2DEC(LEFT($B403,5)))</f>
        <v>SIGMA</v>
      </c>
      <c r="G403" s="27" t="str" cm="1">
        <f t="array" ref="G403">INDEX(Dest1!A:A,1+BIN2DEC(MID($B403,6,5)))</f>
        <v>UNK24</v>
      </c>
      <c r="H403" s="27" t="str" cm="1">
        <f t="array" ref="H403">INDEX(Source2!A:A,1+BIN2DEC(MID($B403,11,4)))</f>
        <v>11</v>
      </c>
      <c r="I403" s="23" cm="1">
        <f t="array" ref="I403">INDEX('D2'!A:A,1+BIN2DEC(MID($B403,16,2)))</f>
        <v>0</v>
      </c>
      <c r="J403" s="6">
        <f t="shared" si="48"/>
        <v>0</v>
      </c>
      <c r="K403" s="6">
        <f t="shared" si="44"/>
        <v>0</v>
      </c>
      <c r="L403" s="6">
        <f t="shared" si="45"/>
        <v>0</v>
      </c>
      <c r="M403" s="3" t="str" cm="1">
        <f t="array" ref="M403">INDEX(Types!A:A,1+BIN2DEC(MID($B403,20,2)))</f>
        <v>ALU</v>
      </c>
      <c r="N403" s="3" cm="1">
        <f t="array" ref="N403">IF(M403="ALU",INDEX(ALUOps!A:A,1+BIN2DEC(MID($B403,22,5))),"")</f>
        <v>13</v>
      </c>
      <c r="O403" s="3" cm="1">
        <f t="array" ref="O403">IF(M403="ALU",INDEX(TMP!A:A,1+BIN2DEC(MID($B403,27,2))),"")</f>
        <v>1</v>
      </c>
      <c r="P403" s="6">
        <f t="shared" si="46"/>
        <v>1</v>
      </c>
      <c r="Q403" t="str">
        <f t="shared" si="47"/>
        <v/>
      </c>
      <c r="R403" t="str">
        <f t="shared" si="49"/>
        <v/>
      </c>
      <c r="S403" t="str" cm="1">
        <f t="array" ref="S403">IF(M403="Control",INDEX(IC!A:A,1+BIN2DEC(MID($B403,21,4))),"")</f>
        <v/>
      </c>
      <c r="T403" t="str" cm="1">
        <f t="array" ref="T403">IF(M403="Control",INDEX(EC!A:A,1+BIN2DEC(MID($B403,25,3))),"")</f>
        <v/>
      </c>
      <c r="U403" t="str" cm="1">
        <f t="array" ref="U403">IF(M403="Control",INDEX(SR!A:A,1+BIN2DEC(MID($B403,28,2))),"")</f>
        <v/>
      </c>
    </row>
    <row r="404" spans="1:30" x14ac:dyDescent="0.25">
      <c r="A404" s="4" t="str">
        <f t="shared" si="43"/>
        <v>192</v>
      </c>
      <c r="B404" s="2" t="s">
        <v>390</v>
      </c>
      <c r="C404" s="3"/>
      <c r="D404" s="3"/>
      <c r="E404" s="3"/>
      <c r="F404" s="27" t="str" cm="1">
        <f t="array" ref="F404">INDEX(Sources!A:A, 1 + BIN2DEC(LEFT($B404,5)))</f>
        <v>TMPB</v>
      </c>
      <c r="G404" s="27" t="str" cm="1">
        <f t="array" ref="G404">INDEX(Dest1!A:A,1+BIN2DEC(MID($B404,6,5)))</f>
        <v>A</v>
      </c>
      <c r="H404" s="27" t="str" cm="1">
        <f t="array" ref="H404">INDEX(Source2!A:A,1+BIN2DEC(MID($B404,11,4)))</f>
        <v>--</v>
      </c>
      <c r="I404" s="23" cm="1">
        <f t="array" ref="I404">INDEX('D2'!A:A,1+BIN2DEC(MID($B404,16,2)))</f>
        <v>0</v>
      </c>
      <c r="J404" s="6">
        <f t="shared" si="48"/>
        <v>0</v>
      </c>
      <c r="K404" s="6">
        <f t="shared" si="44"/>
        <v>0</v>
      </c>
      <c r="L404" s="6">
        <f t="shared" si="45"/>
        <v>0</v>
      </c>
      <c r="M404" s="3" t="str" cm="1">
        <f t="array" ref="M404">INDEX(Types!A:A,1+BIN2DEC(MID($B404,20,2)))</f>
        <v>Jump</v>
      </c>
      <c r="N404" s="3" t="str" cm="1">
        <f t="array" ref="N404">IF(M404="ALU",INDEX(ALUOps!A:A,1+BIN2DEC(MID($B404,22,5))),"")</f>
        <v/>
      </c>
      <c r="O404" s="3" t="str" cm="1">
        <f t="array" ref="O404">IF(M404="ALU",INDEX(TMP!A:A,1+BIN2DEC(MID($B404,27,2))),"")</f>
        <v/>
      </c>
      <c r="P404" s="6" t="str">
        <f t="shared" si="46"/>
        <v/>
      </c>
      <c r="Q404">
        <f t="shared" si="47"/>
        <v>8</v>
      </c>
      <c r="R404">
        <f t="shared" si="49"/>
        <v>14</v>
      </c>
      <c r="S404" t="str" cm="1">
        <f t="array" ref="S404">IF(M404="Control",INDEX(IC!A:A,1+BIN2DEC(MID($B404,21,4))),"")</f>
        <v/>
      </c>
      <c r="T404" t="str" cm="1">
        <f t="array" ref="T404">IF(M404="Control",INDEX(EC!A:A,1+BIN2DEC(MID($B404,25,3))),"")</f>
        <v/>
      </c>
      <c r="U404" t="str" cm="1">
        <f t="array" ref="U404">IF(M404="Control",INDEX(SR!A:A,1+BIN2DEC(MID($B404,28,2))),"")</f>
        <v/>
      </c>
    </row>
    <row r="405" spans="1:30" x14ac:dyDescent="0.25">
      <c r="A405" s="4" t="str">
        <f t="shared" si="43"/>
        <v>193</v>
      </c>
      <c r="B405" s="2" t="s">
        <v>391</v>
      </c>
      <c r="C405" s="3"/>
      <c r="D405" s="3"/>
      <c r="E405" s="3"/>
      <c r="F405" s="27" t="str" cm="1">
        <f t="array" ref="F405">INDEX(Sources!A:A, 1 + BIN2DEC(LEFT($B405,5)))</f>
        <v>TMPA</v>
      </c>
      <c r="G405" s="27" t="str" cm="1">
        <f t="array" ref="G405">INDEX(Dest1!A:A,1+BIN2DEC(MID($B405,6,5)))</f>
        <v>UNK5</v>
      </c>
      <c r="H405" s="27" t="str" cm="1">
        <f t="array" ref="H405">INDEX(Source2!A:A,1+BIN2DEC(MID($B405,11,4)))</f>
        <v>--</v>
      </c>
      <c r="I405" s="23" cm="1">
        <f t="array" ref="I405">INDEX('D2'!A:A,1+BIN2DEC(MID($B405,16,2)))</f>
        <v>0</v>
      </c>
      <c r="J405" s="6">
        <f t="shared" si="48"/>
        <v>0</v>
      </c>
      <c r="K405" s="6">
        <f t="shared" si="44"/>
        <v>0</v>
      </c>
      <c r="L405" s="6">
        <f t="shared" si="45"/>
        <v>1</v>
      </c>
      <c r="M405" s="3" t="str" cm="1">
        <f t="array" ref="M405">INDEX(Types!A:A,1+BIN2DEC(MID($B405,20,2)))</f>
        <v>Control</v>
      </c>
      <c r="N405" s="3" t="str" cm="1">
        <f t="array" ref="N405">IF(M405="ALU",INDEX(ALUOps!A:A,1+BIN2DEC(MID($B405,22,5))),"")</f>
        <v/>
      </c>
      <c r="O405" s="3" t="str" cm="1">
        <f t="array" ref="O405">IF(M405="ALU",INDEX(TMP!A:A,1+BIN2DEC(MID($B405,27,2))),"")</f>
        <v/>
      </c>
      <c r="P405" s="6" t="str">
        <f t="shared" si="46"/>
        <v/>
      </c>
      <c r="Q405" t="str">
        <f t="shared" si="47"/>
        <v/>
      </c>
      <c r="R405" t="str">
        <f t="shared" si="49"/>
        <v/>
      </c>
      <c r="S405" cm="1">
        <f t="array" ref="S405">IF(M405="Control",INDEX(IC!A:A,1+BIN2DEC(MID($B405,21,4))),"")</f>
        <v>0</v>
      </c>
      <c r="T405" cm="1">
        <f t="array" ref="T405">IF(M405="Control",INDEX(EC!A:A,1+BIN2DEC(MID($B405,25,3))),"")</f>
        <v>0</v>
      </c>
      <c r="U405" cm="1">
        <f t="array" ref="U405">IF(M405="Control",INDEX(SR!A:A,1+BIN2DEC(MID($B405,28,2))),"")</f>
        <v>0</v>
      </c>
    </row>
    <row r="406" spans="1:30" x14ac:dyDescent="0.25">
      <c r="A406" s="4" t="str">
        <f t="shared" si="43"/>
        <v>194</v>
      </c>
      <c r="B406" s="2" t="s">
        <v>4</v>
      </c>
      <c r="C406" s="2" t="s">
        <v>392</v>
      </c>
      <c r="D406" s="2" t="s">
        <v>934</v>
      </c>
      <c r="E406" s="2" t="s">
        <v>933</v>
      </c>
      <c r="F406" s="27" t="str" cm="1">
        <f t="array" ref="F406">INDEX(Sources!A:A, 1 + BIN2DEC(LEFT($B406,5)))</f>
        <v>--</v>
      </c>
      <c r="G406" s="27" t="str" cm="1">
        <f t="array" ref="G406">INDEX(Dest1!A:A,1+BIN2DEC(MID($B406,6,5)))</f>
        <v>--</v>
      </c>
      <c r="H406" s="27" t="str" cm="1">
        <f t="array" ref="H406">INDEX(Source2!A:A,1+BIN2DEC(MID($B406,11,4)))</f>
        <v>--</v>
      </c>
      <c r="I406" s="23" cm="1">
        <f t="array" ref="I406">INDEX('D2'!A:A,1+BIN2DEC(MID($B406,16,2)))</f>
        <v>0</v>
      </c>
      <c r="J406" s="6">
        <f t="shared" si="48"/>
        <v>0</v>
      </c>
      <c r="K406" s="6">
        <f t="shared" si="44"/>
        <v>0</v>
      </c>
      <c r="L406" s="6">
        <f t="shared" si="45"/>
        <v>0</v>
      </c>
      <c r="M406" s="3" t="str" cm="1">
        <f t="array" ref="M406">INDEX(Types!A:A,1+BIN2DEC(MID($B406,20,2)))</f>
        <v>Control</v>
      </c>
      <c r="N406" s="3" t="str" cm="1">
        <f t="array" ref="N406">IF(M406="ALU",INDEX(ALUOps!A:A,1+BIN2DEC(MID($B406,22,5))),"")</f>
        <v/>
      </c>
      <c r="O406" s="3" t="str" cm="1">
        <f t="array" ref="O406">IF(M406="ALU",INDEX(TMP!A:A,1+BIN2DEC(MID($B406,27,2))),"")</f>
        <v/>
      </c>
      <c r="P406" s="6" t="str">
        <f t="shared" si="46"/>
        <v/>
      </c>
      <c r="Q406" t="str">
        <f t="shared" si="47"/>
        <v/>
      </c>
      <c r="R406" t="str">
        <f t="shared" si="49"/>
        <v/>
      </c>
      <c r="S406" cm="1">
        <f t="array" ref="S406">IF(M406="Control",INDEX(IC!A:A,1+BIN2DEC(MID($B406,21,4))),"")</f>
        <v>0</v>
      </c>
      <c r="T406" cm="1">
        <f t="array" ref="T406">IF(M406="Control",INDEX(EC!A:A,1+BIN2DEC(MID($B406,25,3))),"")</f>
        <v>0</v>
      </c>
      <c r="U406" cm="1">
        <f t="array" ref="U406">IF(M406="Control",INDEX(SR!A:A,1+BIN2DEC(MID($B406,28,2))),"")</f>
        <v>0</v>
      </c>
      <c r="AD406" s="1" t="s">
        <v>382</v>
      </c>
    </row>
    <row r="407" spans="1:30" x14ac:dyDescent="0.25">
      <c r="A407" s="4" t="str">
        <f t="shared" si="43"/>
        <v>195</v>
      </c>
      <c r="B407" s="2" t="s">
        <v>393</v>
      </c>
      <c r="C407" s="3"/>
      <c r="D407" s="3"/>
      <c r="E407" s="3"/>
      <c r="F407" s="27" t="str" cm="1">
        <f t="array" ref="F407">INDEX(Sources!A:A, 1 + BIN2DEC(LEFT($B407,5)))</f>
        <v>UNK22</v>
      </c>
      <c r="G407" s="27" t="str" cm="1">
        <f t="array" ref="G407">INDEX(Dest1!A:A,1+BIN2DEC(MID($B407,6,5)))</f>
        <v>UNK10</v>
      </c>
      <c r="H407" s="27" t="str" cm="1">
        <f t="array" ref="H407">INDEX(Source2!A:A,1+BIN2DEC(MID($B407,11,4)))</f>
        <v>--</v>
      </c>
      <c r="I407" s="23" cm="1">
        <f t="array" ref="I407">INDEX('D2'!A:A,1+BIN2DEC(MID($B407,16,2)))</f>
        <v>0</v>
      </c>
      <c r="J407" s="6">
        <f t="shared" si="48"/>
        <v>0</v>
      </c>
      <c r="K407" s="6">
        <f t="shared" si="44"/>
        <v>0</v>
      </c>
      <c r="L407" s="6">
        <f t="shared" si="45"/>
        <v>0</v>
      </c>
      <c r="M407" s="3" t="str" cm="1">
        <f t="array" ref="M407">INDEX(Types!A:A,1+BIN2DEC(MID($B407,20,2)))</f>
        <v>Control</v>
      </c>
      <c r="N407" s="3" t="str" cm="1">
        <f t="array" ref="N407">IF(M407="ALU",INDEX(ALUOps!A:A,1+BIN2DEC(MID($B407,22,5))),"")</f>
        <v/>
      </c>
      <c r="O407" s="3" t="str" cm="1">
        <f t="array" ref="O407">IF(M407="ALU",INDEX(TMP!A:A,1+BIN2DEC(MID($B407,27,2))),"")</f>
        <v/>
      </c>
      <c r="P407" s="6" t="str">
        <f t="shared" si="46"/>
        <v/>
      </c>
      <c r="Q407" t="str">
        <f t="shared" si="47"/>
        <v/>
      </c>
      <c r="R407" t="str">
        <f t="shared" si="49"/>
        <v/>
      </c>
      <c r="S407" cm="1">
        <f t="array" ref="S407">IF(M407="Control",INDEX(IC!A:A,1+BIN2DEC(MID($B407,21,4))),"")</f>
        <v>1</v>
      </c>
      <c r="T407" cm="1">
        <f t="array" ref="T407">IF(M407="Control",INDEX(EC!A:A,1+BIN2DEC(MID($B407,25,3))),"")</f>
        <v>7</v>
      </c>
      <c r="U407" cm="1">
        <f t="array" ref="U407">IF(M407="Control",INDEX(SR!A:A,1+BIN2DEC(MID($B407,28,2))),"")</f>
        <v>1</v>
      </c>
    </row>
    <row r="408" spans="1:30" x14ac:dyDescent="0.25">
      <c r="A408" s="4" t="str">
        <f t="shared" si="43"/>
        <v>196</v>
      </c>
      <c r="B408" s="2" t="s">
        <v>394</v>
      </c>
      <c r="C408" s="3"/>
      <c r="D408" s="3"/>
      <c r="E408" s="3"/>
      <c r="F408" s="27" t="str" cm="1">
        <f t="array" ref="F408">INDEX(Sources!A:A, 1 + BIN2DEC(LEFT($B408,5)))</f>
        <v>TMPA</v>
      </c>
      <c r="G408" s="27" t="str" cm="1">
        <f t="array" ref="G408">INDEX(Dest1!A:A,1+BIN2DEC(MID($B408,6,5)))</f>
        <v>AH</v>
      </c>
      <c r="H408" s="27" t="str" cm="1">
        <f t="array" ref="H408">INDEX(Source2!A:A,1+BIN2DEC(MID($B408,11,4)))</f>
        <v>--</v>
      </c>
      <c r="I408" s="23" cm="1">
        <f t="array" ref="I408">INDEX('D2'!A:A,1+BIN2DEC(MID($B408,16,2)))</f>
        <v>0</v>
      </c>
      <c r="J408" s="6">
        <f t="shared" si="48"/>
        <v>0</v>
      </c>
      <c r="K408" s="6">
        <f t="shared" si="44"/>
        <v>0</v>
      </c>
      <c r="L408" s="6">
        <f t="shared" si="45"/>
        <v>1</v>
      </c>
      <c r="M408" s="3" t="str" cm="1">
        <f t="array" ref="M408">INDEX(Types!A:A,1+BIN2DEC(MID($B408,20,2)))</f>
        <v>Control</v>
      </c>
      <c r="N408" s="3" t="str" cm="1">
        <f t="array" ref="N408">IF(M408="ALU",INDEX(ALUOps!A:A,1+BIN2DEC(MID($B408,22,5))),"")</f>
        <v/>
      </c>
      <c r="O408" s="3" t="str" cm="1">
        <f t="array" ref="O408">IF(M408="ALU",INDEX(TMP!A:A,1+BIN2DEC(MID($B408,27,2))),"")</f>
        <v/>
      </c>
      <c r="P408" s="6" t="str">
        <f t="shared" si="46"/>
        <v/>
      </c>
      <c r="Q408" t="str">
        <f t="shared" si="47"/>
        <v/>
      </c>
      <c r="R408" t="str">
        <f t="shared" si="49"/>
        <v/>
      </c>
      <c r="S408" cm="1">
        <f t="array" ref="S408">IF(M408="Control",INDEX(IC!A:A,1+BIN2DEC(MID($B408,21,4))),"")</f>
        <v>0</v>
      </c>
      <c r="T408" cm="1">
        <f t="array" ref="T408">IF(M408="Control",INDEX(EC!A:A,1+BIN2DEC(MID($B408,25,3))),"")</f>
        <v>0</v>
      </c>
      <c r="U408" cm="1">
        <f t="array" ref="U408">IF(M408="Control",INDEX(SR!A:A,1+BIN2DEC(MID($B408,28,2))),"")</f>
        <v>0</v>
      </c>
    </row>
    <row r="409" spans="1:30" s="9" customFormat="1" ht="15.75" thickBot="1" x14ac:dyDescent="0.3">
      <c r="A409" s="7" t="str">
        <f t="shared" si="43"/>
        <v>197</v>
      </c>
      <c r="B409" s="8" t="s">
        <v>4</v>
      </c>
      <c r="C409" s="10"/>
      <c r="D409" s="10"/>
      <c r="E409" s="10"/>
      <c r="F409" s="30" t="str" cm="1">
        <f t="array" ref="F409">INDEX(Sources!A:A, 1 + BIN2DEC(LEFT($B409,5)))</f>
        <v>--</v>
      </c>
      <c r="G409" s="30" t="str" cm="1">
        <f t="array" ref="G409">INDEX(Dest1!A:A,1+BIN2DEC(MID($B409,6,5)))</f>
        <v>--</v>
      </c>
      <c r="H409" s="30" t="str" cm="1">
        <f t="array" ref="H409">INDEX(Source2!A:A,1+BIN2DEC(MID($B409,11,4)))</f>
        <v>--</v>
      </c>
      <c r="I409" s="26" cm="1">
        <f t="array" ref="I409">INDEX('D2'!A:A,1+BIN2DEC(MID($B409,16,2)))</f>
        <v>0</v>
      </c>
      <c r="J409" s="11">
        <f t="shared" si="48"/>
        <v>0</v>
      </c>
      <c r="K409" s="11">
        <f t="shared" si="44"/>
        <v>0</v>
      </c>
      <c r="L409" s="11">
        <f t="shared" si="45"/>
        <v>0</v>
      </c>
      <c r="M409" s="10" t="str" cm="1">
        <f t="array" ref="M409">INDEX(Types!A:A,1+BIN2DEC(MID($B409,20,2)))</f>
        <v>Control</v>
      </c>
      <c r="N409" s="10" t="str" cm="1">
        <f t="array" ref="N409">IF(M409="ALU",INDEX(ALUOps!A:A,1+BIN2DEC(MID($B409,22,5))),"")</f>
        <v/>
      </c>
      <c r="O409" s="10" t="str" cm="1">
        <f t="array" ref="O409">IF(M409="ALU",INDEX(TMP!A:A,1+BIN2DEC(MID($B409,27,2))),"")</f>
        <v/>
      </c>
      <c r="P409" s="11" t="str">
        <f t="shared" si="46"/>
        <v/>
      </c>
      <c r="Q409" s="9" t="str">
        <f t="shared" si="47"/>
        <v/>
      </c>
      <c r="R409" s="9" t="str">
        <f t="shared" si="49"/>
        <v/>
      </c>
      <c r="S409" s="9" cm="1">
        <f t="array" ref="S409">IF(M409="Control",INDEX(IC!A:A,1+BIN2DEC(MID($B409,21,4))),"")</f>
        <v>0</v>
      </c>
      <c r="T409" s="9" cm="1">
        <f t="array" ref="T409">IF(M409="Control",INDEX(EC!A:A,1+BIN2DEC(MID($B409,25,3))),"")</f>
        <v>0</v>
      </c>
      <c r="U409" s="9" cm="1">
        <f t="array" ref="U409">IF(M409="Control",INDEX(SR!A:A,1+BIN2DEC(MID($B409,28,2))),"")</f>
        <v>0</v>
      </c>
    </row>
    <row r="410" spans="1:30" x14ac:dyDescent="0.25">
      <c r="A410" s="4" t="str">
        <f t="shared" si="43"/>
        <v>198</v>
      </c>
      <c r="B410" s="2" t="s">
        <v>395</v>
      </c>
      <c r="C410" s="2" t="s">
        <v>396</v>
      </c>
      <c r="D410" s="2" t="s">
        <v>934</v>
      </c>
      <c r="E410" s="2" t="s">
        <v>462</v>
      </c>
      <c r="F410" s="27" t="str" cm="1">
        <f t="array" ref="F410">INDEX(Sources!A:A, 1 + BIN2DEC(LEFT($B410,5)))</f>
        <v>OPR</v>
      </c>
      <c r="G410" s="27" t="str" cm="1">
        <f t="array" ref="G410">INDEX(Dest1!A:A,1+BIN2DEC(MID($B410,6,5)))</f>
        <v>TMPA</v>
      </c>
      <c r="H410" s="27" t="str" cm="1">
        <f t="array" ref="H410">INDEX(Source2!A:A,1+BIN2DEC(MID($B410,11,4)))</f>
        <v>--</v>
      </c>
      <c r="I410" s="23" cm="1">
        <f t="array" ref="I410">INDEX('D2'!A:A,1+BIN2DEC(MID($B410,16,2)))</f>
        <v>0</v>
      </c>
      <c r="J410" s="6">
        <f t="shared" si="48"/>
        <v>0</v>
      </c>
      <c r="K410" s="6">
        <f t="shared" si="44"/>
        <v>0</v>
      </c>
      <c r="L410" s="6">
        <f t="shared" si="45"/>
        <v>0</v>
      </c>
      <c r="M410" s="3" t="str" cm="1">
        <f t="array" ref="M410">INDEX(Types!A:A,1+BIN2DEC(MID($B410,20,2)))</f>
        <v>ALU</v>
      </c>
      <c r="N410" s="3" t="str" cm="1">
        <f t="array" ref="N410">IF(M410="ALU",INDEX(ALUOps!A:A,1+BIN2DEC(MID($B410,22,5))),"")</f>
        <v>ADJ2</v>
      </c>
      <c r="O410" s="3" cm="1">
        <f t="array" ref="O410">IF(M410="ALU",INDEX(TMP!A:A,1+BIN2DEC(MID($B410,27,2))),"")</f>
        <v>2</v>
      </c>
      <c r="P410" s="6">
        <f t="shared" si="46"/>
        <v>1</v>
      </c>
      <c r="Q410" t="str">
        <f t="shared" si="47"/>
        <v/>
      </c>
      <c r="R410" t="str">
        <f t="shared" si="49"/>
        <v/>
      </c>
      <c r="S410" t="str" cm="1">
        <f t="array" ref="S410">IF(M410="Control",INDEX(IC!A:A,1+BIN2DEC(MID($B410,21,4))),"")</f>
        <v/>
      </c>
      <c r="T410" t="str" cm="1">
        <f t="array" ref="T410">IF(M410="Control",INDEX(EC!A:A,1+BIN2DEC(MID($B410,25,3))),"")</f>
        <v/>
      </c>
      <c r="U410" t="str" cm="1">
        <f t="array" ref="U410">IF(M410="Control",INDEX(SR!A:A,1+BIN2DEC(MID($B410,28,2))),"")</f>
        <v/>
      </c>
      <c r="AD410" s="1" t="s">
        <v>397</v>
      </c>
    </row>
    <row r="411" spans="1:30" x14ac:dyDescent="0.25">
      <c r="A411" s="4" t="str">
        <f t="shared" si="43"/>
        <v>199</v>
      </c>
      <c r="B411" s="2" t="s">
        <v>398</v>
      </c>
      <c r="C411" s="3"/>
      <c r="D411" s="3"/>
      <c r="E411" s="3"/>
      <c r="F411" s="27" t="str" cm="1">
        <f t="array" ref="F411">INDEX(Sources!A:A, 1 + BIN2DEC(LEFT($B411,5)))</f>
        <v>REG</v>
      </c>
      <c r="G411" s="27" t="str" cm="1">
        <f t="array" ref="G411">INDEX(Dest1!A:A,1+BIN2DEC(MID($B411,6,5)))</f>
        <v>LC</v>
      </c>
      <c r="H411" s="27" t="str" cm="1">
        <f t="array" ref="H411">INDEX(Source2!A:A,1+BIN2DEC(MID($B411,11,4)))</f>
        <v>13</v>
      </c>
      <c r="I411" s="23" t="str" cm="1">
        <f t="array" ref="I411">INDEX('D2'!A:A,1+BIN2DEC(MID($B411,16,2)))</f>
        <v>TMPB</v>
      </c>
      <c r="J411" s="6">
        <f t="shared" si="48"/>
        <v>0</v>
      </c>
      <c r="K411" s="6">
        <f t="shared" si="44"/>
        <v>0</v>
      </c>
      <c r="L411" s="6">
        <f t="shared" si="45"/>
        <v>0</v>
      </c>
      <c r="M411" s="3" t="str" cm="1">
        <f t="array" ref="M411">INDEX(Types!A:A,1+BIN2DEC(MID($B411,20,2)))</f>
        <v>Control</v>
      </c>
      <c r="N411" s="3" t="str" cm="1">
        <f t="array" ref="N411">IF(M411="ALU",INDEX(ALUOps!A:A,1+BIN2DEC(MID($B411,22,5))),"")</f>
        <v/>
      </c>
      <c r="O411" s="3" t="str" cm="1">
        <f t="array" ref="O411">IF(M411="ALU",INDEX(TMP!A:A,1+BIN2DEC(MID($B411,27,2))),"")</f>
        <v/>
      </c>
      <c r="P411" s="6" t="str">
        <f t="shared" si="46"/>
        <v/>
      </c>
      <c r="Q411" t="str">
        <f t="shared" si="47"/>
        <v/>
      </c>
      <c r="R411" t="str">
        <f t="shared" si="49"/>
        <v/>
      </c>
      <c r="S411" cm="1">
        <f t="array" ref="S411">IF(M411="Control",INDEX(IC!A:A,1+BIN2DEC(MID($B411,21,4))),"")</f>
        <v>8</v>
      </c>
      <c r="T411" cm="1">
        <f t="array" ref="T411">IF(M411="Control",INDEX(EC!A:A,1+BIN2DEC(MID($B411,25,3))),"")</f>
        <v>0</v>
      </c>
      <c r="U411" cm="1">
        <f t="array" ref="U411">IF(M411="Control",INDEX(SR!A:A,1+BIN2DEC(MID($B411,28,2))),"")</f>
        <v>0</v>
      </c>
    </row>
    <row r="412" spans="1:30" x14ac:dyDescent="0.25">
      <c r="A412" s="4" t="str">
        <f t="shared" si="43"/>
        <v>19A</v>
      </c>
      <c r="B412" s="2" t="s">
        <v>399</v>
      </c>
      <c r="C412" s="3"/>
      <c r="D412" s="3"/>
      <c r="E412" s="3"/>
      <c r="F412" s="27" t="str" cm="1">
        <f t="array" ref="F412">INDEX(Sources!A:A, 1 + BIN2DEC(LEFT($B412,5)))</f>
        <v>SIGMA</v>
      </c>
      <c r="G412" s="27" t="str" cm="1">
        <f t="array" ref="G412">INDEX(Dest1!A:A,1+BIN2DEC(MID($B412,6,5)))</f>
        <v>UNK17</v>
      </c>
      <c r="H412" s="27" t="str" cm="1">
        <f t="array" ref="H412">INDEX(Source2!A:A,1+BIN2DEC(MID($B412,11,4)))</f>
        <v>--</v>
      </c>
      <c r="I412" s="23" cm="1">
        <f t="array" ref="I412">INDEX('D2'!A:A,1+BIN2DEC(MID($B412,16,2)))</f>
        <v>0</v>
      </c>
      <c r="J412" s="6">
        <f t="shared" si="48"/>
        <v>0</v>
      </c>
      <c r="K412" s="6">
        <f t="shared" si="44"/>
        <v>0</v>
      </c>
      <c r="L412" s="6">
        <f t="shared" si="45"/>
        <v>0</v>
      </c>
      <c r="M412" s="3" t="str" cm="1">
        <f t="array" ref="M412">INDEX(Types!A:A,1+BIN2DEC(MID($B412,20,2)))</f>
        <v>ALU</v>
      </c>
      <c r="N412" s="3" cm="1">
        <f t="array" ref="N412">IF(M412="ALU",INDEX(ALUOps!A:A,1+BIN2DEC(MID($B412,22,5))),"")</f>
        <v>0</v>
      </c>
      <c r="O412" s="3" cm="1">
        <f t="array" ref="O412">IF(M412="ALU",INDEX(TMP!A:A,1+BIN2DEC(MID($B412,27,2))),"")</f>
        <v>2</v>
      </c>
      <c r="P412" s="6">
        <f t="shared" si="46"/>
        <v>1</v>
      </c>
      <c r="Q412" t="str">
        <f t="shared" si="47"/>
        <v/>
      </c>
      <c r="R412" t="str">
        <f t="shared" si="49"/>
        <v/>
      </c>
      <c r="S412" t="str" cm="1">
        <f t="array" ref="S412">IF(M412="Control",INDEX(IC!A:A,1+BIN2DEC(MID($B412,21,4))),"")</f>
        <v/>
      </c>
      <c r="T412" t="str" cm="1">
        <f t="array" ref="T412">IF(M412="Control",INDEX(EC!A:A,1+BIN2DEC(MID($B412,25,3))),"")</f>
        <v/>
      </c>
      <c r="U412" t="str" cm="1">
        <f t="array" ref="U412">IF(M412="Control",INDEX(SR!A:A,1+BIN2DEC(MID($B412,28,2))),"")</f>
        <v/>
      </c>
    </row>
    <row r="413" spans="1:30" x14ac:dyDescent="0.25">
      <c r="A413" s="4" t="str">
        <f t="shared" si="43"/>
        <v>19B</v>
      </c>
      <c r="B413" s="2" t="s">
        <v>400</v>
      </c>
      <c r="C413" s="3"/>
      <c r="D413" s="3"/>
      <c r="E413" s="3"/>
      <c r="F413" s="27" t="str" cm="1">
        <f t="array" ref="F413">INDEX(Sources!A:A, 1 + BIN2DEC(LEFT($B413,5)))</f>
        <v>UNK5</v>
      </c>
      <c r="G413" s="27" t="str" cm="1">
        <f t="array" ref="G413">INDEX(Dest1!A:A,1+BIN2DEC(MID($B413,6,5)))</f>
        <v>TMPA</v>
      </c>
      <c r="H413" s="27" t="str" cm="1">
        <f t="array" ref="H413">INDEX(Source2!A:A,1+BIN2DEC(MID($B413,11,4)))</f>
        <v>11</v>
      </c>
      <c r="I413" s="23" t="str" cm="1">
        <f t="array" ref="I413">INDEX('D2'!A:A,1+BIN2DEC(MID($B413,16,2)))</f>
        <v>TMPB</v>
      </c>
      <c r="J413" s="6">
        <f t="shared" si="48"/>
        <v>0</v>
      </c>
      <c r="K413" s="6">
        <f t="shared" si="44"/>
        <v>0</v>
      </c>
      <c r="L413" s="6">
        <f t="shared" si="45"/>
        <v>0</v>
      </c>
      <c r="M413" s="3" t="str" cm="1">
        <f t="array" ref="M413">INDEX(Types!A:A,1+BIN2DEC(MID($B413,20,2)))</f>
        <v>Jump</v>
      </c>
      <c r="N413" s="3" t="str" cm="1">
        <f t="array" ref="N413">IF(M413="ALU",INDEX(ALUOps!A:A,1+BIN2DEC(MID($B413,22,5))),"")</f>
        <v/>
      </c>
      <c r="O413" s="3" t="str" cm="1">
        <f t="array" ref="O413">IF(M413="ALU",INDEX(TMP!A:A,1+BIN2DEC(MID($B413,27,2))),"")</f>
        <v/>
      </c>
      <c r="P413" s="6" t="str">
        <f t="shared" si="46"/>
        <v/>
      </c>
      <c r="Q413">
        <f t="shared" si="47"/>
        <v>8</v>
      </c>
      <c r="R413">
        <f t="shared" si="49"/>
        <v>5</v>
      </c>
      <c r="S413" t="str" cm="1">
        <f t="array" ref="S413">IF(M413="Control",INDEX(IC!A:A,1+BIN2DEC(MID($B413,21,4))),"")</f>
        <v/>
      </c>
      <c r="T413" t="str" cm="1">
        <f t="array" ref="T413">IF(M413="Control",INDEX(EC!A:A,1+BIN2DEC(MID($B413,25,3))),"")</f>
        <v/>
      </c>
      <c r="U413" t="str" cm="1">
        <f t="array" ref="U413">IF(M413="Control",INDEX(SR!A:A,1+BIN2DEC(MID($B413,28,2))),"")</f>
        <v/>
      </c>
    </row>
    <row r="414" spans="1:30" x14ac:dyDescent="0.25">
      <c r="A414" s="4" t="str">
        <f t="shared" si="43"/>
        <v>19C</v>
      </c>
      <c r="B414" s="2" t="s">
        <v>401</v>
      </c>
      <c r="C414" s="2" t="s">
        <v>402</v>
      </c>
      <c r="D414" s="2" t="s">
        <v>934</v>
      </c>
      <c r="E414" s="2" t="s">
        <v>929</v>
      </c>
      <c r="F414" s="27" t="str" cm="1">
        <f t="array" ref="F414">INDEX(Sources!A:A, 1 + BIN2DEC(LEFT($B414,5)))</f>
        <v>REG</v>
      </c>
      <c r="G414" s="27" t="str" cm="1">
        <f t="array" ref="G414">INDEX(Dest1!A:A,1+BIN2DEC(MID($B414,6,5)))</f>
        <v>LC</v>
      </c>
      <c r="H414" s="27" t="str" cm="1">
        <f t="array" ref="H414">INDEX(Source2!A:A,1+BIN2DEC(MID($B414,11,4)))</f>
        <v>11</v>
      </c>
      <c r="I414" s="23" t="str" cm="1">
        <f t="array" ref="I414">INDEX('D2'!A:A,1+BIN2DEC(MID($B414,16,2)))</f>
        <v>TMPB</v>
      </c>
      <c r="J414" s="6">
        <f t="shared" si="48"/>
        <v>0</v>
      </c>
      <c r="K414" s="6">
        <f t="shared" si="44"/>
        <v>0</v>
      </c>
      <c r="L414" s="6">
        <f t="shared" si="45"/>
        <v>0</v>
      </c>
      <c r="M414" s="3" t="str" cm="1">
        <f t="array" ref="M414">INDEX(Types!A:A,1+BIN2DEC(MID($B414,20,2)))</f>
        <v>Jump</v>
      </c>
      <c r="N414" s="3" t="str" cm="1">
        <f t="array" ref="N414">IF(M414="ALU",INDEX(ALUOps!A:A,1+BIN2DEC(MID($B414,22,5))),"")</f>
        <v/>
      </c>
      <c r="O414" s="3" t="str" cm="1">
        <f t="array" ref="O414">IF(M414="ALU",INDEX(TMP!A:A,1+BIN2DEC(MID($B414,27,2))),"")</f>
        <v/>
      </c>
      <c r="P414" s="6" t="str">
        <f t="shared" si="46"/>
        <v/>
      </c>
      <c r="Q414">
        <f t="shared" si="47"/>
        <v>7</v>
      </c>
      <c r="R414">
        <f t="shared" si="49"/>
        <v>6</v>
      </c>
      <c r="S414" t="str" cm="1">
        <f t="array" ref="S414">IF(M414="Control",INDEX(IC!A:A,1+BIN2DEC(MID($B414,21,4))),"")</f>
        <v/>
      </c>
      <c r="T414" t="str" cm="1">
        <f t="array" ref="T414">IF(M414="Control",INDEX(EC!A:A,1+BIN2DEC(MID($B414,25,3))),"")</f>
        <v/>
      </c>
      <c r="U414" t="str" cm="1">
        <f t="array" ref="U414">IF(M414="Control",INDEX(SR!A:A,1+BIN2DEC(MID($B414,28,2))),"")</f>
        <v/>
      </c>
      <c r="AD414" s="1" t="s">
        <v>397</v>
      </c>
    </row>
    <row r="415" spans="1:30" x14ac:dyDescent="0.25">
      <c r="A415" s="4" t="str">
        <f t="shared" si="43"/>
        <v>19D</v>
      </c>
      <c r="B415" s="2" t="s">
        <v>385</v>
      </c>
      <c r="C415" s="3"/>
      <c r="D415" s="3"/>
      <c r="E415" s="3"/>
      <c r="F415" s="27" t="str" cm="1">
        <f t="array" ref="F415">INDEX(Sources!A:A, 1 + BIN2DEC(LEFT($B415,5)))</f>
        <v>AH</v>
      </c>
      <c r="G415" s="27" t="str" cm="1">
        <f t="array" ref="G415">INDEX(Dest1!A:A,1+BIN2DEC(MID($B415,6,5)))</f>
        <v>TMPA</v>
      </c>
      <c r="H415" s="27" t="str" cm="1">
        <f t="array" ref="H415">INDEX(Source2!A:A,1+BIN2DEC(MID($B415,11,4)))</f>
        <v>--</v>
      </c>
      <c r="I415" s="23" cm="1">
        <f t="array" ref="I415">INDEX('D2'!A:A,1+BIN2DEC(MID($B415,16,2)))</f>
        <v>0</v>
      </c>
      <c r="J415" s="6">
        <f t="shared" si="48"/>
        <v>0</v>
      </c>
      <c r="K415" s="6">
        <f t="shared" si="44"/>
        <v>0</v>
      </c>
      <c r="L415" s="6">
        <f t="shared" si="45"/>
        <v>0</v>
      </c>
      <c r="M415" s="3" t="str" cm="1">
        <f t="array" ref="M415">INDEX(Types!A:A,1+BIN2DEC(MID($B415,20,2)))</f>
        <v>Control</v>
      </c>
      <c r="N415" s="3" t="str" cm="1">
        <f t="array" ref="N415">IF(M415="ALU",INDEX(ALUOps!A:A,1+BIN2DEC(MID($B415,22,5))),"")</f>
        <v/>
      </c>
      <c r="O415" s="3" t="str" cm="1">
        <f t="array" ref="O415">IF(M415="ALU",INDEX(TMP!A:A,1+BIN2DEC(MID($B415,27,2))),"")</f>
        <v/>
      </c>
      <c r="P415" s="6" t="str">
        <f t="shared" si="46"/>
        <v/>
      </c>
      <c r="Q415" t="str">
        <f t="shared" si="47"/>
        <v/>
      </c>
      <c r="R415" t="str">
        <f t="shared" si="49"/>
        <v/>
      </c>
      <c r="S415" cm="1">
        <f t="array" ref="S415">IF(M415="Control",INDEX(IC!A:A,1+BIN2DEC(MID($B415,21,4))),"")</f>
        <v>0</v>
      </c>
      <c r="T415" cm="1">
        <f t="array" ref="T415">IF(M415="Control",INDEX(EC!A:A,1+BIN2DEC(MID($B415,25,3))),"")</f>
        <v>0</v>
      </c>
      <c r="U415" cm="1">
        <f t="array" ref="U415">IF(M415="Control",INDEX(SR!A:A,1+BIN2DEC(MID($B415,28,2))),"")</f>
        <v>0</v>
      </c>
    </row>
    <row r="416" spans="1:30" x14ac:dyDescent="0.25">
      <c r="A416" s="4" t="str">
        <f t="shared" si="43"/>
        <v>19E</v>
      </c>
      <c r="B416" s="2" t="s">
        <v>403</v>
      </c>
      <c r="C416" s="3"/>
      <c r="D416" s="3"/>
      <c r="E416" s="3"/>
      <c r="F416" s="27" t="str" cm="1">
        <f t="array" ref="F416">INDEX(Sources!A:A, 1 + BIN2DEC(LEFT($B416,5)))</f>
        <v>--</v>
      </c>
      <c r="G416" s="27" t="str" cm="1">
        <f t="array" ref="G416">INDEX(Dest1!A:A,1+BIN2DEC(MID($B416,6,5)))</f>
        <v>--</v>
      </c>
      <c r="H416" s="27" t="str" cm="1">
        <f t="array" ref="H416">INDEX(Source2!A:A,1+BIN2DEC(MID($B416,11,4)))</f>
        <v>--</v>
      </c>
      <c r="I416" s="23" cm="1">
        <f t="array" ref="I416">INDEX('D2'!A:A,1+BIN2DEC(MID($B416,16,2)))</f>
        <v>0</v>
      </c>
      <c r="J416" s="6">
        <f t="shared" si="48"/>
        <v>0</v>
      </c>
      <c r="K416" s="6">
        <f t="shared" si="44"/>
        <v>0</v>
      </c>
      <c r="L416" s="6">
        <f t="shared" si="45"/>
        <v>0</v>
      </c>
      <c r="M416" s="3" t="str" cm="1">
        <f t="array" ref="M416">INDEX(Types!A:A,1+BIN2DEC(MID($B416,20,2)))</f>
        <v>Control</v>
      </c>
      <c r="N416" s="3" t="str" cm="1">
        <f t="array" ref="N416">IF(M416="ALU",INDEX(ALUOps!A:A,1+BIN2DEC(MID($B416,22,5))),"")</f>
        <v/>
      </c>
      <c r="O416" s="3" t="str" cm="1">
        <f t="array" ref="O416">IF(M416="ALU",INDEX(TMP!A:A,1+BIN2DEC(MID($B416,27,2))),"")</f>
        <v/>
      </c>
      <c r="P416" s="6" t="str">
        <f t="shared" si="46"/>
        <v/>
      </c>
      <c r="Q416" t="str">
        <f t="shared" si="47"/>
        <v/>
      </c>
      <c r="R416" t="str">
        <f t="shared" si="49"/>
        <v/>
      </c>
      <c r="S416" cm="1">
        <f t="array" ref="S416">IF(M416="Control",INDEX(IC!A:A,1+BIN2DEC(MID($B416,21,4))),"")</f>
        <v>3</v>
      </c>
      <c r="T416" cm="1">
        <f t="array" ref="T416">IF(M416="Control",INDEX(EC!A:A,1+BIN2DEC(MID($B416,25,3))),"")</f>
        <v>0</v>
      </c>
      <c r="U416" cm="1">
        <f t="array" ref="U416">IF(M416="Control",INDEX(SR!A:A,1+BIN2DEC(MID($B416,28,2))),"")</f>
        <v>0</v>
      </c>
    </row>
    <row r="417" spans="1:30" s="9" customFormat="1" ht="15.75" thickBot="1" x14ac:dyDescent="0.3">
      <c r="A417" s="7" t="str">
        <f t="shared" si="43"/>
        <v>19F</v>
      </c>
      <c r="B417" s="8" t="s">
        <v>404</v>
      </c>
      <c r="C417" s="10"/>
      <c r="D417" s="10"/>
      <c r="E417" s="10"/>
      <c r="F417" s="30" t="str" cm="1">
        <f t="array" ref="F417">INDEX(Sources!A:A, 1 + BIN2DEC(LEFT($B417,5)))</f>
        <v>--</v>
      </c>
      <c r="G417" s="30" t="str" cm="1">
        <f t="array" ref="G417">INDEX(Dest1!A:A,1+BIN2DEC(MID($B417,6,5)))</f>
        <v>--</v>
      </c>
      <c r="H417" s="30" t="str" cm="1">
        <f t="array" ref="H417">INDEX(Source2!A:A,1+BIN2DEC(MID($B417,11,4)))</f>
        <v>--</v>
      </c>
      <c r="I417" s="26" cm="1">
        <f t="array" ref="I417">INDEX('D2'!A:A,1+BIN2DEC(MID($B417,16,2)))</f>
        <v>0</v>
      </c>
      <c r="J417" s="11">
        <f t="shared" si="48"/>
        <v>0</v>
      </c>
      <c r="K417" s="11">
        <f t="shared" si="44"/>
        <v>0</v>
      </c>
      <c r="L417" s="11">
        <f t="shared" si="45"/>
        <v>0</v>
      </c>
      <c r="M417" s="10" t="str" cm="1">
        <f t="array" ref="M417">INDEX(Types!A:A,1+BIN2DEC(MID($B417,20,2)))</f>
        <v>Control</v>
      </c>
      <c r="N417" s="10" t="str" cm="1">
        <f t="array" ref="N417">IF(M417="ALU",INDEX(ALUOps!A:A,1+BIN2DEC(MID($B417,22,5))),"")</f>
        <v/>
      </c>
      <c r="O417" s="10" t="str" cm="1">
        <f t="array" ref="O417">IF(M417="ALU",INDEX(TMP!A:A,1+BIN2DEC(MID($B417,27,2))),"")</f>
        <v/>
      </c>
      <c r="P417" s="11" t="str">
        <f t="shared" si="46"/>
        <v/>
      </c>
      <c r="Q417" s="9" t="str">
        <f t="shared" si="47"/>
        <v/>
      </c>
      <c r="R417" s="9" t="str">
        <f t="shared" si="49"/>
        <v/>
      </c>
      <c r="S417" s="9" cm="1">
        <f t="array" ref="S417">IF(M417="Control",INDEX(IC!A:A,1+BIN2DEC(MID($B417,21,4))),"")</f>
        <v>1</v>
      </c>
      <c r="T417" s="9" cm="1">
        <f t="array" ref="T417">IF(M417="Control",INDEX(EC!A:A,1+BIN2DEC(MID($B417,25,3))),"")</f>
        <v>4</v>
      </c>
      <c r="U417" s="9" cm="1">
        <f t="array" ref="U417">IF(M417="Control",INDEX(SR!A:A,1+BIN2DEC(MID($B417,28,2))),"")</f>
        <v>0</v>
      </c>
    </row>
    <row r="418" spans="1:30" x14ac:dyDescent="0.25">
      <c r="A418" s="4" t="str">
        <f t="shared" si="43"/>
        <v>1A0</v>
      </c>
      <c r="B418" s="2" t="s">
        <v>405</v>
      </c>
      <c r="C418" s="2" t="s">
        <v>406</v>
      </c>
      <c r="D418" s="2" t="s">
        <v>931</v>
      </c>
      <c r="E418" s="2" t="s">
        <v>462</v>
      </c>
      <c r="F418" s="27" t="str" cm="1">
        <f t="array" ref="F418">INDEX(Sources!A:A, 1 + BIN2DEC(LEFT($B418,5)))</f>
        <v>A</v>
      </c>
      <c r="G418" s="27" t="str" cm="1">
        <f t="array" ref="G418">INDEX(Dest1!A:A,1+BIN2DEC(MID($B418,6,5)))</f>
        <v>TMPB</v>
      </c>
      <c r="H418" s="27" t="str" cm="1">
        <f t="array" ref="H418">INDEX(Source2!A:A,1+BIN2DEC(MID($B418,11,4)))</f>
        <v>--</v>
      </c>
      <c r="I418" s="23" cm="1">
        <f t="array" ref="I418">INDEX('D2'!A:A,1+BIN2DEC(MID($B418,16,2)))</f>
        <v>0</v>
      </c>
      <c r="J418" s="6">
        <f t="shared" si="48"/>
        <v>0</v>
      </c>
      <c r="K418" s="6">
        <f t="shared" si="44"/>
        <v>0</v>
      </c>
      <c r="L418" s="6">
        <f t="shared" si="45"/>
        <v>0</v>
      </c>
      <c r="M418" s="3" t="str" cm="1">
        <f t="array" ref="M418">INDEX(Types!A:A,1+BIN2DEC(MID($B418,20,2)))</f>
        <v>ALU</v>
      </c>
      <c r="N418" s="3" cm="1">
        <f t="array" ref="N418">IF(M418="ALU",INDEX(ALUOps!A:A,1+BIN2DEC(MID($B418,22,5))),"")</f>
        <v>4</v>
      </c>
      <c r="O418" s="3" cm="1">
        <f t="array" ref="O418">IF(M418="ALU",INDEX(TMP!A:A,1+BIN2DEC(MID($B418,27,2))),"")</f>
        <v>3</v>
      </c>
      <c r="P418" s="6">
        <f t="shared" si="46"/>
        <v>1</v>
      </c>
      <c r="Q418" t="str">
        <f t="shared" si="47"/>
        <v/>
      </c>
      <c r="R418" t="str">
        <f t="shared" si="49"/>
        <v/>
      </c>
      <c r="S418" t="str" cm="1">
        <f t="array" ref="S418">IF(M418="Control",INDEX(IC!A:A,1+BIN2DEC(MID($B418,21,4))),"")</f>
        <v/>
      </c>
      <c r="T418" t="str" cm="1">
        <f t="array" ref="T418">IF(M418="Control",INDEX(EC!A:A,1+BIN2DEC(MID($B418,25,3))),"")</f>
        <v/>
      </c>
      <c r="U418" t="str" cm="1">
        <f t="array" ref="U418">IF(M418="Control",INDEX(SR!A:A,1+BIN2DEC(MID($B418,28,2))),"")</f>
        <v/>
      </c>
      <c r="AD418" s="1" t="s">
        <v>407</v>
      </c>
    </row>
    <row r="419" spans="1:30" x14ac:dyDescent="0.25">
      <c r="A419" s="4" t="str">
        <f t="shared" si="43"/>
        <v>1A1</v>
      </c>
      <c r="B419" s="2" t="s">
        <v>408</v>
      </c>
      <c r="C419" s="3"/>
      <c r="D419" s="3"/>
      <c r="E419" s="3"/>
      <c r="F419" s="27" t="str" cm="1">
        <f t="array" ref="F419">INDEX(Sources!A:A, 1 + BIN2DEC(LEFT($B419,5)))</f>
        <v>TMPA</v>
      </c>
      <c r="G419" s="27" t="str" cm="1">
        <f t="array" ref="G419">INDEX(Dest1!A:A,1+BIN2DEC(MID($B419,6,5)))</f>
        <v>OUT</v>
      </c>
      <c r="H419" s="27" t="str" cm="1">
        <f t="array" ref="H419">INDEX(Source2!A:A,1+BIN2DEC(MID($B419,11,4)))</f>
        <v>--</v>
      </c>
      <c r="I419" s="23" cm="1">
        <f t="array" ref="I419">INDEX('D2'!A:A,1+BIN2DEC(MID($B419,16,2)))</f>
        <v>0</v>
      </c>
      <c r="J419" s="6">
        <f t="shared" si="48"/>
        <v>0</v>
      </c>
      <c r="K419" s="6">
        <f t="shared" si="44"/>
        <v>0</v>
      </c>
      <c r="L419" s="6">
        <f t="shared" si="45"/>
        <v>0</v>
      </c>
      <c r="M419" s="3" t="str" cm="1">
        <f t="array" ref="M419">INDEX(Types!A:A,1+BIN2DEC(MID($B419,20,2)))</f>
        <v>Jump</v>
      </c>
      <c r="N419" s="3" t="str" cm="1">
        <f t="array" ref="N419">IF(M419="ALU",INDEX(ALUOps!A:A,1+BIN2DEC(MID($B419,22,5))),"")</f>
        <v/>
      </c>
      <c r="O419" s="3" t="str" cm="1">
        <f t="array" ref="O419">IF(M419="ALU",INDEX(TMP!A:A,1+BIN2DEC(MID($B419,27,2))),"")</f>
        <v/>
      </c>
      <c r="P419" s="6" t="str">
        <f t="shared" si="46"/>
        <v/>
      </c>
      <c r="Q419">
        <f t="shared" si="47"/>
        <v>4</v>
      </c>
      <c r="R419">
        <f t="shared" si="49"/>
        <v>6</v>
      </c>
      <c r="S419" t="str" cm="1">
        <f t="array" ref="S419">IF(M419="Control",INDEX(IC!A:A,1+BIN2DEC(MID($B419,21,4))),"")</f>
        <v/>
      </c>
      <c r="T419" t="str" cm="1">
        <f t="array" ref="T419">IF(M419="Control",INDEX(EC!A:A,1+BIN2DEC(MID($B419,25,3))),"")</f>
        <v/>
      </c>
      <c r="U419" t="str" cm="1">
        <f t="array" ref="U419">IF(M419="Control",INDEX(SR!A:A,1+BIN2DEC(MID($B419,28,2))),"")</f>
        <v/>
      </c>
    </row>
    <row r="420" spans="1:30" x14ac:dyDescent="0.25">
      <c r="A420" s="4" t="str">
        <f t="shared" si="43"/>
        <v>1A2</v>
      </c>
      <c r="B420" s="2" t="s">
        <v>409</v>
      </c>
      <c r="C420" s="3"/>
      <c r="D420" s="3"/>
      <c r="E420" s="3"/>
      <c r="F420" s="27" t="str" cm="1">
        <f t="array" ref="F420">INDEX(Sources!A:A, 1 + BIN2DEC(LEFT($B420,5)))</f>
        <v>SIGMA</v>
      </c>
      <c r="G420" s="27" t="str" cm="1">
        <f t="array" ref="G420">INDEX(Dest1!A:A,1+BIN2DEC(MID($B420,6,5)))</f>
        <v>TMPB</v>
      </c>
      <c r="H420" s="27" t="str" cm="1">
        <f t="array" ref="H420">INDEX(Source2!A:A,1+BIN2DEC(MID($B420,11,4)))</f>
        <v>--</v>
      </c>
      <c r="I420" s="23" cm="1">
        <f t="array" ref="I420">INDEX('D2'!A:A,1+BIN2DEC(MID($B420,16,2)))</f>
        <v>0</v>
      </c>
      <c r="J420" s="6">
        <f t="shared" si="48"/>
        <v>0</v>
      </c>
      <c r="K420" s="6">
        <f t="shared" si="44"/>
        <v>1</v>
      </c>
      <c r="L420" s="6">
        <f t="shared" si="45"/>
        <v>0</v>
      </c>
      <c r="M420" s="3" t="str" cm="1">
        <f t="array" ref="M420">INDEX(Types!A:A,1+BIN2DEC(MID($B420,20,2)))</f>
        <v>ALU</v>
      </c>
      <c r="N420" s="3" cm="1">
        <f t="array" ref="N420">IF(M420="ALU",INDEX(ALUOps!A:A,1+BIN2DEC(MID($B420,22,5))),"")</f>
        <v>4</v>
      </c>
      <c r="O420" s="3" cm="1">
        <f t="array" ref="O420">IF(M420="ALU",INDEX(TMP!A:A,1+BIN2DEC(MID($B420,27,2))),"")</f>
        <v>2</v>
      </c>
      <c r="P420" s="6">
        <f t="shared" si="46"/>
        <v>1</v>
      </c>
      <c r="Q420" t="str">
        <f t="shared" si="47"/>
        <v/>
      </c>
      <c r="R420" t="str">
        <f t="shared" si="49"/>
        <v/>
      </c>
      <c r="S420" t="str" cm="1">
        <f t="array" ref="S420">IF(M420="Control",INDEX(IC!A:A,1+BIN2DEC(MID($B420,21,4))),"")</f>
        <v/>
      </c>
      <c r="T420" t="str" cm="1">
        <f t="array" ref="T420">IF(M420="Control",INDEX(EC!A:A,1+BIN2DEC(MID($B420,25,3))),"")</f>
        <v/>
      </c>
      <c r="U420" t="str" cm="1">
        <f t="array" ref="U420">IF(M420="Control",INDEX(SR!A:A,1+BIN2DEC(MID($B420,28,2))),"")</f>
        <v/>
      </c>
    </row>
    <row r="421" spans="1:30" x14ac:dyDescent="0.25">
      <c r="A421" s="4" t="str">
        <f t="shared" si="43"/>
        <v>1A3</v>
      </c>
      <c r="B421" s="2" t="s">
        <v>410</v>
      </c>
      <c r="C421" s="3"/>
      <c r="D421" s="3"/>
      <c r="E421" s="3"/>
      <c r="F421" s="27" t="str" cm="1">
        <f t="array" ref="F421">INDEX(Sources!A:A, 1 + BIN2DEC(LEFT($B421,5)))</f>
        <v>--</v>
      </c>
      <c r="G421" s="27" t="str" cm="1">
        <f t="array" ref="G421">INDEX(Dest1!A:A,1+BIN2DEC(MID($B421,6,5)))</f>
        <v>--</v>
      </c>
      <c r="H421" s="27" t="str" cm="1">
        <f t="array" ref="H421">INDEX(Source2!A:A,1+BIN2DEC(MID($B421,11,4)))</f>
        <v>--</v>
      </c>
      <c r="I421" s="23" cm="1">
        <f t="array" ref="I421">INDEX('D2'!A:A,1+BIN2DEC(MID($B421,16,2)))</f>
        <v>0</v>
      </c>
      <c r="J421" s="6">
        <f t="shared" si="48"/>
        <v>0</v>
      </c>
      <c r="K421" s="6">
        <f t="shared" si="44"/>
        <v>0</v>
      </c>
      <c r="L421" s="6">
        <f t="shared" si="45"/>
        <v>0</v>
      </c>
      <c r="M421" s="3" t="str" cm="1">
        <f t="array" ref="M421">INDEX(Types!A:A,1+BIN2DEC(MID($B421,20,2)))</f>
        <v>Jump</v>
      </c>
      <c r="N421" s="3" t="str" cm="1">
        <f t="array" ref="N421">IF(M421="ALU",INDEX(ALUOps!A:A,1+BIN2DEC(MID($B421,22,5))),"")</f>
        <v/>
      </c>
      <c r="O421" s="3" t="str" cm="1">
        <f t="array" ref="O421">IF(M421="ALU",INDEX(TMP!A:A,1+BIN2DEC(MID($B421,27,2))),"")</f>
        <v/>
      </c>
      <c r="P421" s="6" t="str">
        <f t="shared" si="46"/>
        <v/>
      </c>
      <c r="Q421">
        <f t="shared" si="47"/>
        <v>14</v>
      </c>
      <c r="R421">
        <f t="shared" si="49"/>
        <v>5</v>
      </c>
      <c r="S421" t="str" cm="1">
        <f t="array" ref="S421">IF(M421="Control",INDEX(IC!A:A,1+BIN2DEC(MID($B421,21,4))),"")</f>
        <v/>
      </c>
      <c r="T421" t="str" cm="1">
        <f t="array" ref="T421">IF(M421="Control",INDEX(EC!A:A,1+BIN2DEC(MID($B421,25,3))),"")</f>
        <v/>
      </c>
      <c r="U421" t="str" cm="1">
        <f t="array" ref="U421">IF(M421="Control",INDEX(SR!A:A,1+BIN2DEC(MID($B421,28,2))),"")</f>
        <v/>
      </c>
    </row>
    <row r="422" spans="1:30" x14ac:dyDescent="0.25">
      <c r="A422" s="4" t="str">
        <f t="shared" si="43"/>
        <v>1A4</v>
      </c>
      <c r="B422" s="2" t="s">
        <v>411</v>
      </c>
      <c r="C422" s="2" t="s">
        <v>412</v>
      </c>
      <c r="D422" s="2" t="s">
        <v>931</v>
      </c>
      <c r="E422" s="2" t="s">
        <v>929</v>
      </c>
      <c r="F422" s="27" t="str" cm="1">
        <f t="array" ref="F422">INDEX(Sources!A:A, 1 + BIN2DEC(LEFT($B422,5)))</f>
        <v>--</v>
      </c>
      <c r="G422" s="27" t="str" cm="1">
        <f t="array" ref="G422">INDEX(Dest1!A:A,1+BIN2DEC(MID($B422,6,5)))</f>
        <v>--</v>
      </c>
      <c r="H422" s="27" t="str" cm="1">
        <f t="array" ref="H422">INDEX(Source2!A:A,1+BIN2DEC(MID($B422,11,4)))</f>
        <v>--</v>
      </c>
      <c r="I422" s="23" cm="1">
        <f t="array" ref="I422">INDEX('D2'!A:A,1+BIN2DEC(MID($B422,16,2)))</f>
        <v>0</v>
      </c>
      <c r="J422" s="6">
        <f t="shared" si="48"/>
        <v>0</v>
      </c>
      <c r="K422" s="6">
        <f t="shared" si="44"/>
        <v>0</v>
      </c>
      <c r="L422" s="6">
        <f t="shared" si="45"/>
        <v>0</v>
      </c>
      <c r="M422" s="3" t="str" cm="1">
        <f t="array" ref="M422">INDEX(Types!A:A,1+BIN2DEC(MID($B422,20,2)))</f>
        <v>ALU</v>
      </c>
      <c r="N422" s="3" cm="1">
        <f t="array" ref="N422">IF(M422="ALU",INDEX(ALUOps!A:A,1+BIN2DEC(MID($B422,22,5))),"")</f>
        <v>5</v>
      </c>
      <c r="O422" s="3" cm="1">
        <f t="array" ref="O422">IF(M422="ALU",INDEX(TMP!A:A,1+BIN2DEC(MID($B422,27,2))),"")</f>
        <v>2</v>
      </c>
      <c r="P422" s="6">
        <f t="shared" si="46"/>
        <v>1</v>
      </c>
      <c r="Q422" t="str">
        <f t="shared" si="47"/>
        <v/>
      </c>
      <c r="R422" t="str">
        <f t="shared" si="49"/>
        <v/>
      </c>
      <c r="S422" t="str" cm="1">
        <f t="array" ref="S422">IF(M422="Control",INDEX(IC!A:A,1+BIN2DEC(MID($B422,21,4))),"")</f>
        <v/>
      </c>
      <c r="T422" t="str" cm="1">
        <f t="array" ref="T422">IF(M422="Control",INDEX(EC!A:A,1+BIN2DEC(MID($B422,25,3))),"")</f>
        <v/>
      </c>
      <c r="U422" t="str" cm="1">
        <f t="array" ref="U422">IF(M422="Control",INDEX(SR!A:A,1+BIN2DEC(MID($B422,28,2))),"")</f>
        <v/>
      </c>
      <c r="AD422" s="1" t="s">
        <v>407</v>
      </c>
    </row>
    <row r="423" spans="1:30" x14ac:dyDescent="0.25">
      <c r="A423" s="4" t="str">
        <f t="shared" si="43"/>
        <v>1A5</v>
      </c>
      <c r="B423" s="2" t="s">
        <v>292</v>
      </c>
      <c r="C423" s="3"/>
      <c r="D423" s="3"/>
      <c r="E423" s="3"/>
      <c r="F423" s="27" t="str" cm="1">
        <f t="array" ref="F423">INDEX(Sources!A:A, 1 + BIN2DEC(LEFT($B423,5)))</f>
        <v>SIGMA</v>
      </c>
      <c r="G423" s="27" t="str" cm="1">
        <f t="array" ref="G423">INDEX(Dest1!A:A,1+BIN2DEC(MID($B423,6,5)))</f>
        <v>TMPA</v>
      </c>
      <c r="H423" s="27" t="str" cm="1">
        <f t="array" ref="H423">INDEX(Source2!A:A,1+BIN2DEC(MID($B423,11,4)))</f>
        <v>--</v>
      </c>
      <c r="I423" s="23" cm="1">
        <f t="array" ref="I423">INDEX('D2'!A:A,1+BIN2DEC(MID($B423,16,2)))</f>
        <v>0</v>
      </c>
      <c r="J423" s="6">
        <f t="shared" si="48"/>
        <v>0</v>
      </c>
      <c r="K423" s="6">
        <f t="shared" si="44"/>
        <v>0</v>
      </c>
      <c r="L423" s="6">
        <f t="shared" si="45"/>
        <v>0</v>
      </c>
      <c r="M423" s="3" t="str" cm="1">
        <f t="array" ref="M423">INDEX(Types!A:A,1+BIN2DEC(MID($B423,20,2)))</f>
        <v>Control</v>
      </c>
      <c r="N423" s="3" t="str" cm="1">
        <f t="array" ref="N423">IF(M423="ALU",INDEX(ALUOps!A:A,1+BIN2DEC(MID($B423,22,5))),"")</f>
        <v/>
      </c>
      <c r="O423" s="3" t="str" cm="1">
        <f t="array" ref="O423">IF(M423="ALU",INDEX(TMP!A:A,1+BIN2DEC(MID($B423,27,2))),"")</f>
        <v/>
      </c>
      <c r="P423" s="6" t="str">
        <f t="shared" si="46"/>
        <v/>
      </c>
      <c r="Q423" t="str">
        <f t="shared" si="47"/>
        <v/>
      </c>
      <c r="R423" t="str">
        <f t="shared" si="49"/>
        <v/>
      </c>
      <c r="S423" cm="1">
        <f t="array" ref="S423">IF(M423="Control",INDEX(IC!A:A,1+BIN2DEC(MID($B423,21,4))),"")</f>
        <v>0</v>
      </c>
      <c r="T423" cm="1">
        <f t="array" ref="T423">IF(M423="Control",INDEX(EC!A:A,1+BIN2DEC(MID($B423,25,3))),"")</f>
        <v>0</v>
      </c>
      <c r="U423" cm="1">
        <f t="array" ref="U423">IF(M423="Control",INDEX(SR!A:A,1+BIN2DEC(MID($B423,28,2))),"")</f>
        <v>0</v>
      </c>
    </row>
    <row r="424" spans="1:30" x14ac:dyDescent="0.25">
      <c r="A424" s="4" t="str">
        <f t="shared" si="43"/>
        <v>1A6</v>
      </c>
      <c r="B424" s="2" t="s">
        <v>413</v>
      </c>
      <c r="C424" s="3"/>
      <c r="D424" s="3"/>
      <c r="E424" s="3"/>
      <c r="F424" s="27" t="str" cm="1">
        <f t="array" ref="F424">INDEX(Sources!A:A, 1 + BIN2DEC(LEFT($B424,5)))</f>
        <v>--</v>
      </c>
      <c r="G424" s="27" t="str" cm="1">
        <f t="array" ref="G424">INDEX(Dest1!A:A,1+BIN2DEC(MID($B424,6,5)))</f>
        <v>--</v>
      </c>
      <c r="H424" s="27" t="str" cm="1">
        <f t="array" ref="H424">INDEX(Source2!A:A,1+BIN2DEC(MID($B424,11,4)))</f>
        <v>--</v>
      </c>
      <c r="I424" s="23" cm="1">
        <f t="array" ref="I424">INDEX('D2'!A:A,1+BIN2DEC(MID($B424,16,2)))</f>
        <v>0</v>
      </c>
      <c r="J424" s="6">
        <f t="shared" si="48"/>
        <v>0</v>
      </c>
      <c r="K424" s="6">
        <f t="shared" si="44"/>
        <v>0</v>
      </c>
      <c r="L424" s="6">
        <f t="shared" si="45"/>
        <v>0</v>
      </c>
      <c r="M424" s="3" t="str" cm="1">
        <f t="array" ref="M424">INDEX(Types!A:A,1+BIN2DEC(MID($B424,20,2)))</f>
        <v>ALU</v>
      </c>
      <c r="N424" s="3" cm="1">
        <f t="array" ref="N424">IF(M424="ALU",INDEX(ALUOps!A:A,1+BIN2DEC(MID($B424,22,5))),"")</f>
        <v>26</v>
      </c>
      <c r="O424" s="3" cm="1">
        <f t="array" ref="O424">IF(M424="ALU",INDEX(TMP!A:A,1+BIN2DEC(MID($B424,27,2))),"")</f>
        <v>1</v>
      </c>
      <c r="P424" s="6">
        <f t="shared" si="46"/>
        <v>1</v>
      </c>
      <c r="Q424" t="str">
        <f t="shared" si="47"/>
        <v/>
      </c>
      <c r="R424" t="str">
        <f t="shared" si="49"/>
        <v/>
      </c>
      <c r="S424" t="str" cm="1">
        <f t="array" ref="S424">IF(M424="Control",INDEX(IC!A:A,1+BIN2DEC(MID($B424,21,4))),"")</f>
        <v/>
      </c>
      <c r="T424" t="str" cm="1">
        <f t="array" ref="T424">IF(M424="Control",INDEX(EC!A:A,1+BIN2DEC(MID($B424,25,3))),"")</f>
        <v/>
      </c>
      <c r="U424" t="str" cm="1">
        <f t="array" ref="U424">IF(M424="Control",INDEX(SR!A:A,1+BIN2DEC(MID($B424,28,2))),"")</f>
        <v/>
      </c>
    </row>
    <row r="425" spans="1:30" s="9" customFormat="1" ht="15.75" thickBot="1" x14ac:dyDescent="0.3">
      <c r="A425" s="7" t="str">
        <f t="shared" si="43"/>
        <v>1A7</v>
      </c>
      <c r="B425" s="8" t="s">
        <v>414</v>
      </c>
      <c r="C425" s="10"/>
      <c r="D425" s="10"/>
      <c r="E425" s="10"/>
      <c r="F425" s="30" t="str" cm="1">
        <f t="array" ref="F425">INDEX(Sources!A:A, 1 + BIN2DEC(LEFT($B425,5)))</f>
        <v>SIGMA</v>
      </c>
      <c r="G425" s="30" t="str" cm="1">
        <f t="array" ref="G425">INDEX(Dest1!A:A,1+BIN2DEC(MID($B425,6,5)))</f>
        <v>UNK24</v>
      </c>
      <c r="H425" s="30" t="str" cm="1">
        <f t="array" ref="H425">INDEX(Source2!A:A,1+BIN2DEC(MID($B425,11,4)))</f>
        <v>--</v>
      </c>
      <c r="I425" s="26" cm="1">
        <f t="array" ref="I425">INDEX('D2'!A:A,1+BIN2DEC(MID($B425,16,2)))</f>
        <v>0</v>
      </c>
      <c r="J425" s="11">
        <f t="shared" si="48"/>
        <v>0</v>
      </c>
      <c r="K425" s="11">
        <f t="shared" si="44"/>
        <v>1</v>
      </c>
      <c r="L425" s="11">
        <f t="shared" si="45"/>
        <v>0</v>
      </c>
      <c r="M425" s="10" t="str" cm="1">
        <f t="array" ref="M425">INDEX(Types!A:A,1+BIN2DEC(MID($B425,20,2)))</f>
        <v>Control</v>
      </c>
      <c r="N425" s="10" t="str" cm="1">
        <f t="array" ref="N425">IF(M425="ALU",INDEX(ALUOps!A:A,1+BIN2DEC(MID($B425,22,5))),"")</f>
        <v/>
      </c>
      <c r="O425" s="10" t="str" cm="1">
        <f t="array" ref="O425">IF(M425="ALU",INDEX(TMP!A:A,1+BIN2DEC(MID($B425,27,2))),"")</f>
        <v/>
      </c>
      <c r="P425" s="11" t="str">
        <f t="shared" si="46"/>
        <v/>
      </c>
      <c r="Q425" s="9" t="str">
        <f t="shared" si="47"/>
        <v/>
      </c>
      <c r="R425" s="9" t="str">
        <f t="shared" si="49"/>
        <v/>
      </c>
      <c r="S425" s="9" cm="1">
        <f t="array" ref="S425">IF(M425="Control",INDEX(IC!A:A,1+BIN2DEC(MID($B425,21,4))),"")</f>
        <v>1</v>
      </c>
      <c r="T425" s="9" cm="1">
        <f t="array" ref="T425">IF(M425="Control",INDEX(EC!A:A,1+BIN2DEC(MID($B425,25,3))),"")</f>
        <v>3</v>
      </c>
      <c r="U425" s="9" cm="1">
        <f t="array" ref="U425">IF(M425="Control",INDEX(SR!A:A,1+BIN2DEC(MID($B425,28,2))),"")</f>
        <v>1</v>
      </c>
    </row>
    <row r="426" spans="1:30" x14ac:dyDescent="0.25">
      <c r="A426" s="4" t="str">
        <f t="shared" si="43"/>
        <v>1A8</v>
      </c>
      <c r="B426" s="2" t="s">
        <v>415</v>
      </c>
      <c r="C426" s="2" t="s">
        <v>416</v>
      </c>
      <c r="D426" s="2" t="s">
        <v>931</v>
      </c>
      <c r="E426" s="2" t="s">
        <v>462</v>
      </c>
      <c r="F426" s="27" t="str" cm="1">
        <f t="array" ref="F426">INDEX(Sources!A:A, 1 + BIN2DEC(LEFT($B426,5)))</f>
        <v>--</v>
      </c>
      <c r="G426" s="27" t="str" cm="1">
        <f t="array" ref="G426">INDEX(Dest1!A:A,1+BIN2DEC(MID($B426,6,5)))</f>
        <v>--</v>
      </c>
      <c r="H426" s="27" t="str" cm="1">
        <f t="array" ref="H426">INDEX(Source2!A:A,1+BIN2DEC(MID($B426,11,4)))</f>
        <v>--</v>
      </c>
      <c r="I426" s="23" cm="1">
        <f t="array" ref="I426">INDEX('D2'!A:A,1+BIN2DEC(MID($B426,16,2)))</f>
        <v>0</v>
      </c>
      <c r="J426" s="6">
        <f t="shared" si="48"/>
        <v>0</v>
      </c>
      <c r="K426" s="6">
        <f t="shared" si="44"/>
        <v>0</v>
      </c>
      <c r="L426" s="6">
        <f t="shared" si="45"/>
        <v>0</v>
      </c>
      <c r="M426" s="3" t="str" cm="1">
        <f t="array" ref="M426">INDEX(Types!A:A,1+BIN2DEC(MID($B426,20,2)))</f>
        <v>Jump</v>
      </c>
      <c r="N426" s="3" t="str" cm="1">
        <f t="array" ref="N426">IF(M426="ALU",INDEX(ALUOps!A:A,1+BIN2DEC(MID($B426,22,5))),"")</f>
        <v/>
      </c>
      <c r="O426" s="3" t="str" cm="1">
        <f t="array" ref="O426">IF(M426="ALU",INDEX(TMP!A:A,1+BIN2DEC(MID($B426,27,2))),"")</f>
        <v/>
      </c>
      <c r="P426" s="6" t="str">
        <f t="shared" si="46"/>
        <v/>
      </c>
      <c r="Q426">
        <f t="shared" si="47"/>
        <v>15</v>
      </c>
      <c r="R426">
        <f t="shared" si="49"/>
        <v>2</v>
      </c>
      <c r="S426" t="str" cm="1">
        <f t="array" ref="S426">IF(M426="Control",INDEX(IC!A:A,1+BIN2DEC(MID($B426,21,4))),"")</f>
        <v/>
      </c>
      <c r="T426" t="str" cm="1">
        <f t="array" ref="T426">IF(M426="Control",INDEX(EC!A:A,1+BIN2DEC(MID($B426,25,3))),"")</f>
        <v/>
      </c>
      <c r="U426" t="str" cm="1">
        <f t="array" ref="U426">IF(M426="Control",INDEX(SR!A:A,1+BIN2DEC(MID($B426,28,2))),"")</f>
        <v/>
      </c>
      <c r="AD426" s="1" t="s">
        <v>417</v>
      </c>
    </row>
    <row r="427" spans="1:30" x14ac:dyDescent="0.25">
      <c r="A427" s="4" t="str">
        <f t="shared" si="43"/>
        <v>1A9</v>
      </c>
      <c r="B427" s="2" t="s">
        <v>393</v>
      </c>
      <c r="C427" s="3"/>
      <c r="D427" s="3"/>
      <c r="E427" s="3"/>
      <c r="F427" s="27" t="str" cm="1">
        <f t="array" ref="F427">INDEX(Sources!A:A, 1 + BIN2DEC(LEFT($B427,5)))</f>
        <v>UNK22</v>
      </c>
      <c r="G427" s="27" t="str" cm="1">
        <f t="array" ref="G427">INDEX(Dest1!A:A,1+BIN2DEC(MID($B427,6,5)))</f>
        <v>UNK10</v>
      </c>
      <c r="H427" s="27" t="str" cm="1">
        <f t="array" ref="H427">INDEX(Source2!A:A,1+BIN2DEC(MID($B427,11,4)))</f>
        <v>--</v>
      </c>
      <c r="I427" s="23" cm="1">
        <f t="array" ref="I427">INDEX('D2'!A:A,1+BIN2DEC(MID($B427,16,2)))</f>
        <v>0</v>
      </c>
      <c r="J427" s="6">
        <f t="shared" si="48"/>
        <v>0</v>
      </c>
      <c r="K427" s="6">
        <f t="shared" si="44"/>
        <v>0</v>
      </c>
      <c r="L427" s="6">
        <f t="shared" si="45"/>
        <v>0</v>
      </c>
      <c r="M427" s="3" t="str" cm="1">
        <f t="array" ref="M427">INDEX(Types!A:A,1+BIN2DEC(MID($B427,20,2)))</f>
        <v>Control</v>
      </c>
      <c r="N427" s="3" t="str" cm="1">
        <f t="array" ref="N427">IF(M427="ALU",INDEX(ALUOps!A:A,1+BIN2DEC(MID($B427,22,5))),"")</f>
        <v/>
      </c>
      <c r="O427" s="3" t="str" cm="1">
        <f t="array" ref="O427">IF(M427="ALU",INDEX(TMP!A:A,1+BIN2DEC(MID($B427,27,2))),"")</f>
        <v/>
      </c>
      <c r="P427" s="6" t="str">
        <f t="shared" si="46"/>
        <v/>
      </c>
      <c r="Q427" t="str">
        <f t="shared" si="47"/>
        <v/>
      </c>
      <c r="R427" t="str">
        <f t="shared" si="49"/>
        <v/>
      </c>
      <c r="S427" cm="1">
        <f t="array" ref="S427">IF(M427="Control",INDEX(IC!A:A,1+BIN2DEC(MID($B427,21,4))),"")</f>
        <v>1</v>
      </c>
      <c r="T427" cm="1">
        <f t="array" ref="T427">IF(M427="Control",INDEX(EC!A:A,1+BIN2DEC(MID($B427,25,3))),"")</f>
        <v>7</v>
      </c>
      <c r="U427" cm="1">
        <f t="array" ref="U427">IF(M427="Control",INDEX(SR!A:A,1+BIN2DEC(MID($B427,28,2))),"")</f>
        <v>1</v>
      </c>
    </row>
    <row r="428" spans="1:30" x14ac:dyDescent="0.25">
      <c r="A428" s="4" t="str">
        <f t="shared" si="43"/>
        <v>1AA</v>
      </c>
      <c r="B428" s="2" t="s">
        <v>283</v>
      </c>
      <c r="C428" s="3"/>
      <c r="D428" s="3"/>
      <c r="E428" s="3"/>
      <c r="F428" s="27" t="str" cm="1">
        <f t="array" ref="F428">INDEX(Sources!A:A, 1 + BIN2DEC(LEFT($B428,5)))</f>
        <v>SIGMA</v>
      </c>
      <c r="G428" s="27" t="str" cm="1">
        <f t="array" ref="G428">INDEX(Dest1!A:A,1+BIN2DEC(MID($B428,6,5)))</f>
        <v>TMPA</v>
      </c>
      <c r="H428" s="27" t="str" cm="1">
        <f t="array" ref="H428">INDEX(Source2!A:A,1+BIN2DEC(MID($B428,11,4)))</f>
        <v>--</v>
      </c>
      <c r="I428" s="23" cm="1">
        <f t="array" ref="I428">INDEX('D2'!A:A,1+BIN2DEC(MID($B428,16,2)))</f>
        <v>0</v>
      </c>
      <c r="J428" s="6">
        <f t="shared" si="48"/>
        <v>0</v>
      </c>
      <c r="K428" s="6">
        <f t="shared" si="44"/>
        <v>0</v>
      </c>
      <c r="L428" s="6">
        <f t="shared" si="45"/>
        <v>0</v>
      </c>
      <c r="M428" s="3" t="str" cm="1">
        <f t="array" ref="M428">INDEX(Types!A:A,1+BIN2DEC(MID($B428,20,2)))</f>
        <v>ALU</v>
      </c>
      <c r="N428" s="3" cm="1">
        <f t="array" ref="N428">IF(M428="ALU",INDEX(ALUOps!A:A,1+BIN2DEC(MID($B428,22,5))),"")</f>
        <v>13</v>
      </c>
      <c r="O428" s="3" cm="1">
        <f t="array" ref="O428">IF(M428="ALU",INDEX(TMP!A:A,1+BIN2DEC(MID($B428,27,2))),"")</f>
        <v>1</v>
      </c>
      <c r="P428" s="6">
        <f t="shared" si="46"/>
        <v>0</v>
      </c>
      <c r="Q428" t="str">
        <f t="shared" si="47"/>
        <v/>
      </c>
      <c r="R428" t="str">
        <f t="shared" si="49"/>
        <v/>
      </c>
      <c r="S428" t="str" cm="1">
        <f t="array" ref="S428">IF(M428="Control",INDEX(IC!A:A,1+BIN2DEC(MID($B428,21,4))),"")</f>
        <v/>
      </c>
      <c r="T428" t="str" cm="1">
        <f t="array" ref="T428">IF(M428="Control",INDEX(EC!A:A,1+BIN2DEC(MID($B428,25,3))),"")</f>
        <v/>
      </c>
      <c r="U428" t="str" cm="1">
        <f t="array" ref="U428">IF(M428="Control",INDEX(SR!A:A,1+BIN2DEC(MID($B428,28,2))),"")</f>
        <v/>
      </c>
    </row>
    <row r="429" spans="1:30" x14ac:dyDescent="0.25">
      <c r="A429" s="4" t="str">
        <f t="shared" si="43"/>
        <v>1AB</v>
      </c>
      <c r="B429" s="2" t="s">
        <v>284</v>
      </c>
      <c r="C429" s="3"/>
      <c r="D429" s="3"/>
      <c r="E429" s="3"/>
      <c r="F429" s="27" t="str" cm="1">
        <f t="array" ref="F429">INDEX(Sources!A:A, 1 + BIN2DEC(LEFT($B429,5)))</f>
        <v>SIGMA</v>
      </c>
      <c r="G429" s="27" t="str" cm="1">
        <f t="array" ref="G429">INDEX(Dest1!A:A,1+BIN2DEC(MID($B429,6,5)))</f>
        <v>UNK24</v>
      </c>
      <c r="H429" s="27" t="str" cm="1">
        <f t="array" ref="H429">INDEX(Source2!A:A,1+BIN2DEC(MID($B429,11,4)))</f>
        <v>11</v>
      </c>
      <c r="I429" s="23" cm="1">
        <f t="array" ref="I429">INDEX('D2'!A:A,1+BIN2DEC(MID($B429,16,2)))</f>
        <v>0</v>
      </c>
      <c r="J429" s="6">
        <f t="shared" si="48"/>
        <v>0</v>
      </c>
      <c r="K429" s="6">
        <f t="shared" si="44"/>
        <v>0</v>
      </c>
      <c r="L429" s="6">
        <f t="shared" si="45"/>
        <v>0</v>
      </c>
      <c r="M429" s="3" t="str" cm="1">
        <f t="array" ref="M429">INDEX(Types!A:A,1+BIN2DEC(MID($B429,20,2)))</f>
        <v>ALU</v>
      </c>
      <c r="N429" s="3" cm="1">
        <f t="array" ref="N429">IF(M429="ALU",INDEX(ALUOps!A:A,1+BIN2DEC(MID($B429,22,5))),"")</f>
        <v>13</v>
      </c>
      <c r="O429" s="3" cm="1">
        <f t="array" ref="O429">IF(M429="ALU",INDEX(TMP!A:A,1+BIN2DEC(MID($B429,27,2))),"")</f>
        <v>1</v>
      </c>
      <c r="P429" s="6">
        <f t="shared" si="46"/>
        <v>1</v>
      </c>
      <c r="Q429" t="str">
        <f t="shared" si="47"/>
        <v/>
      </c>
      <c r="R429" t="str">
        <f t="shared" si="49"/>
        <v/>
      </c>
      <c r="S429" t="str" cm="1">
        <f t="array" ref="S429">IF(M429="Control",INDEX(IC!A:A,1+BIN2DEC(MID($B429,21,4))),"")</f>
        <v/>
      </c>
      <c r="T429" t="str" cm="1">
        <f t="array" ref="T429">IF(M429="Control",INDEX(EC!A:A,1+BIN2DEC(MID($B429,25,3))),"")</f>
        <v/>
      </c>
      <c r="U429" t="str" cm="1">
        <f t="array" ref="U429">IF(M429="Control",INDEX(SR!A:A,1+BIN2DEC(MID($B429,28,2))),"")</f>
        <v/>
      </c>
    </row>
    <row r="430" spans="1:30" x14ac:dyDescent="0.25">
      <c r="A430" s="4" t="str">
        <f t="shared" si="43"/>
        <v>1AC</v>
      </c>
      <c r="B430" s="2" t="s">
        <v>418</v>
      </c>
      <c r="C430" s="2" t="s">
        <v>419</v>
      </c>
      <c r="D430" s="2" t="s">
        <v>931</v>
      </c>
      <c r="E430" s="2" t="s">
        <v>929</v>
      </c>
      <c r="F430" s="27" t="str" cm="1">
        <f t="array" ref="F430">INDEX(Sources!A:A, 1 + BIN2DEC(LEFT($B430,5)))</f>
        <v>TMPA</v>
      </c>
      <c r="G430" s="27" t="str" cm="1">
        <f t="array" ref="G430">INDEX(Dest1!A:A,1+BIN2DEC(MID($B430,6,5)))</f>
        <v>UNK17</v>
      </c>
      <c r="H430" s="27" t="str" cm="1">
        <f t="array" ref="H430">INDEX(Source2!A:A,1+BIN2DEC(MID($B430,11,4)))</f>
        <v>--</v>
      </c>
      <c r="I430" s="23" cm="1">
        <f t="array" ref="I430">INDEX('D2'!A:A,1+BIN2DEC(MID($B430,16,2)))</f>
        <v>0</v>
      </c>
      <c r="J430" s="6">
        <f t="shared" si="48"/>
        <v>0</v>
      </c>
      <c r="K430" s="6">
        <f t="shared" si="44"/>
        <v>0</v>
      </c>
      <c r="L430" s="6">
        <f t="shared" si="45"/>
        <v>0</v>
      </c>
      <c r="M430" s="3" t="str" cm="1">
        <f t="array" ref="M430">INDEX(Types!A:A,1+BIN2DEC(MID($B430,20,2)))</f>
        <v>ALU</v>
      </c>
      <c r="N430" s="3" cm="1">
        <f t="array" ref="N430">IF(M430="ALU",INDEX(ALUOps!A:A,1+BIN2DEC(MID($B430,22,5))),"")</f>
        <v>0</v>
      </c>
      <c r="O430" s="3" cm="1">
        <f t="array" ref="O430">IF(M430="ALU",INDEX(TMP!A:A,1+BIN2DEC(MID($B430,27,2))),"")</f>
        <v>3</v>
      </c>
      <c r="P430" s="6">
        <f t="shared" si="46"/>
        <v>1</v>
      </c>
      <c r="Q430" t="str">
        <f t="shared" si="47"/>
        <v/>
      </c>
      <c r="R430" t="str">
        <f t="shared" si="49"/>
        <v/>
      </c>
      <c r="S430" t="str" cm="1">
        <f t="array" ref="S430">IF(M430="Control",INDEX(IC!A:A,1+BIN2DEC(MID($B430,21,4))),"")</f>
        <v/>
      </c>
      <c r="T430" t="str" cm="1">
        <f t="array" ref="T430">IF(M430="Control",INDEX(EC!A:A,1+BIN2DEC(MID($B430,25,3))),"")</f>
        <v/>
      </c>
      <c r="U430" t="str" cm="1">
        <f t="array" ref="U430">IF(M430="Control",INDEX(SR!A:A,1+BIN2DEC(MID($B430,28,2))),"")</f>
        <v/>
      </c>
      <c r="AD430" s="1" t="s">
        <v>417</v>
      </c>
    </row>
    <row r="431" spans="1:30" x14ac:dyDescent="0.25">
      <c r="A431" s="4" t="str">
        <f t="shared" si="43"/>
        <v>1AD</v>
      </c>
      <c r="B431" s="2" t="s">
        <v>420</v>
      </c>
      <c r="C431" s="3"/>
      <c r="D431" s="3"/>
      <c r="E431" s="3"/>
      <c r="F431" s="27" t="str" cm="1">
        <f t="array" ref="F431">INDEX(Sources!A:A, 1 + BIN2DEC(LEFT($B431,5)))</f>
        <v>OUT</v>
      </c>
      <c r="G431" s="27" t="str" cm="1">
        <f t="array" ref="G431">INDEX(Dest1!A:A,1+BIN2DEC(MID($B431,6,5)))</f>
        <v>TMPA</v>
      </c>
      <c r="H431" s="27" t="str" cm="1">
        <f t="array" ref="H431">INDEX(Source2!A:A,1+BIN2DEC(MID($B431,11,4)))</f>
        <v>11</v>
      </c>
      <c r="I431" s="23" cm="1">
        <f t="array" ref="I431">INDEX('D2'!A:A,1+BIN2DEC(MID($B431,16,2)))</f>
        <v>0</v>
      </c>
      <c r="J431" s="6">
        <f t="shared" si="48"/>
        <v>0</v>
      </c>
      <c r="K431" s="6">
        <f t="shared" si="44"/>
        <v>1</v>
      </c>
      <c r="L431" s="6">
        <f t="shared" si="45"/>
        <v>0</v>
      </c>
      <c r="M431" s="3" t="str" cm="1">
        <f t="array" ref="M431">INDEX(Types!A:A,1+BIN2DEC(MID($B431,20,2)))</f>
        <v>ALU</v>
      </c>
      <c r="N431" s="3" cm="1">
        <f t="array" ref="N431">IF(M431="ALU",INDEX(ALUOps!A:A,1+BIN2DEC(MID($B431,22,5))),"")</f>
        <v>4</v>
      </c>
      <c r="O431" s="3" cm="1">
        <f t="array" ref="O431">IF(M431="ALU",INDEX(TMP!A:A,1+BIN2DEC(MID($B431,27,2))),"")</f>
        <v>3</v>
      </c>
      <c r="P431" s="6">
        <f t="shared" si="46"/>
        <v>1</v>
      </c>
      <c r="Q431" t="str">
        <f t="shared" si="47"/>
        <v/>
      </c>
      <c r="R431" t="str">
        <f t="shared" si="49"/>
        <v/>
      </c>
      <c r="S431" t="str" cm="1">
        <f t="array" ref="S431">IF(M431="Control",INDEX(IC!A:A,1+BIN2DEC(MID($B431,21,4))),"")</f>
        <v/>
      </c>
      <c r="T431" t="str" cm="1">
        <f t="array" ref="T431">IF(M431="Control",INDEX(EC!A:A,1+BIN2DEC(MID($B431,25,3))),"")</f>
        <v/>
      </c>
      <c r="U431" t="str" cm="1">
        <f t="array" ref="U431">IF(M431="Control",INDEX(SR!A:A,1+BIN2DEC(MID($B431,28,2))),"")</f>
        <v/>
      </c>
    </row>
    <row r="432" spans="1:30" x14ac:dyDescent="0.25">
      <c r="A432" s="4" t="str">
        <f t="shared" si="43"/>
        <v>1AE</v>
      </c>
      <c r="B432" s="2" t="s">
        <v>421</v>
      </c>
      <c r="C432" s="3"/>
      <c r="D432" s="3"/>
      <c r="E432" s="3"/>
      <c r="F432" s="27" t="str" cm="1">
        <f t="array" ref="F432">INDEX(Sources!A:A, 1 + BIN2DEC(LEFT($B432,5)))</f>
        <v>--</v>
      </c>
      <c r="G432" s="27" t="str" cm="1">
        <f t="array" ref="G432">INDEX(Dest1!A:A,1+BIN2DEC(MID($B432,6,5)))</f>
        <v>--</v>
      </c>
      <c r="H432" s="27" t="str" cm="1">
        <f t="array" ref="H432">INDEX(Source2!A:A,1+BIN2DEC(MID($B432,11,4)))</f>
        <v>--</v>
      </c>
      <c r="I432" s="23" cm="1">
        <f t="array" ref="I432">INDEX('D2'!A:A,1+BIN2DEC(MID($B432,16,2)))</f>
        <v>0</v>
      </c>
      <c r="J432" s="6">
        <f t="shared" si="48"/>
        <v>0</v>
      </c>
      <c r="K432" s="6">
        <f t="shared" si="44"/>
        <v>0</v>
      </c>
      <c r="L432" s="6">
        <f t="shared" si="45"/>
        <v>0</v>
      </c>
      <c r="M432" s="3" t="str" cm="1">
        <f t="array" ref="M432">INDEX(Types!A:A,1+BIN2DEC(MID($B432,20,2)))</f>
        <v>Jump</v>
      </c>
      <c r="N432" s="3" t="str" cm="1">
        <f t="array" ref="N432">IF(M432="ALU",INDEX(ALUOps!A:A,1+BIN2DEC(MID($B432,22,5))),"")</f>
        <v/>
      </c>
      <c r="O432" s="3" t="str" cm="1">
        <f t="array" ref="O432">IF(M432="ALU",INDEX(TMP!A:A,1+BIN2DEC(MID($B432,27,2))),"")</f>
        <v/>
      </c>
      <c r="P432" s="6" t="str">
        <f t="shared" si="46"/>
        <v/>
      </c>
      <c r="Q432">
        <f t="shared" si="47"/>
        <v>9</v>
      </c>
      <c r="R432">
        <f t="shared" si="49"/>
        <v>1</v>
      </c>
      <c r="S432" t="str" cm="1">
        <f t="array" ref="S432">IF(M432="Control",INDEX(IC!A:A,1+BIN2DEC(MID($B432,21,4))),"")</f>
        <v/>
      </c>
      <c r="T432" t="str" cm="1">
        <f t="array" ref="T432">IF(M432="Control",INDEX(EC!A:A,1+BIN2DEC(MID($B432,25,3))),"")</f>
        <v/>
      </c>
      <c r="U432" t="str" cm="1">
        <f t="array" ref="U432">IF(M432="Control",INDEX(SR!A:A,1+BIN2DEC(MID($B432,28,2))),"")</f>
        <v/>
      </c>
    </row>
    <row r="433" spans="1:30" x14ac:dyDescent="0.25">
      <c r="A433" s="4" t="str">
        <f t="shared" si="43"/>
        <v>1AF</v>
      </c>
      <c r="B433" s="2" t="s">
        <v>422</v>
      </c>
      <c r="C433" s="3"/>
      <c r="D433" s="3"/>
      <c r="E433" s="3"/>
      <c r="F433" s="27" t="str" cm="1">
        <f t="array" ref="F433">INDEX(Sources!A:A, 1 + BIN2DEC(LEFT($B433,5)))</f>
        <v>--</v>
      </c>
      <c r="G433" s="27" t="str" cm="1">
        <f t="array" ref="G433">INDEX(Dest1!A:A,1+BIN2DEC(MID($B433,6,5)))</f>
        <v>--</v>
      </c>
      <c r="H433" s="27" t="str" cm="1">
        <f t="array" ref="H433">INDEX(Source2!A:A,1+BIN2DEC(MID($B433,11,4)))</f>
        <v>--</v>
      </c>
      <c r="I433" s="23" cm="1">
        <f t="array" ref="I433">INDEX('D2'!A:A,1+BIN2DEC(MID($B433,16,2)))</f>
        <v>0</v>
      </c>
      <c r="J433" s="6">
        <f t="shared" si="48"/>
        <v>0</v>
      </c>
      <c r="K433" s="6">
        <f t="shared" si="44"/>
        <v>0</v>
      </c>
      <c r="L433" s="6">
        <f t="shared" si="45"/>
        <v>0</v>
      </c>
      <c r="M433" s="3" t="str" cm="1">
        <f t="array" ref="M433">INDEX(Types!A:A,1+BIN2DEC(MID($B433,20,2)))</f>
        <v>Jump</v>
      </c>
      <c r="N433" s="3" t="str" cm="1">
        <f t="array" ref="N433">IF(M433="ALU",INDEX(ALUOps!A:A,1+BIN2DEC(MID($B433,22,5))),"")</f>
        <v/>
      </c>
      <c r="O433" s="3" t="str" cm="1">
        <f t="array" ref="O433">IF(M433="ALU",INDEX(TMP!A:A,1+BIN2DEC(MID($B433,27,2))),"")</f>
        <v/>
      </c>
      <c r="P433" s="6" t="str">
        <f t="shared" si="46"/>
        <v/>
      </c>
      <c r="Q433">
        <f t="shared" si="47"/>
        <v>6</v>
      </c>
      <c r="R433">
        <f t="shared" si="49"/>
        <v>9</v>
      </c>
      <c r="S433" t="str" cm="1">
        <f t="array" ref="S433">IF(M433="Control",INDEX(IC!A:A,1+BIN2DEC(MID($B433,21,4))),"")</f>
        <v/>
      </c>
      <c r="T433" t="str" cm="1">
        <f t="array" ref="T433">IF(M433="Control",INDEX(EC!A:A,1+BIN2DEC(MID($B433,25,3))),"")</f>
        <v/>
      </c>
      <c r="U433" t="str" cm="1">
        <f t="array" ref="U433">IF(M433="Control",INDEX(SR!A:A,1+BIN2DEC(MID($B433,28,2))),"")</f>
        <v/>
      </c>
    </row>
    <row r="434" spans="1:30" x14ac:dyDescent="0.25">
      <c r="A434" s="4" t="str">
        <f t="shared" si="43"/>
        <v>1B0</v>
      </c>
      <c r="B434" s="2" t="s">
        <v>423</v>
      </c>
      <c r="C434" s="2" t="s">
        <v>424</v>
      </c>
      <c r="D434" s="2" t="s">
        <v>931</v>
      </c>
      <c r="E434" s="2" t="s">
        <v>488</v>
      </c>
      <c r="F434" s="27" t="str" cm="1">
        <f t="array" ref="F434">INDEX(Sources!A:A, 1 + BIN2DEC(LEFT($B434,5)))</f>
        <v>SIGMA</v>
      </c>
      <c r="G434" s="27" t="str" cm="1">
        <f t="array" ref="G434">INDEX(Dest1!A:A,1+BIN2DEC(MID($B434,6,5)))</f>
        <v>TMPB</v>
      </c>
      <c r="H434" s="27" t="str" cm="1">
        <f t="array" ref="H434">INDEX(Source2!A:A,1+BIN2DEC(MID($B434,11,4)))</f>
        <v>--</v>
      </c>
      <c r="I434" s="23" cm="1">
        <f t="array" ref="I434">INDEX('D2'!A:A,1+BIN2DEC(MID($B434,16,2)))</f>
        <v>0</v>
      </c>
      <c r="J434" s="6">
        <f t="shared" si="48"/>
        <v>0</v>
      </c>
      <c r="K434" s="6">
        <f t="shared" si="44"/>
        <v>0</v>
      </c>
      <c r="L434" s="6">
        <f t="shared" si="45"/>
        <v>0</v>
      </c>
      <c r="M434" s="3" t="str" cm="1">
        <f t="array" ref="M434">INDEX(Types!A:A,1+BIN2DEC(MID($B434,20,2)))</f>
        <v>Control</v>
      </c>
      <c r="N434" s="3" t="str" cm="1">
        <f t="array" ref="N434">IF(M434="ALU",INDEX(ALUOps!A:A,1+BIN2DEC(MID($B434,22,5))),"")</f>
        <v/>
      </c>
      <c r="O434" s="3" t="str" cm="1">
        <f t="array" ref="O434">IF(M434="ALU",INDEX(TMP!A:A,1+BIN2DEC(MID($B434,27,2))),"")</f>
        <v/>
      </c>
      <c r="P434" s="6" t="str">
        <f t="shared" si="46"/>
        <v/>
      </c>
      <c r="Q434" t="str">
        <f t="shared" si="47"/>
        <v/>
      </c>
      <c r="R434" t="str">
        <f t="shared" si="49"/>
        <v/>
      </c>
      <c r="S434" cm="1">
        <f t="array" ref="S434">IF(M434="Control",INDEX(IC!A:A,1+BIN2DEC(MID($B434,21,4))),"")</f>
        <v>0</v>
      </c>
      <c r="T434" cm="1">
        <f t="array" ref="T434">IF(M434="Control",INDEX(EC!A:A,1+BIN2DEC(MID($B434,25,3))),"")</f>
        <v>0</v>
      </c>
      <c r="U434" cm="1">
        <f t="array" ref="U434">IF(M434="Control",INDEX(SR!A:A,1+BIN2DEC(MID($B434,28,2))),"")</f>
        <v>0</v>
      </c>
      <c r="AD434" s="1" t="s">
        <v>417</v>
      </c>
    </row>
    <row r="435" spans="1:30" x14ac:dyDescent="0.25">
      <c r="A435" s="4" t="str">
        <f t="shared" si="43"/>
        <v>1B1</v>
      </c>
      <c r="B435" s="2" t="s">
        <v>425</v>
      </c>
      <c r="C435" s="3"/>
      <c r="D435" s="3"/>
      <c r="E435" s="3"/>
      <c r="F435" s="27" t="str" cm="1">
        <f t="array" ref="F435">INDEX(Sources!A:A, 1 + BIN2DEC(LEFT($B435,5)))</f>
        <v>--</v>
      </c>
      <c r="G435" s="27" t="str" cm="1">
        <f t="array" ref="G435">INDEX(Dest1!A:A,1+BIN2DEC(MID($B435,6,5)))</f>
        <v>--</v>
      </c>
      <c r="H435" s="27" t="str" cm="1">
        <f t="array" ref="H435">INDEX(Source2!A:A,1+BIN2DEC(MID($B435,11,4)))</f>
        <v>--</v>
      </c>
      <c r="I435" s="23" cm="1">
        <f t="array" ref="I435">INDEX('D2'!A:A,1+BIN2DEC(MID($B435,16,2)))</f>
        <v>0</v>
      </c>
      <c r="J435" s="6">
        <f t="shared" si="48"/>
        <v>0</v>
      </c>
      <c r="K435" s="6">
        <f t="shared" si="44"/>
        <v>0</v>
      </c>
      <c r="L435" s="6">
        <f t="shared" si="45"/>
        <v>0</v>
      </c>
      <c r="M435" s="3" t="str" cm="1">
        <f t="array" ref="M435">INDEX(Types!A:A,1+BIN2DEC(MID($B435,20,2)))</f>
        <v>ALU</v>
      </c>
      <c r="N435" s="3" cm="1">
        <f t="array" ref="N435">IF(M435="ALU",INDEX(ALUOps!A:A,1+BIN2DEC(MID($B435,22,5))),"")</f>
        <v>4</v>
      </c>
      <c r="O435" s="3" cm="1">
        <f t="array" ref="O435">IF(M435="ALU",INDEX(TMP!A:A,1+BIN2DEC(MID($B435,27,2))),"")</f>
        <v>1</v>
      </c>
      <c r="P435" s="6">
        <f t="shared" si="46"/>
        <v>1</v>
      </c>
      <c r="Q435" t="str">
        <f t="shared" si="47"/>
        <v/>
      </c>
      <c r="R435" t="str">
        <f t="shared" si="49"/>
        <v/>
      </c>
      <c r="S435" t="str" cm="1">
        <f t="array" ref="S435">IF(M435="Control",INDEX(IC!A:A,1+BIN2DEC(MID($B435,21,4))),"")</f>
        <v/>
      </c>
      <c r="T435" t="str" cm="1">
        <f t="array" ref="T435">IF(M435="Control",INDEX(EC!A:A,1+BIN2DEC(MID($B435,25,3))),"")</f>
        <v/>
      </c>
      <c r="U435" t="str" cm="1">
        <f t="array" ref="U435">IF(M435="Control",INDEX(SR!A:A,1+BIN2DEC(MID($B435,28,2))),"")</f>
        <v/>
      </c>
    </row>
    <row r="436" spans="1:30" x14ac:dyDescent="0.25">
      <c r="A436" s="4" t="str">
        <f t="shared" si="43"/>
        <v>1B2</v>
      </c>
      <c r="B436" s="2" t="s">
        <v>426</v>
      </c>
      <c r="C436" s="3"/>
      <c r="D436" s="3"/>
      <c r="E436" s="3"/>
      <c r="F436" s="27" t="str" cm="1">
        <f t="array" ref="F436">INDEX(Sources!A:A, 1 + BIN2DEC(LEFT($B436,5)))</f>
        <v>--</v>
      </c>
      <c r="G436" s="27" t="str" cm="1">
        <f t="array" ref="G436">INDEX(Dest1!A:A,1+BIN2DEC(MID($B436,6,5)))</f>
        <v>--</v>
      </c>
      <c r="H436" s="27" t="str" cm="1">
        <f t="array" ref="H436">INDEX(Source2!A:A,1+BIN2DEC(MID($B436,11,4)))</f>
        <v>--</v>
      </c>
      <c r="I436" s="23" cm="1">
        <f t="array" ref="I436">INDEX('D2'!A:A,1+BIN2DEC(MID($B436,16,2)))</f>
        <v>0</v>
      </c>
      <c r="J436" s="6">
        <f t="shared" si="48"/>
        <v>0</v>
      </c>
      <c r="K436" s="6">
        <f t="shared" si="44"/>
        <v>0</v>
      </c>
      <c r="L436" s="6">
        <f t="shared" si="45"/>
        <v>0</v>
      </c>
      <c r="M436" s="3" t="str" cm="1">
        <f t="array" ref="M436">INDEX(Types!A:A,1+BIN2DEC(MID($B436,20,2)))</f>
        <v>Jump</v>
      </c>
      <c r="N436" s="3" t="str" cm="1">
        <f t="array" ref="N436">IF(M436="ALU",INDEX(ALUOps!A:A,1+BIN2DEC(MID($B436,22,5))),"")</f>
        <v/>
      </c>
      <c r="O436" s="3" t="str" cm="1">
        <f t="array" ref="O436">IF(M436="ALU",INDEX(TMP!A:A,1+BIN2DEC(MID($B436,27,2))),"")</f>
        <v/>
      </c>
      <c r="P436" s="6" t="str">
        <f t="shared" si="46"/>
        <v/>
      </c>
      <c r="Q436">
        <f t="shared" si="47"/>
        <v>4</v>
      </c>
      <c r="R436">
        <f t="shared" si="49"/>
        <v>12</v>
      </c>
      <c r="S436" t="str" cm="1">
        <f t="array" ref="S436">IF(M436="Control",INDEX(IC!A:A,1+BIN2DEC(MID($B436,21,4))),"")</f>
        <v/>
      </c>
      <c r="T436" t="str" cm="1">
        <f t="array" ref="T436">IF(M436="Control",INDEX(EC!A:A,1+BIN2DEC(MID($B436,25,3))),"")</f>
        <v/>
      </c>
      <c r="U436" t="str" cm="1">
        <f t="array" ref="U436">IF(M436="Control",INDEX(SR!A:A,1+BIN2DEC(MID($B436,28,2))),"")</f>
        <v/>
      </c>
    </row>
    <row r="437" spans="1:30" x14ac:dyDescent="0.25">
      <c r="A437" s="4" t="str">
        <f t="shared" si="43"/>
        <v>1B3</v>
      </c>
      <c r="B437" s="2" t="s">
        <v>427</v>
      </c>
      <c r="C437" s="3"/>
      <c r="D437" s="3"/>
      <c r="E437" s="3"/>
      <c r="F437" s="27" t="str" cm="1">
        <f t="array" ref="F437">INDEX(Sources!A:A, 1 + BIN2DEC(LEFT($B437,5)))</f>
        <v>SIGMA</v>
      </c>
      <c r="G437" s="27" t="str" cm="1">
        <f t="array" ref="G437">INDEX(Dest1!A:A,1+BIN2DEC(MID($B437,6,5)))</f>
        <v>UNK17</v>
      </c>
      <c r="H437" s="27" t="str" cm="1">
        <f t="array" ref="H437">INDEX(Source2!A:A,1+BIN2DEC(MID($B437,11,4)))</f>
        <v>--</v>
      </c>
      <c r="I437" s="23" cm="1">
        <f t="array" ref="I437">INDEX('D2'!A:A,1+BIN2DEC(MID($B437,16,2)))</f>
        <v>0</v>
      </c>
      <c r="J437" s="6">
        <f t="shared" si="48"/>
        <v>0</v>
      </c>
      <c r="K437" s="6">
        <f t="shared" si="44"/>
        <v>0</v>
      </c>
      <c r="L437" s="6">
        <f t="shared" si="45"/>
        <v>0</v>
      </c>
      <c r="M437" s="3" t="str" cm="1">
        <f t="array" ref="M437">INDEX(Types!A:A,1+BIN2DEC(MID($B437,20,2)))</f>
        <v>Control</v>
      </c>
      <c r="N437" s="3" t="str" cm="1">
        <f t="array" ref="N437">IF(M437="ALU",INDEX(ALUOps!A:A,1+BIN2DEC(MID($B437,22,5))),"")</f>
        <v/>
      </c>
      <c r="O437" s="3" t="str" cm="1">
        <f t="array" ref="O437">IF(M437="ALU",INDEX(TMP!A:A,1+BIN2DEC(MID($B437,27,2))),"")</f>
        <v/>
      </c>
      <c r="P437" s="6" t="str">
        <f t="shared" si="46"/>
        <v/>
      </c>
      <c r="Q437" t="str">
        <f t="shared" si="47"/>
        <v/>
      </c>
      <c r="R437" t="str">
        <f t="shared" si="49"/>
        <v/>
      </c>
      <c r="S437" cm="1">
        <f t="array" ref="S437">IF(M437="Control",INDEX(IC!A:A,1+BIN2DEC(MID($B437,21,4))),"")</f>
        <v>0</v>
      </c>
      <c r="T437" cm="1">
        <f t="array" ref="T437">IF(M437="Control",INDEX(EC!A:A,1+BIN2DEC(MID($B437,25,3))),"")</f>
        <v>0</v>
      </c>
      <c r="U437" cm="1">
        <f t="array" ref="U437">IF(M437="Control",INDEX(SR!A:A,1+BIN2DEC(MID($B437,28,2))),"")</f>
        <v>0</v>
      </c>
    </row>
    <row r="438" spans="1:30" x14ac:dyDescent="0.25">
      <c r="A438" s="4" t="str">
        <f t="shared" si="43"/>
        <v>1B4</v>
      </c>
      <c r="B438" s="2" t="s">
        <v>428</v>
      </c>
      <c r="C438" s="2" t="s">
        <v>429</v>
      </c>
      <c r="D438" s="2" t="s">
        <v>931</v>
      </c>
      <c r="E438" s="2" t="s">
        <v>933</v>
      </c>
      <c r="F438" s="27" t="str" cm="1">
        <f t="array" ref="F438">INDEX(Sources!A:A, 1 + BIN2DEC(LEFT($B438,5)))</f>
        <v>TMPB</v>
      </c>
      <c r="G438" s="27" t="str" cm="1">
        <f t="array" ref="G438">INDEX(Dest1!A:A,1+BIN2DEC(MID($B438,6,5)))</f>
        <v>A</v>
      </c>
      <c r="H438" s="27" t="str" cm="1">
        <f t="array" ref="H438">INDEX(Source2!A:A,1+BIN2DEC(MID($B438,11,4)))</f>
        <v>--</v>
      </c>
      <c r="I438" s="23" cm="1">
        <f t="array" ref="I438">INDEX('D2'!A:A,1+BIN2DEC(MID($B438,16,2)))</f>
        <v>0</v>
      </c>
      <c r="J438" s="6">
        <f t="shared" si="48"/>
        <v>0</v>
      </c>
      <c r="K438" s="6">
        <f t="shared" si="44"/>
        <v>0</v>
      </c>
      <c r="L438" s="6">
        <f t="shared" si="45"/>
        <v>0</v>
      </c>
      <c r="M438" s="3" t="str" cm="1">
        <f t="array" ref="M438">INDEX(Types!A:A,1+BIN2DEC(MID($B438,20,2)))</f>
        <v>Jump</v>
      </c>
      <c r="N438" s="3" t="str" cm="1">
        <f t="array" ref="N438">IF(M438="ALU",INDEX(ALUOps!A:A,1+BIN2DEC(MID($B438,22,5))),"")</f>
        <v/>
      </c>
      <c r="O438" s="3" t="str" cm="1">
        <f t="array" ref="O438">IF(M438="ALU",INDEX(TMP!A:A,1+BIN2DEC(MID($B438,27,2))),"")</f>
        <v/>
      </c>
      <c r="P438" s="6" t="str">
        <f t="shared" si="46"/>
        <v/>
      </c>
      <c r="Q438">
        <f t="shared" si="47"/>
        <v>8</v>
      </c>
      <c r="R438">
        <f t="shared" si="49"/>
        <v>15</v>
      </c>
      <c r="S438" t="str" cm="1">
        <f t="array" ref="S438">IF(M438="Control",INDEX(IC!A:A,1+BIN2DEC(MID($B438,21,4))),"")</f>
        <v/>
      </c>
      <c r="T438" t="str" cm="1">
        <f t="array" ref="T438">IF(M438="Control",INDEX(EC!A:A,1+BIN2DEC(MID($B438,25,3))),"")</f>
        <v/>
      </c>
      <c r="U438" t="str" cm="1">
        <f t="array" ref="U438">IF(M438="Control",INDEX(SR!A:A,1+BIN2DEC(MID($B438,28,2))),"")</f>
        <v/>
      </c>
      <c r="AD438" s="1" t="s">
        <v>417</v>
      </c>
    </row>
    <row r="439" spans="1:30" x14ac:dyDescent="0.25">
      <c r="A439" s="4" t="str">
        <f t="shared" si="43"/>
        <v>1B5</v>
      </c>
      <c r="B439" s="2" t="s">
        <v>430</v>
      </c>
      <c r="C439" s="3"/>
      <c r="D439" s="3"/>
      <c r="E439" s="3"/>
      <c r="F439" s="27" t="str" cm="1">
        <f t="array" ref="F439">INDEX(Sources!A:A, 1 + BIN2DEC(LEFT($B439,5)))</f>
        <v>UNK17</v>
      </c>
      <c r="G439" s="27" t="str" cm="1">
        <f t="array" ref="G439">INDEX(Dest1!A:A,1+BIN2DEC(MID($B439,6,5)))</f>
        <v>UNK5</v>
      </c>
      <c r="H439" s="27" t="str" cm="1">
        <f t="array" ref="H439">INDEX(Source2!A:A,1+BIN2DEC(MID($B439,11,4)))</f>
        <v>--</v>
      </c>
      <c r="I439" s="23" cm="1">
        <f t="array" ref="I439">INDEX('D2'!A:A,1+BIN2DEC(MID($B439,16,2)))</f>
        <v>0</v>
      </c>
      <c r="J439" s="6">
        <f t="shared" si="48"/>
        <v>0</v>
      </c>
      <c r="K439" s="6">
        <f t="shared" si="44"/>
        <v>0</v>
      </c>
      <c r="L439" s="6">
        <f t="shared" si="45"/>
        <v>1</v>
      </c>
      <c r="M439" s="3" t="str" cm="1">
        <f t="array" ref="M439">INDEX(Types!A:A,1+BIN2DEC(MID($B439,20,2)))</f>
        <v>Control</v>
      </c>
      <c r="N439" s="3" t="str" cm="1">
        <f t="array" ref="N439">IF(M439="ALU",INDEX(ALUOps!A:A,1+BIN2DEC(MID($B439,22,5))),"")</f>
        <v/>
      </c>
      <c r="O439" s="3" t="str" cm="1">
        <f t="array" ref="O439">IF(M439="ALU",INDEX(TMP!A:A,1+BIN2DEC(MID($B439,27,2))),"")</f>
        <v/>
      </c>
      <c r="P439" s="6" t="str">
        <f t="shared" si="46"/>
        <v/>
      </c>
      <c r="Q439" t="str">
        <f t="shared" si="47"/>
        <v/>
      </c>
      <c r="R439" t="str">
        <f t="shared" si="49"/>
        <v/>
      </c>
      <c r="S439" cm="1">
        <f t="array" ref="S439">IF(M439="Control",INDEX(IC!A:A,1+BIN2DEC(MID($B439,21,4))),"")</f>
        <v>0</v>
      </c>
      <c r="T439" cm="1">
        <f t="array" ref="T439">IF(M439="Control",INDEX(EC!A:A,1+BIN2DEC(MID($B439,25,3))),"")</f>
        <v>0</v>
      </c>
      <c r="U439" cm="1">
        <f t="array" ref="U439">IF(M439="Control",INDEX(SR!A:A,1+BIN2DEC(MID($B439,28,2))),"")</f>
        <v>0</v>
      </c>
    </row>
    <row r="440" spans="1:30" x14ac:dyDescent="0.25">
      <c r="A440" s="4" t="str">
        <f t="shared" si="43"/>
        <v>1B6</v>
      </c>
      <c r="B440" s="2" t="s">
        <v>4</v>
      </c>
      <c r="C440" s="3"/>
      <c r="D440" s="3"/>
      <c r="E440" s="3"/>
      <c r="F440" s="27" t="str" cm="1">
        <f t="array" ref="F440">INDEX(Sources!A:A, 1 + BIN2DEC(LEFT($B440,5)))</f>
        <v>--</v>
      </c>
      <c r="G440" s="27" t="str" cm="1">
        <f t="array" ref="G440">INDEX(Dest1!A:A,1+BIN2DEC(MID($B440,6,5)))</f>
        <v>--</v>
      </c>
      <c r="H440" s="27" t="str" cm="1">
        <f t="array" ref="H440">INDEX(Source2!A:A,1+BIN2DEC(MID($B440,11,4)))</f>
        <v>--</v>
      </c>
      <c r="I440" s="23" cm="1">
        <f t="array" ref="I440">INDEX('D2'!A:A,1+BIN2DEC(MID($B440,16,2)))</f>
        <v>0</v>
      </c>
      <c r="J440" s="6">
        <f t="shared" si="48"/>
        <v>0</v>
      </c>
      <c r="K440" s="6">
        <f t="shared" si="44"/>
        <v>0</v>
      </c>
      <c r="L440" s="6">
        <f t="shared" si="45"/>
        <v>0</v>
      </c>
      <c r="M440" s="3" t="str" cm="1">
        <f t="array" ref="M440">INDEX(Types!A:A,1+BIN2DEC(MID($B440,20,2)))</f>
        <v>Control</v>
      </c>
      <c r="N440" s="3" t="str" cm="1">
        <f t="array" ref="N440">IF(M440="ALU",INDEX(ALUOps!A:A,1+BIN2DEC(MID($B440,22,5))),"")</f>
        <v/>
      </c>
      <c r="O440" s="3" t="str" cm="1">
        <f t="array" ref="O440">IF(M440="ALU",INDEX(TMP!A:A,1+BIN2DEC(MID($B440,27,2))),"")</f>
        <v/>
      </c>
      <c r="P440" s="6" t="str">
        <f t="shared" si="46"/>
        <v/>
      </c>
      <c r="Q440" t="str">
        <f t="shared" si="47"/>
        <v/>
      </c>
      <c r="R440" t="str">
        <f t="shared" si="49"/>
        <v/>
      </c>
      <c r="S440" cm="1">
        <f t="array" ref="S440">IF(M440="Control",INDEX(IC!A:A,1+BIN2DEC(MID($B440,21,4))),"")</f>
        <v>0</v>
      </c>
      <c r="T440" cm="1">
        <f t="array" ref="T440">IF(M440="Control",INDEX(EC!A:A,1+BIN2DEC(MID($B440,25,3))),"")</f>
        <v>0</v>
      </c>
      <c r="U440" cm="1">
        <f t="array" ref="U440">IF(M440="Control",INDEX(SR!A:A,1+BIN2DEC(MID($B440,28,2))),"")</f>
        <v>0</v>
      </c>
    </row>
    <row r="441" spans="1:30" s="9" customFormat="1" ht="15.75" thickBot="1" x14ac:dyDescent="0.3">
      <c r="A441" s="7" t="str">
        <f t="shared" si="43"/>
        <v>1B7</v>
      </c>
      <c r="B441" s="8" t="s">
        <v>431</v>
      </c>
      <c r="C441" s="10"/>
      <c r="D441" s="10"/>
      <c r="E441" s="10"/>
      <c r="F441" s="30" t="str" cm="1">
        <f t="array" ref="F441">INDEX(Sources!A:A, 1 + BIN2DEC(LEFT($B441,5)))</f>
        <v>UNK17</v>
      </c>
      <c r="G441" s="30" t="str" cm="1">
        <f t="array" ref="G441">INDEX(Dest1!A:A,1+BIN2DEC(MID($B441,6,5)))</f>
        <v>AH</v>
      </c>
      <c r="H441" s="30" t="str" cm="1">
        <f t="array" ref="H441">INDEX(Source2!A:A,1+BIN2DEC(MID($B441,11,4)))</f>
        <v>--</v>
      </c>
      <c r="I441" s="26" cm="1">
        <f t="array" ref="I441">INDEX('D2'!A:A,1+BIN2DEC(MID($B441,16,2)))</f>
        <v>0</v>
      </c>
      <c r="J441" s="11">
        <f t="shared" si="48"/>
        <v>0</v>
      </c>
      <c r="K441" s="11">
        <f t="shared" si="44"/>
        <v>0</v>
      </c>
      <c r="L441" s="11">
        <f t="shared" si="45"/>
        <v>1</v>
      </c>
      <c r="M441" s="10" t="str" cm="1">
        <f t="array" ref="M441">INDEX(Types!A:A,1+BIN2DEC(MID($B441,20,2)))</f>
        <v>Control</v>
      </c>
      <c r="N441" s="10" t="str" cm="1">
        <f t="array" ref="N441">IF(M441="ALU",INDEX(ALUOps!A:A,1+BIN2DEC(MID($B441,22,5))),"")</f>
        <v/>
      </c>
      <c r="O441" s="10" t="str" cm="1">
        <f t="array" ref="O441">IF(M441="ALU",INDEX(TMP!A:A,1+BIN2DEC(MID($B441,27,2))),"")</f>
        <v/>
      </c>
      <c r="P441" s="11" t="str">
        <f t="shared" si="46"/>
        <v/>
      </c>
      <c r="Q441" s="9" t="str">
        <f t="shared" si="47"/>
        <v/>
      </c>
      <c r="R441" s="9" t="str">
        <f t="shared" si="49"/>
        <v/>
      </c>
      <c r="S441" s="9" cm="1">
        <f t="array" ref="S441">IF(M441="Control",INDEX(IC!A:A,1+BIN2DEC(MID($B441,21,4))),"")</f>
        <v>0</v>
      </c>
      <c r="T441" s="9" cm="1">
        <f t="array" ref="T441">IF(M441="Control",INDEX(EC!A:A,1+BIN2DEC(MID($B441,25,3))),"")</f>
        <v>0</v>
      </c>
      <c r="U441" s="9" cm="1">
        <f t="array" ref="U441">IF(M441="Control",INDEX(SR!A:A,1+BIN2DEC(MID($B441,28,2))),"")</f>
        <v>0</v>
      </c>
    </row>
    <row r="442" spans="1:30" x14ac:dyDescent="0.25">
      <c r="A442" s="4" t="str">
        <f t="shared" si="43"/>
        <v>1B8</v>
      </c>
      <c r="B442" s="2" t="s">
        <v>358</v>
      </c>
      <c r="C442" s="2" t="s">
        <v>432</v>
      </c>
      <c r="D442" s="2" t="s">
        <v>935</v>
      </c>
      <c r="E442" s="2" t="s">
        <v>462</v>
      </c>
      <c r="F442" s="27" t="str" cm="1">
        <f t="array" ref="F442">INDEX(Sources!A:A, 1 + BIN2DEC(LEFT($B442,5)))</f>
        <v>OPR</v>
      </c>
      <c r="G442" s="27" t="str" cm="1">
        <f t="array" ref="G442">INDEX(Dest1!A:A,1+BIN2DEC(MID($B442,6,5)))</f>
        <v>TMPA</v>
      </c>
      <c r="H442" s="27" t="str" cm="1">
        <f t="array" ref="H442">INDEX(Source2!A:A,1+BIN2DEC(MID($B442,11,4)))</f>
        <v>--</v>
      </c>
      <c r="I442" s="23" cm="1">
        <f t="array" ref="I442">INDEX('D2'!A:A,1+BIN2DEC(MID($B442,16,2)))</f>
        <v>0</v>
      </c>
      <c r="J442" s="6">
        <f t="shared" si="48"/>
        <v>0</v>
      </c>
      <c r="K442" s="6">
        <f t="shared" si="44"/>
        <v>0</v>
      </c>
      <c r="L442" s="6">
        <f t="shared" si="45"/>
        <v>0</v>
      </c>
      <c r="M442" s="3" t="str" cm="1">
        <f t="array" ref="M442">INDEX(Types!A:A,1+BIN2DEC(MID($B442,20,2)))</f>
        <v>ALU</v>
      </c>
      <c r="N442" s="3" cm="1">
        <f t="array" ref="N442">IF(M442="ALU",INDEX(ALUOps!A:A,1+BIN2DEC(MID($B442,22,5))),"")</f>
        <v>9</v>
      </c>
      <c r="O442" s="3" cm="1">
        <f t="array" ref="O442">IF(M442="ALU",INDEX(TMP!A:A,1+BIN2DEC(MID($B442,27,2))),"")</f>
        <v>2</v>
      </c>
      <c r="P442" s="6">
        <f t="shared" si="46"/>
        <v>1</v>
      </c>
      <c r="Q442" t="str">
        <f t="shared" si="47"/>
        <v/>
      </c>
      <c r="R442" t="str">
        <f t="shared" si="49"/>
        <v/>
      </c>
      <c r="S442" t="str" cm="1">
        <f t="array" ref="S442">IF(M442="Control",INDEX(IC!A:A,1+BIN2DEC(MID($B442,21,4))),"")</f>
        <v/>
      </c>
      <c r="T442" t="str" cm="1">
        <f t="array" ref="T442">IF(M442="Control",INDEX(EC!A:A,1+BIN2DEC(MID($B442,25,3))),"")</f>
        <v/>
      </c>
      <c r="U442" t="str" cm="1">
        <f t="array" ref="U442">IF(M442="Control",INDEX(SR!A:A,1+BIN2DEC(MID($B442,28,2))),"")</f>
        <v/>
      </c>
      <c r="X442" t="s">
        <v>979</v>
      </c>
      <c r="AC442" t="s">
        <v>1145</v>
      </c>
      <c r="AD442" s="1" t="s">
        <v>356</v>
      </c>
    </row>
    <row r="443" spans="1:30" x14ac:dyDescent="0.25">
      <c r="A443" s="4" t="str">
        <f t="shared" si="43"/>
        <v>1B9</v>
      </c>
      <c r="B443" s="2" t="s">
        <v>3</v>
      </c>
      <c r="C443" s="3"/>
      <c r="D443" s="3"/>
      <c r="E443" s="3"/>
      <c r="F443" s="27" t="str" cm="1">
        <f t="array" ref="F443">INDEX(Sources!A:A, 1 + BIN2DEC(LEFT($B443,5)))</f>
        <v>SIGMA</v>
      </c>
      <c r="G443" s="27" t="str" cm="1">
        <f t="array" ref="G443">INDEX(Dest1!A:A,1+BIN2DEC(MID($B443,6,5)))</f>
        <v>OPR</v>
      </c>
      <c r="H443" s="27" t="str" cm="1">
        <f t="array" ref="H443">INDEX(Source2!A:A,1+BIN2DEC(MID($B443,11,4)))</f>
        <v>--</v>
      </c>
      <c r="I443" s="23" cm="1">
        <f t="array" ref="I443">INDEX('D2'!A:A,1+BIN2DEC(MID($B443,16,2)))</f>
        <v>0</v>
      </c>
      <c r="J443" s="6">
        <f t="shared" si="48"/>
        <v>0</v>
      </c>
      <c r="K443" s="6">
        <f t="shared" si="44"/>
        <v>1</v>
      </c>
      <c r="L443" s="6">
        <f t="shared" si="45"/>
        <v>1</v>
      </c>
      <c r="M443" s="3" t="str" cm="1">
        <f t="array" ref="M443">INDEX(Types!A:A,1+BIN2DEC(MID($B443,20,2)))</f>
        <v>Control</v>
      </c>
      <c r="N443" s="3" t="str" cm="1">
        <f t="array" ref="N443">IF(M443="ALU",INDEX(ALUOps!A:A,1+BIN2DEC(MID($B443,22,5))),"")</f>
        <v/>
      </c>
      <c r="O443" s="3" t="str" cm="1">
        <f t="array" ref="O443">IF(M443="ALU",INDEX(TMP!A:A,1+BIN2DEC(MID($B443,27,2))),"")</f>
        <v/>
      </c>
      <c r="P443" s="6" t="str">
        <f t="shared" si="46"/>
        <v/>
      </c>
      <c r="Q443" t="str">
        <f t="shared" si="47"/>
        <v/>
      </c>
      <c r="R443" t="str">
        <f t="shared" si="49"/>
        <v/>
      </c>
      <c r="S443" cm="1">
        <f t="array" ref="S443">IF(M443="Control",INDEX(IC!A:A,1+BIN2DEC(MID($B443,21,4))),"")</f>
        <v>0</v>
      </c>
      <c r="T443" cm="1">
        <f t="array" ref="T443">IF(M443="Control",INDEX(EC!A:A,1+BIN2DEC(MID($B443,25,3))),"")</f>
        <v>1</v>
      </c>
      <c r="U443" cm="1">
        <f t="array" ref="U443">IF(M443="Control",INDEX(SR!A:A,1+BIN2DEC(MID($B443,28,2))),"")</f>
        <v>0</v>
      </c>
    </row>
    <row r="444" spans="1:30" s="15" customFormat="1" x14ac:dyDescent="0.25">
      <c r="A444" s="12" t="str">
        <f t="shared" si="43"/>
        <v>1BA</v>
      </c>
      <c r="B444" s="13" t="s">
        <v>4</v>
      </c>
      <c r="C444" s="14"/>
      <c r="D444" s="14"/>
      <c r="E444" s="14"/>
      <c r="F444" s="28" t="str" cm="1">
        <f t="array" ref="F444">INDEX(Sources!A:A, 1 + BIN2DEC(LEFT($B444,5)))</f>
        <v>--</v>
      </c>
      <c r="G444" s="28" t="str" cm="1">
        <f t="array" ref="G444">INDEX(Dest1!A:A,1+BIN2DEC(MID($B444,6,5)))</f>
        <v>--</v>
      </c>
      <c r="H444" s="28" t="str" cm="1">
        <f t="array" ref="H444">INDEX(Source2!A:A,1+BIN2DEC(MID($B444,11,4)))</f>
        <v>--</v>
      </c>
      <c r="I444" s="24" cm="1">
        <f t="array" ref="I444">INDEX('D2'!A:A,1+BIN2DEC(MID($B444,16,2)))</f>
        <v>0</v>
      </c>
      <c r="J444" s="16">
        <f t="shared" si="48"/>
        <v>0</v>
      </c>
      <c r="K444" s="16">
        <f t="shared" si="44"/>
        <v>0</v>
      </c>
      <c r="L444" s="16">
        <f t="shared" si="45"/>
        <v>0</v>
      </c>
      <c r="M444" s="14" t="str" cm="1">
        <f t="array" ref="M444">INDEX(Types!A:A,1+BIN2DEC(MID($B444,20,2)))</f>
        <v>Control</v>
      </c>
      <c r="N444" s="14" t="str" cm="1">
        <f t="array" ref="N444">IF(M444="ALU",INDEX(ALUOps!A:A,1+BIN2DEC(MID($B444,22,5))),"")</f>
        <v/>
      </c>
      <c r="O444" s="14" t="str" cm="1">
        <f t="array" ref="O444">IF(M444="ALU",INDEX(TMP!A:A,1+BIN2DEC(MID($B444,27,2))),"")</f>
        <v/>
      </c>
      <c r="P444" s="16" t="str">
        <f t="shared" si="46"/>
        <v/>
      </c>
      <c r="Q444" s="15" t="str">
        <f t="shared" si="47"/>
        <v/>
      </c>
      <c r="R444" s="15" t="str">
        <f t="shared" si="49"/>
        <v/>
      </c>
      <c r="S444" s="15" cm="1">
        <f t="array" ref="S444">IF(M444="Control",INDEX(IC!A:A,1+BIN2DEC(MID($B444,21,4))),"")</f>
        <v>0</v>
      </c>
      <c r="T444" s="15" cm="1">
        <f t="array" ref="T444">IF(M444="Control",INDEX(EC!A:A,1+BIN2DEC(MID($B444,25,3))),"")</f>
        <v>0</v>
      </c>
      <c r="U444" s="15" cm="1">
        <f t="array" ref="U444">IF(M444="Control",INDEX(SR!A:A,1+BIN2DEC(MID($B444,28,2))),"")</f>
        <v>0</v>
      </c>
    </row>
    <row r="445" spans="1:30" s="20" customFormat="1" ht="15.75" thickBot="1" x14ac:dyDescent="0.3">
      <c r="A445" s="17" t="str">
        <f t="shared" si="43"/>
        <v>1BB</v>
      </c>
      <c r="B445" s="18" t="s">
        <v>4</v>
      </c>
      <c r="C445" s="19"/>
      <c r="D445" s="19"/>
      <c r="E445" s="19"/>
      <c r="F445" s="29" t="str" cm="1">
        <f t="array" ref="F445">INDEX(Sources!A:A, 1 + BIN2DEC(LEFT($B445,5)))</f>
        <v>--</v>
      </c>
      <c r="G445" s="29" t="str" cm="1">
        <f t="array" ref="G445">INDEX(Dest1!A:A,1+BIN2DEC(MID($B445,6,5)))</f>
        <v>--</v>
      </c>
      <c r="H445" s="29" t="str" cm="1">
        <f t="array" ref="H445">INDEX(Source2!A:A,1+BIN2DEC(MID($B445,11,4)))</f>
        <v>--</v>
      </c>
      <c r="I445" s="25" cm="1">
        <f t="array" ref="I445">INDEX('D2'!A:A,1+BIN2DEC(MID($B445,16,2)))</f>
        <v>0</v>
      </c>
      <c r="J445" s="21">
        <f t="shared" si="48"/>
        <v>0</v>
      </c>
      <c r="K445" s="21">
        <f t="shared" si="44"/>
        <v>0</v>
      </c>
      <c r="L445" s="21">
        <f t="shared" si="45"/>
        <v>0</v>
      </c>
      <c r="M445" s="19" t="str" cm="1">
        <f t="array" ref="M445">INDEX(Types!A:A,1+BIN2DEC(MID($B445,20,2)))</f>
        <v>Control</v>
      </c>
      <c r="N445" s="19" t="str" cm="1">
        <f t="array" ref="N445">IF(M445="ALU",INDEX(ALUOps!A:A,1+BIN2DEC(MID($B445,22,5))),"")</f>
        <v/>
      </c>
      <c r="O445" s="19" t="str" cm="1">
        <f t="array" ref="O445">IF(M445="ALU",INDEX(TMP!A:A,1+BIN2DEC(MID($B445,27,2))),"")</f>
        <v/>
      </c>
      <c r="P445" s="21" t="str">
        <f t="shared" si="46"/>
        <v/>
      </c>
      <c r="Q445" s="20" t="str">
        <f t="shared" si="47"/>
        <v/>
      </c>
      <c r="R445" s="20" t="str">
        <f t="shared" si="49"/>
        <v/>
      </c>
      <c r="S445" s="20" cm="1">
        <f t="array" ref="S445">IF(M445="Control",INDEX(IC!A:A,1+BIN2DEC(MID($B445,21,4))),"")</f>
        <v>0</v>
      </c>
      <c r="T445" s="20" cm="1">
        <f t="array" ref="T445">IF(M445="Control",INDEX(EC!A:A,1+BIN2DEC(MID($B445,25,3))),"")</f>
        <v>0</v>
      </c>
      <c r="U445" s="20" cm="1">
        <f t="array" ref="U445">IF(M445="Control",INDEX(SR!A:A,1+BIN2DEC(MID($B445,28,2))),"")</f>
        <v>0</v>
      </c>
    </row>
    <row r="446" spans="1:30" x14ac:dyDescent="0.25">
      <c r="A446" s="4" t="str">
        <f t="shared" si="43"/>
        <v>1BC</v>
      </c>
      <c r="B446" s="2" t="s">
        <v>433</v>
      </c>
      <c r="C446" s="2" t="s">
        <v>434</v>
      </c>
      <c r="D446" s="2" t="s">
        <v>935</v>
      </c>
      <c r="E446" s="2" t="s">
        <v>462</v>
      </c>
      <c r="F446" s="27" t="str" cm="1">
        <f t="array" ref="F446">INDEX(Sources!A:A, 1 + BIN2DEC(LEFT($B446,5)))</f>
        <v>UNK27</v>
      </c>
      <c r="G446" s="27" t="str" cm="1">
        <f t="array" ref="G446">INDEX(Dest1!A:A,1+BIN2DEC(MID($B446,6,5)))</f>
        <v>TMPB</v>
      </c>
      <c r="H446" s="27" t="str" cm="1">
        <f t="array" ref="H446">INDEX(Source2!A:A,1+BIN2DEC(MID($B446,11,4)))</f>
        <v>3</v>
      </c>
      <c r="I446" s="23" cm="1">
        <f t="array" ref="I446">INDEX('D2'!A:A,1+BIN2DEC(MID($B446,16,2)))</f>
        <v>0</v>
      </c>
      <c r="J446" s="6">
        <f t="shared" si="48"/>
        <v>0</v>
      </c>
      <c r="K446" s="6">
        <f t="shared" si="44"/>
        <v>0</v>
      </c>
      <c r="L446" s="6">
        <f t="shared" si="45"/>
        <v>0</v>
      </c>
      <c r="M446" s="3" t="str" cm="1">
        <f t="array" ref="M446">INDEX(Types!A:A,1+BIN2DEC(MID($B446,20,2)))</f>
        <v>ALU</v>
      </c>
      <c r="N446" s="3" cm="1">
        <f t="array" ref="N446">IF(M446="ALU",INDEX(ALUOps!A:A,1+BIN2DEC(MID($B446,22,5))),"")</f>
        <v>2</v>
      </c>
      <c r="O446" s="3" cm="1">
        <f t="array" ref="O446">IF(M446="ALU",INDEX(TMP!A:A,1+BIN2DEC(MID($B446,27,2))),"")</f>
        <v>2</v>
      </c>
      <c r="P446" s="6">
        <f t="shared" si="46"/>
        <v>1</v>
      </c>
      <c r="Q446" t="str">
        <f t="shared" si="47"/>
        <v/>
      </c>
      <c r="R446" t="str">
        <f t="shared" si="49"/>
        <v/>
      </c>
      <c r="S446" t="str" cm="1">
        <f t="array" ref="S446">IF(M446="Control",INDEX(IC!A:A,1+BIN2DEC(MID($B446,21,4))),"")</f>
        <v/>
      </c>
      <c r="T446" t="str" cm="1">
        <f t="array" ref="T446">IF(M446="Control",INDEX(EC!A:A,1+BIN2DEC(MID($B446,25,3))),"")</f>
        <v/>
      </c>
      <c r="U446" t="str" cm="1">
        <f t="array" ref="U446">IF(M446="Control",INDEX(SR!A:A,1+BIN2DEC(MID($B446,28,2))),"")</f>
        <v/>
      </c>
      <c r="X446" t="s">
        <v>1030</v>
      </c>
      <c r="AC446" t="s">
        <v>1145</v>
      </c>
      <c r="AD446" s="1" t="s">
        <v>362</v>
      </c>
    </row>
    <row r="447" spans="1:30" x14ac:dyDescent="0.25">
      <c r="A447" s="4" t="str">
        <f t="shared" si="43"/>
        <v>1BD</v>
      </c>
      <c r="B447" s="2" t="s">
        <v>435</v>
      </c>
      <c r="C447" s="3"/>
      <c r="D447" s="3"/>
      <c r="E447" s="3"/>
      <c r="F447" s="27" t="str" cm="1">
        <f t="array" ref="F447">INDEX(Sources!A:A, 1 + BIN2DEC(LEFT($B447,5)))</f>
        <v>OPR</v>
      </c>
      <c r="G447" s="27" t="str" cm="1">
        <f t="array" ref="G447">INDEX(Dest1!A:A,1+BIN2DEC(MID($B447,6,5)))</f>
        <v>PC</v>
      </c>
      <c r="H447" s="27" t="str" cm="1">
        <f t="array" ref="H447">INDEX(Source2!A:A,1+BIN2DEC(MID($B447,11,4)))</f>
        <v>11</v>
      </c>
      <c r="I447" s="23" t="str" cm="1">
        <f t="array" ref="I447">INDEX('D2'!A:A,1+BIN2DEC(MID($B447,16,2)))</f>
        <v>TMPB</v>
      </c>
      <c r="J447" s="6">
        <f t="shared" si="48"/>
        <v>0</v>
      </c>
      <c r="K447" s="6">
        <f t="shared" si="44"/>
        <v>0</v>
      </c>
      <c r="L447" s="6">
        <f t="shared" si="45"/>
        <v>0</v>
      </c>
      <c r="M447" s="3" t="str" cm="1">
        <f t="array" ref="M447">INDEX(Types!A:A,1+BIN2DEC(MID($B447,20,2)))</f>
        <v>Control</v>
      </c>
      <c r="N447" s="3" t="str" cm="1">
        <f t="array" ref="N447">IF(M447="ALU",INDEX(ALUOps!A:A,1+BIN2DEC(MID($B447,22,5))),"")</f>
        <v/>
      </c>
      <c r="O447" s="3" t="str" cm="1">
        <f t="array" ref="O447">IF(M447="ALU",INDEX(TMP!A:A,1+BIN2DEC(MID($B447,27,2))),"")</f>
        <v/>
      </c>
      <c r="P447" s="6" t="str">
        <f t="shared" si="46"/>
        <v/>
      </c>
      <c r="Q447" t="str">
        <f t="shared" si="47"/>
        <v/>
      </c>
      <c r="R447" t="str">
        <f t="shared" si="49"/>
        <v/>
      </c>
      <c r="S447" cm="1">
        <f t="array" ref="S447">IF(M447="Control",INDEX(IC!A:A,1+BIN2DEC(MID($B447,21,4))),"")</f>
        <v>6</v>
      </c>
      <c r="T447" cm="1">
        <f t="array" ref="T447">IF(M447="Control",INDEX(EC!A:A,1+BIN2DEC(MID($B447,25,3))),"")</f>
        <v>0</v>
      </c>
      <c r="U447" cm="1">
        <f t="array" ref="U447">IF(M447="Control",INDEX(SR!A:A,1+BIN2DEC(MID($B447,28,2))),"")</f>
        <v>0</v>
      </c>
    </row>
    <row r="448" spans="1:30" x14ac:dyDescent="0.25">
      <c r="A448" s="4" t="str">
        <f t="shared" si="43"/>
        <v>1BE</v>
      </c>
      <c r="B448" s="2" t="s">
        <v>436</v>
      </c>
      <c r="C448" s="3"/>
      <c r="D448" s="3"/>
      <c r="E448" s="3"/>
      <c r="F448" s="27" t="str" cm="1">
        <f t="array" ref="F448">INDEX(Sources!A:A, 1 + BIN2DEC(LEFT($B448,5)))</f>
        <v>SIGMA</v>
      </c>
      <c r="G448" s="27" t="str" cm="1">
        <f t="array" ref="G448">INDEX(Dest1!A:A,1+BIN2DEC(MID($B448,6,5)))</f>
        <v>SP</v>
      </c>
      <c r="H448" s="27" t="str" cm="1">
        <f t="array" ref="H448">INDEX(Source2!A:A,1+BIN2DEC(MID($B448,11,4)))</f>
        <v>--</v>
      </c>
      <c r="I448" s="23" cm="1">
        <f t="array" ref="I448">INDEX('D2'!A:A,1+BIN2DEC(MID($B448,16,2)))</f>
        <v>0</v>
      </c>
      <c r="J448" s="6">
        <f t="shared" si="48"/>
        <v>0</v>
      </c>
      <c r="K448" s="6">
        <f t="shared" si="44"/>
        <v>0</v>
      </c>
      <c r="L448" s="6">
        <f t="shared" si="45"/>
        <v>0</v>
      </c>
      <c r="M448" s="3" t="str" cm="1">
        <f t="array" ref="M448">INDEX(Types!A:A,1+BIN2DEC(MID($B448,20,2)))</f>
        <v>Control</v>
      </c>
      <c r="N448" s="3" t="str" cm="1">
        <f t="array" ref="N448">IF(M448="ALU",INDEX(ALUOps!A:A,1+BIN2DEC(MID($B448,22,5))),"")</f>
        <v/>
      </c>
      <c r="O448" s="3" t="str" cm="1">
        <f t="array" ref="O448">IF(M448="ALU",INDEX(TMP!A:A,1+BIN2DEC(MID($B448,27,2))),"")</f>
        <v/>
      </c>
      <c r="P448" s="6" t="str">
        <f t="shared" si="46"/>
        <v/>
      </c>
      <c r="Q448" t="str">
        <f t="shared" si="47"/>
        <v/>
      </c>
      <c r="R448" t="str">
        <f t="shared" si="49"/>
        <v/>
      </c>
      <c r="S448" cm="1">
        <f t="array" ref="S448">IF(M448="Control",INDEX(IC!A:A,1+BIN2DEC(MID($B448,21,4))),"")</f>
        <v>0</v>
      </c>
      <c r="T448" cm="1">
        <f t="array" ref="T448">IF(M448="Control",INDEX(EC!A:A,1+BIN2DEC(MID($B448,25,3))),"")</f>
        <v>5</v>
      </c>
      <c r="U448" cm="1">
        <f t="array" ref="U448">IF(M448="Control",INDEX(SR!A:A,1+BIN2DEC(MID($B448,28,2))),"")</f>
        <v>1</v>
      </c>
    </row>
    <row r="449" spans="1:30" s="9" customFormat="1" ht="15.75" thickBot="1" x14ac:dyDescent="0.3">
      <c r="A449" s="7" t="str">
        <f t="shared" si="43"/>
        <v>1BF</v>
      </c>
      <c r="B449" s="8" t="s">
        <v>437</v>
      </c>
      <c r="C449" s="10"/>
      <c r="D449" s="10"/>
      <c r="E449" s="10"/>
      <c r="F449" s="30" t="str" cm="1">
        <f t="array" ref="F449">INDEX(Sources!A:A, 1 + BIN2DEC(LEFT($B449,5)))</f>
        <v>TMPB</v>
      </c>
      <c r="G449" s="30" t="str" cm="1">
        <f t="array" ref="G449">INDEX(Dest1!A:A,1+BIN2DEC(MID($B449,6,5)))</f>
        <v>OUT</v>
      </c>
      <c r="H449" s="30" t="str" cm="1">
        <f t="array" ref="H449">INDEX(Source2!A:A,1+BIN2DEC(MID($B449,11,4)))</f>
        <v>--</v>
      </c>
      <c r="I449" s="26" cm="1">
        <f t="array" ref="I449">INDEX('D2'!A:A,1+BIN2DEC(MID($B449,16,2)))</f>
        <v>0</v>
      </c>
      <c r="J449" s="11">
        <f t="shared" si="48"/>
        <v>0</v>
      </c>
      <c r="K449" s="11">
        <f t="shared" si="44"/>
        <v>0</v>
      </c>
      <c r="L449" s="11">
        <f t="shared" si="45"/>
        <v>1</v>
      </c>
      <c r="M449" s="10" t="str" cm="1">
        <f t="array" ref="M449">INDEX(Types!A:A,1+BIN2DEC(MID($B449,20,2)))</f>
        <v>Control</v>
      </c>
      <c r="N449" s="10" t="str" cm="1">
        <f t="array" ref="N449">IF(M449="ALU",INDEX(ALUOps!A:A,1+BIN2DEC(MID($B449,22,5))),"")</f>
        <v/>
      </c>
      <c r="O449" s="10" t="str" cm="1">
        <f t="array" ref="O449">IF(M449="ALU",INDEX(TMP!A:A,1+BIN2DEC(MID($B449,27,2))),"")</f>
        <v/>
      </c>
      <c r="P449" s="11" t="str">
        <f t="shared" si="46"/>
        <v/>
      </c>
      <c r="Q449" s="9" t="str">
        <f t="shared" si="47"/>
        <v/>
      </c>
      <c r="R449" s="9" t="str">
        <f t="shared" si="49"/>
        <v/>
      </c>
      <c r="S449" s="9" cm="1">
        <f t="array" ref="S449">IF(M449="Control",INDEX(IC!A:A,1+BIN2DEC(MID($B449,21,4))),"")</f>
        <v>0</v>
      </c>
      <c r="T449" s="9" cm="1">
        <f t="array" ref="T449">IF(M449="Control",INDEX(EC!A:A,1+BIN2DEC(MID($B449,25,3))),"")</f>
        <v>0</v>
      </c>
      <c r="U449" s="9" cm="1">
        <f t="array" ref="U449">IF(M449="Control",INDEX(SR!A:A,1+BIN2DEC(MID($B449,28,2))),"")</f>
        <v>0</v>
      </c>
    </row>
    <row r="450" spans="1:30" x14ac:dyDescent="0.25">
      <c r="A450" s="4" t="str">
        <f t="shared" si="43"/>
        <v>1C0</v>
      </c>
      <c r="B450" s="2" t="s">
        <v>438</v>
      </c>
      <c r="C450" s="2" t="s">
        <v>439</v>
      </c>
      <c r="D450" s="2" t="s">
        <v>935</v>
      </c>
      <c r="E450" s="2" t="s">
        <v>462</v>
      </c>
      <c r="F450" s="27" t="str" cm="1">
        <f t="array" ref="F450">INDEX(Sources!A:A, 1 + BIN2DEC(LEFT($B450,5)))</f>
        <v>SIGMA</v>
      </c>
      <c r="G450" s="27" t="str" cm="1">
        <f t="array" ref="G450">INDEX(Dest1!A:A,1+BIN2DEC(MID($B450,6,5)))</f>
        <v>TMPA</v>
      </c>
      <c r="H450" s="27" t="str" cm="1">
        <f t="array" ref="H450">INDEX(Source2!A:A,1+BIN2DEC(MID($B450,11,4)))</f>
        <v>--</v>
      </c>
      <c r="I450" s="23" cm="1">
        <f t="array" ref="I450">INDEX('D2'!A:A,1+BIN2DEC(MID($B450,16,2)))</f>
        <v>0</v>
      </c>
      <c r="J450" s="6">
        <f t="shared" si="48"/>
        <v>0</v>
      </c>
      <c r="K450" s="6">
        <f t="shared" si="44"/>
        <v>0</v>
      </c>
      <c r="L450" s="6">
        <f t="shared" si="45"/>
        <v>0</v>
      </c>
      <c r="M450" s="3" t="str" cm="1">
        <f t="array" ref="M450">INDEX(Types!A:A,1+BIN2DEC(MID($B450,20,2)))</f>
        <v>Control</v>
      </c>
      <c r="N450" s="3" t="str" cm="1">
        <f t="array" ref="N450">IF(M450="ALU",INDEX(ALUOps!A:A,1+BIN2DEC(MID($B450,22,5))),"")</f>
        <v/>
      </c>
      <c r="O450" s="3" t="str" cm="1">
        <f t="array" ref="O450">IF(M450="ALU",INDEX(TMP!A:A,1+BIN2DEC(MID($B450,27,2))),"")</f>
        <v/>
      </c>
      <c r="P450" s="6" t="str">
        <f t="shared" si="46"/>
        <v/>
      </c>
      <c r="Q450" t="str">
        <f t="shared" si="47"/>
        <v/>
      </c>
      <c r="R450" t="str">
        <f t="shared" si="49"/>
        <v/>
      </c>
      <c r="S450" cm="1">
        <f t="array" ref="S450">IF(M450="Control",INDEX(IC!A:A,1+BIN2DEC(MID($B450,21,4))),"")</f>
        <v>7</v>
      </c>
      <c r="T450" cm="1">
        <f t="array" ref="T450">IF(M450="Control",INDEX(EC!A:A,1+BIN2DEC(MID($B450,25,3))),"")</f>
        <v>0</v>
      </c>
      <c r="U450" cm="1">
        <f t="array" ref="U450">IF(M450="Control",INDEX(SR!A:A,1+BIN2DEC(MID($B450,28,2))),"")</f>
        <v>0</v>
      </c>
      <c r="X450" t="s">
        <v>1146</v>
      </c>
      <c r="AC450" t="s">
        <v>1145</v>
      </c>
      <c r="AD450" s="1" t="s">
        <v>360</v>
      </c>
    </row>
    <row r="451" spans="1:30" x14ac:dyDescent="0.25">
      <c r="A451" s="4" t="str">
        <f t="shared" ref="A451:A514" si="50">DEC2HEX(ROW(A450)-ROW($A$1),3)</f>
        <v>1C1</v>
      </c>
      <c r="B451" s="2" t="s">
        <v>440</v>
      </c>
      <c r="C451" s="3"/>
      <c r="D451" s="3"/>
      <c r="E451" s="3"/>
      <c r="F451" s="27" t="str" cm="1">
        <f t="array" ref="F451">INDEX(Sources!A:A, 1 + BIN2DEC(LEFT($B451,5)))</f>
        <v>OUT</v>
      </c>
      <c r="G451" s="27" t="str" cm="1">
        <f t="array" ref="G451">INDEX(Dest1!A:A,1+BIN2DEC(MID($B451,6,5)))</f>
        <v>TMPB</v>
      </c>
      <c r="H451" s="27" t="str" cm="1">
        <f t="array" ref="H451">INDEX(Source2!A:A,1+BIN2DEC(MID($B451,11,4)))</f>
        <v>--</v>
      </c>
      <c r="I451" s="23" cm="1">
        <f t="array" ref="I451">INDEX('D2'!A:A,1+BIN2DEC(MID($B451,16,2)))</f>
        <v>1</v>
      </c>
      <c r="J451" s="6">
        <f t="shared" si="48"/>
        <v>1</v>
      </c>
      <c r="K451" s="6">
        <f t="shared" ref="K451:K705" si="51">BIN2DEC(MID($B451,18,1))</f>
        <v>0</v>
      </c>
      <c r="L451" s="6">
        <f t="shared" ref="L451:L705" si="52">BIN2DEC(MID($B451,19,1))</f>
        <v>0</v>
      </c>
      <c r="M451" s="3" t="str" cm="1">
        <f t="array" ref="M451">INDEX(Types!A:A,1+BIN2DEC(MID($B451,20,2)))</f>
        <v>ALU</v>
      </c>
      <c r="N451" s="3" cm="1">
        <f t="array" ref="N451">IF(M451="ALU",INDEX(ALUOps!A:A,1+BIN2DEC(MID($B451,22,5))),"")</f>
        <v>3</v>
      </c>
      <c r="O451" s="3" cm="1">
        <f t="array" ref="O451">IF(M451="ALU",INDEX(TMP!A:A,1+BIN2DEC(MID($B451,27,2))),"")</f>
        <v>2</v>
      </c>
      <c r="P451" s="6">
        <f t="shared" ref="P451:P513" si="53">IF(M451="ALU",BIN2DEC(MID($B451,29,1)),"")</f>
        <v>1</v>
      </c>
      <c r="Q451" t="str">
        <f t="shared" ref="Q451:Q514" si="54">IF(M451="Jump",BIN2DEC(MID($B451,22,4)),"")</f>
        <v/>
      </c>
      <c r="R451" t="str">
        <f t="shared" si="49"/>
        <v/>
      </c>
      <c r="S451" t="str" cm="1">
        <f t="array" ref="S451">IF(M451="Control",INDEX(IC!A:A,1+BIN2DEC(MID($B451,21,4))),"")</f>
        <v/>
      </c>
      <c r="T451" t="str" cm="1">
        <f t="array" ref="T451">IF(M451="Control",INDEX(EC!A:A,1+BIN2DEC(MID($B451,25,3))),"")</f>
        <v/>
      </c>
      <c r="U451" t="str" cm="1">
        <f t="array" ref="U451">IF(M451="Control",INDEX(SR!A:A,1+BIN2DEC(MID($B451,28,2))),"")</f>
        <v/>
      </c>
    </row>
    <row r="452" spans="1:30" x14ac:dyDescent="0.25">
      <c r="A452" s="4" t="str">
        <f t="shared" si="50"/>
        <v>1C2</v>
      </c>
      <c r="B452" s="2" t="s">
        <v>245</v>
      </c>
      <c r="C452" s="3"/>
      <c r="D452" s="3"/>
      <c r="E452" s="3"/>
      <c r="F452" s="27" t="str" cm="1">
        <f t="array" ref="F452">INDEX(Sources!A:A, 1 + BIN2DEC(LEFT($B452,5)))</f>
        <v>SIGMA</v>
      </c>
      <c r="G452" s="27" t="str" cm="1">
        <f t="array" ref="G452">INDEX(Dest1!A:A,1+BIN2DEC(MID($B452,6,5)))</f>
        <v>UNK26</v>
      </c>
      <c r="H452" s="27" t="str" cm="1">
        <f t="array" ref="H452">INDEX(Source2!A:A,1+BIN2DEC(MID($B452,11,4)))</f>
        <v>--</v>
      </c>
      <c r="I452" s="23" cm="1">
        <f t="array" ref="I452">INDEX('D2'!A:A,1+BIN2DEC(MID($B452,16,2)))</f>
        <v>0</v>
      </c>
      <c r="J452" s="6">
        <f t="shared" ref="J452:J706" si="55">BIN2DEC(MID($B452,17,1))</f>
        <v>0</v>
      </c>
      <c r="K452" s="6">
        <f t="shared" si="51"/>
        <v>0</v>
      </c>
      <c r="L452" s="6">
        <f t="shared" si="52"/>
        <v>0</v>
      </c>
      <c r="M452" s="3" t="str" cm="1">
        <f t="array" ref="M452">INDEX(Types!A:A,1+BIN2DEC(MID($B452,20,2)))</f>
        <v>Control</v>
      </c>
      <c r="N452" s="3" t="str" cm="1">
        <f t="array" ref="N452">IF(M452="ALU",INDEX(ALUOps!A:A,1+BIN2DEC(MID($B452,22,5))),"")</f>
        <v/>
      </c>
      <c r="O452" s="3" t="str" cm="1">
        <f t="array" ref="O452">IF(M452="ALU",INDEX(TMP!A:A,1+BIN2DEC(MID($B452,27,2))),"")</f>
        <v/>
      </c>
      <c r="P452" s="6" t="str">
        <f t="shared" si="53"/>
        <v/>
      </c>
      <c r="Q452" t="str">
        <f t="shared" si="54"/>
        <v/>
      </c>
      <c r="R452" t="str">
        <f t="shared" si="49"/>
        <v/>
      </c>
      <c r="S452" cm="1">
        <f t="array" ref="S452">IF(M452="Control",INDEX(IC!A:A,1+BIN2DEC(MID($B452,21,4))),"")</f>
        <v>0</v>
      </c>
      <c r="T452" cm="1">
        <f t="array" ref="T452">IF(M452="Control",INDEX(EC!A:A,1+BIN2DEC(MID($B452,25,3))),"")</f>
        <v>6</v>
      </c>
      <c r="U452" cm="1">
        <f t="array" ref="U452">IF(M452="Control",INDEX(SR!A:A,1+BIN2DEC(MID($B452,28,2))),"")</f>
        <v>0</v>
      </c>
    </row>
    <row r="453" spans="1:30" s="9" customFormat="1" ht="15.75" thickBot="1" x14ac:dyDescent="0.3">
      <c r="A453" s="7" t="str">
        <f t="shared" si="50"/>
        <v>1C3</v>
      </c>
      <c r="B453" s="8" t="s">
        <v>441</v>
      </c>
      <c r="C453" s="10"/>
      <c r="D453" s="10"/>
      <c r="E453" s="10"/>
      <c r="F453" s="30" t="str" cm="1">
        <f t="array" ref="F453">INDEX(Sources!A:A, 1 + BIN2DEC(LEFT($B453,5)))</f>
        <v>OUT</v>
      </c>
      <c r="G453" s="30" t="str" cm="1">
        <f t="array" ref="G453">INDEX(Dest1!A:A,1+BIN2DEC(MID($B453,6,5)))</f>
        <v>TMPA</v>
      </c>
      <c r="H453" s="30" t="str" cm="1">
        <f t="array" ref="H453">INDEX(Source2!A:A,1+BIN2DEC(MID($B453,11,4)))</f>
        <v>--</v>
      </c>
      <c r="I453" s="26" cm="1">
        <f t="array" ref="I453">INDEX('D2'!A:A,1+BIN2DEC(MID($B453,16,2)))</f>
        <v>1</v>
      </c>
      <c r="J453" s="11">
        <f t="shared" si="55"/>
        <v>1</v>
      </c>
      <c r="K453" s="11">
        <f t="shared" si="51"/>
        <v>0</v>
      </c>
      <c r="L453" s="11">
        <f t="shared" si="52"/>
        <v>0</v>
      </c>
      <c r="M453" s="10" t="str" cm="1">
        <f t="array" ref="M453">INDEX(Types!A:A,1+BIN2DEC(MID($B453,20,2)))</f>
        <v>Control</v>
      </c>
      <c r="N453" s="10" t="str" cm="1">
        <f t="array" ref="N453">IF(M453="ALU",INDEX(ALUOps!A:A,1+BIN2DEC(MID($B453,22,5))),"")</f>
        <v/>
      </c>
      <c r="O453" s="10" t="str" cm="1">
        <f t="array" ref="O453">IF(M453="ALU",INDEX(TMP!A:A,1+BIN2DEC(MID($B453,27,2))),"")</f>
        <v/>
      </c>
      <c r="P453" s="11" t="str">
        <f t="shared" si="53"/>
        <v/>
      </c>
      <c r="Q453" s="9" t="str">
        <f t="shared" si="54"/>
        <v/>
      </c>
      <c r="R453" s="9" t="str">
        <f t="shared" si="49"/>
        <v/>
      </c>
      <c r="S453" s="9" cm="1">
        <f t="array" ref="S453">IF(M453="Control",INDEX(IC!A:A,1+BIN2DEC(MID($B453,21,4))),"")</f>
        <v>1</v>
      </c>
      <c r="T453" s="9" cm="1">
        <f t="array" ref="T453">IF(M453="Control",INDEX(EC!A:A,1+BIN2DEC(MID($B453,25,3))),"")</f>
        <v>4</v>
      </c>
      <c r="U453" s="9" cm="1">
        <f t="array" ref="U453">IF(M453="Control",INDEX(SR!A:A,1+BIN2DEC(MID($B453,28,2))),"")</f>
        <v>2</v>
      </c>
    </row>
    <row r="454" spans="1:30" x14ac:dyDescent="0.25">
      <c r="A454" s="4" t="str">
        <f t="shared" si="50"/>
        <v>1C4</v>
      </c>
      <c r="B454" s="2" t="s">
        <v>442</v>
      </c>
      <c r="C454" s="2" t="s">
        <v>443</v>
      </c>
      <c r="D454" s="2" t="s">
        <v>935</v>
      </c>
      <c r="E454" s="2" t="s">
        <v>462</v>
      </c>
      <c r="F454" s="27" t="str" cm="1">
        <f t="array" ref="F454">INDEX(Sources!A:A, 1 + BIN2DEC(LEFT($B454,5)))</f>
        <v>OPR</v>
      </c>
      <c r="G454" s="27" t="str" cm="1">
        <f t="array" ref="G454">INDEX(Dest1!A:A,1+BIN2DEC(MID($B454,6,5)))</f>
        <v>PC</v>
      </c>
      <c r="H454" s="27" t="str" cm="1">
        <f t="array" ref="H454">INDEX(Source2!A:A,1+BIN2DEC(MID($B454,11,4)))</f>
        <v>--</v>
      </c>
      <c r="I454" s="23" cm="1">
        <f t="array" ref="I454">INDEX('D2'!A:A,1+BIN2DEC(MID($B454,16,2)))</f>
        <v>0</v>
      </c>
      <c r="J454" s="6">
        <f t="shared" si="55"/>
        <v>0</v>
      </c>
      <c r="K454" s="6">
        <f t="shared" si="51"/>
        <v>0</v>
      </c>
      <c r="L454" s="6">
        <f t="shared" si="52"/>
        <v>1</v>
      </c>
      <c r="M454" s="3" t="str" cm="1">
        <f t="array" ref="M454">INDEX(Types!A:A,1+BIN2DEC(MID($B454,20,2)))</f>
        <v>Control</v>
      </c>
      <c r="N454" s="3" t="str" cm="1">
        <f t="array" ref="N454">IF(M454="ALU",INDEX(ALUOps!A:A,1+BIN2DEC(MID($B454,22,5))),"")</f>
        <v/>
      </c>
      <c r="O454" s="3" t="str" cm="1">
        <f t="array" ref="O454">IF(M454="ALU",INDEX(TMP!A:A,1+BIN2DEC(MID($B454,27,2))),"")</f>
        <v/>
      </c>
      <c r="P454" s="6" t="str">
        <f t="shared" si="53"/>
        <v/>
      </c>
      <c r="Q454" t="str">
        <f t="shared" si="54"/>
        <v/>
      </c>
      <c r="R454" t="str">
        <f t="shared" si="49"/>
        <v/>
      </c>
      <c r="S454" cm="1">
        <f t="array" ref="S454">IF(M454="Control",INDEX(IC!A:A,1+BIN2DEC(MID($B454,21,4))),"")</f>
        <v>6</v>
      </c>
      <c r="T454" cm="1">
        <f t="array" ref="T454">IF(M454="Control",INDEX(EC!A:A,1+BIN2DEC(MID($B454,25,3))),"")</f>
        <v>0</v>
      </c>
      <c r="U454" cm="1">
        <f t="array" ref="U454">IF(M454="Control",INDEX(SR!A:A,1+BIN2DEC(MID($B454,28,2))),"")</f>
        <v>0</v>
      </c>
      <c r="X454" t="s">
        <v>1085</v>
      </c>
      <c r="AC454" t="s">
        <v>1145</v>
      </c>
      <c r="AD454" s="1" t="s">
        <v>365</v>
      </c>
    </row>
    <row r="455" spans="1:30" s="15" customFormat="1" x14ac:dyDescent="0.25">
      <c r="A455" s="12" t="str">
        <f t="shared" si="50"/>
        <v>1C5</v>
      </c>
      <c r="B455" s="13" t="s">
        <v>4</v>
      </c>
      <c r="C455" s="14"/>
      <c r="D455" s="14"/>
      <c r="E455" s="14"/>
      <c r="F455" s="28" t="str" cm="1">
        <f t="array" ref="F455">INDEX(Sources!A:A, 1 + BIN2DEC(LEFT($B455,5)))</f>
        <v>--</v>
      </c>
      <c r="G455" s="28" t="str" cm="1">
        <f t="array" ref="G455">INDEX(Dest1!A:A,1+BIN2DEC(MID($B455,6,5)))</f>
        <v>--</v>
      </c>
      <c r="H455" s="28" t="str" cm="1">
        <f t="array" ref="H455">INDEX(Source2!A:A,1+BIN2DEC(MID($B455,11,4)))</f>
        <v>--</v>
      </c>
      <c r="I455" s="24" cm="1">
        <f t="array" ref="I455">INDEX('D2'!A:A,1+BIN2DEC(MID($B455,16,2)))</f>
        <v>0</v>
      </c>
      <c r="J455" s="16">
        <f t="shared" si="55"/>
        <v>0</v>
      </c>
      <c r="K455" s="16">
        <f t="shared" si="51"/>
        <v>0</v>
      </c>
      <c r="L455" s="16">
        <f t="shared" si="52"/>
        <v>0</v>
      </c>
      <c r="M455" s="14" t="str" cm="1">
        <f t="array" ref="M455">INDEX(Types!A:A,1+BIN2DEC(MID($B455,20,2)))</f>
        <v>Control</v>
      </c>
      <c r="N455" s="14" t="str" cm="1">
        <f t="array" ref="N455">IF(M455="ALU",INDEX(ALUOps!A:A,1+BIN2DEC(MID($B455,22,5))),"")</f>
        <v/>
      </c>
      <c r="O455" s="14" t="str" cm="1">
        <f t="array" ref="O455">IF(M455="ALU",INDEX(TMP!A:A,1+BIN2DEC(MID($B455,27,2))),"")</f>
        <v/>
      </c>
      <c r="P455" s="16" t="str">
        <f t="shared" si="53"/>
        <v/>
      </c>
      <c r="Q455" s="15" t="str">
        <f t="shared" si="54"/>
        <v/>
      </c>
      <c r="R455" s="15" t="str">
        <f t="shared" ref="R455:R518" si="56">IF(M455="Jump",15-BIN2DEC(MID($B455,26,4)),"")</f>
        <v/>
      </c>
      <c r="S455" s="15" cm="1">
        <f t="array" ref="S455">IF(M455="Control",INDEX(IC!A:A,1+BIN2DEC(MID($B455,21,4))),"")</f>
        <v>0</v>
      </c>
      <c r="T455" s="15" cm="1">
        <f t="array" ref="T455">IF(M455="Control",INDEX(EC!A:A,1+BIN2DEC(MID($B455,25,3))),"")</f>
        <v>0</v>
      </c>
      <c r="U455" s="15" cm="1">
        <f t="array" ref="U455">IF(M455="Control",INDEX(SR!A:A,1+BIN2DEC(MID($B455,28,2))),"")</f>
        <v>0</v>
      </c>
    </row>
    <row r="456" spans="1:30" s="15" customFormat="1" x14ac:dyDescent="0.25">
      <c r="A456" s="12" t="str">
        <f t="shared" si="50"/>
        <v>1C6</v>
      </c>
      <c r="B456" s="13" t="s">
        <v>4</v>
      </c>
      <c r="C456" s="14"/>
      <c r="D456" s="14"/>
      <c r="E456" s="14"/>
      <c r="F456" s="28" t="str" cm="1">
        <f t="array" ref="F456">INDEX(Sources!A:A, 1 + BIN2DEC(LEFT($B456,5)))</f>
        <v>--</v>
      </c>
      <c r="G456" s="28" t="str" cm="1">
        <f t="array" ref="G456">INDEX(Dest1!A:A,1+BIN2DEC(MID($B456,6,5)))</f>
        <v>--</v>
      </c>
      <c r="H456" s="28" t="str" cm="1">
        <f t="array" ref="H456">INDEX(Source2!A:A,1+BIN2DEC(MID($B456,11,4)))</f>
        <v>--</v>
      </c>
      <c r="I456" s="24" cm="1">
        <f t="array" ref="I456">INDEX('D2'!A:A,1+BIN2DEC(MID($B456,16,2)))</f>
        <v>0</v>
      </c>
      <c r="J456" s="16">
        <f t="shared" si="55"/>
        <v>0</v>
      </c>
      <c r="K456" s="16">
        <f t="shared" si="51"/>
        <v>0</v>
      </c>
      <c r="L456" s="16">
        <f t="shared" si="52"/>
        <v>0</v>
      </c>
      <c r="M456" s="14" t="str" cm="1">
        <f t="array" ref="M456">INDEX(Types!A:A,1+BIN2DEC(MID($B456,20,2)))</f>
        <v>Control</v>
      </c>
      <c r="N456" s="14" t="str" cm="1">
        <f t="array" ref="N456">IF(M456="ALU",INDEX(ALUOps!A:A,1+BIN2DEC(MID($B456,22,5))),"")</f>
        <v/>
      </c>
      <c r="O456" s="14" t="str" cm="1">
        <f t="array" ref="O456">IF(M456="ALU",INDEX(TMP!A:A,1+BIN2DEC(MID($B456,27,2))),"")</f>
        <v/>
      </c>
      <c r="P456" s="16" t="str">
        <f t="shared" si="53"/>
        <v/>
      </c>
      <c r="Q456" s="15" t="str">
        <f t="shared" si="54"/>
        <v/>
      </c>
      <c r="R456" s="15" t="str">
        <f t="shared" si="56"/>
        <v/>
      </c>
      <c r="S456" s="15" cm="1">
        <f t="array" ref="S456">IF(M456="Control",INDEX(IC!A:A,1+BIN2DEC(MID($B456,21,4))),"")</f>
        <v>0</v>
      </c>
      <c r="T456" s="15" cm="1">
        <f t="array" ref="T456">IF(M456="Control",INDEX(EC!A:A,1+BIN2DEC(MID($B456,25,3))),"")</f>
        <v>0</v>
      </c>
      <c r="U456" s="15" cm="1">
        <f t="array" ref="U456">IF(M456="Control",INDEX(SR!A:A,1+BIN2DEC(MID($B456,28,2))),"")</f>
        <v>0</v>
      </c>
    </row>
    <row r="457" spans="1:30" s="20" customFormat="1" ht="15.75" thickBot="1" x14ac:dyDescent="0.3">
      <c r="A457" s="17" t="str">
        <f t="shared" si="50"/>
        <v>1C7</v>
      </c>
      <c r="B457" s="18" t="s">
        <v>4</v>
      </c>
      <c r="C457" s="19"/>
      <c r="D457" s="19"/>
      <c r="E457" s="19"/>
      <c r="F457" s="29" t="str" cm="1">
        <f t="array" ref="F457">INDEX(Sources!A:A, 1 + BIN2DEC(LEFT($B457,5)))</f>
        <v>--</v>
      </c>
      <c r="G457" s="29" t="str" cm="1">
        <f t="array" ref="G457">INDEX(Dest1!A:A,1+BIN2DEC(MID($B457,6,5)))</f>
        <v>--</v>
      </c>
      <c r="H457" s="29" t="str" cm="1">
        <f t="array" ref="H457">INDEX(Source2!A:A,1+BIN2DEC(MID($B457,11,4)))</f>
        <v>--</v>
      </c>
      <c r="I457" s="25" cm="1">
        <f t="array" ref="I457">INDEX('D2'!A:A,1+BIN2DEC(MID($B457,16,2)))</f>
        <v>0</v>
      </c>
      <c r="J457" s="21">
        <f t="shared" si="55"/>
        <v>0</v>
      </c>
      <c r="K457" s="21">
        <f t="shared" si="51"/>
        <v>0</v>
      </c>
      <c r="L457" s="21">
        <f t="shared" si="52"/>
        <v>0</v>
      </c>
      <c r="M457" s="19" t="str" cm="1">
        <f t="array" ref="M457">INDEX(Types!A:A,1+BIN2DEC(MID($B457,20,2)))</f>
        <v>Control</v>
      </c>
      <c r="N457" s="19" t="str" cm="1">
        <f t="array" ref="N457">IF(M457="ALU",INDEX(ALUOps!A:A,1+BIN2DEC(MID($B457,22,5))),"")</f>
        <v/>
      </c>
      <c r="O457" s="19" t="str" cm="1">
        <f t="array" ref="O457">IF(M457="ALU",INDEX(TMP!A:A,1+BIN2DEC(MID($B457,27,2))),"")</f>
        <v/>
      </c>
      <c r="P457" s="21" t="str">
        <f t="shared" si="53"/>
        <v/>
      </c>
      <c r="Q457" s="20" t="str">
        <f t="shared" si="54"/>
        <v/>
      </c>
      <c r="R457" s="20" t="str">
        <f t="shared" si="56"/>
        <v/>
      </c>
      <c r="S457" s="20" cm="1">
        <f t="array" ref="S457">IF(M457="Control",INDEX(IC!A:A,1+BIN2DEC(MID($B457,21,4))),"")</f>
        <v>0</v>
      </c>
      <c r="T457" s="20" cm="1">
        <f t="array" ref="T457">IF(M457="Control",INDEX(EC!A:A,1+BIN2DEC(MID($B457,25,3))),"")</f>
        <v>0</v>
      </c>
      <c r="U457" s="20" cm="1">
        <f t="array" ref="U457">IF(M457="Control",INDEX(SR!A:A,1+BIN2DEC(MID($B457,28,2))),"")</f>
        <v>0</v>
      </c>
    </row>
    <row r="458" spans="1:30" x14ac:dyDescent="0.25">
      <c r="A458" s="4" t="str">
        <f t="shared" si="50"/>
        <v>1C8</v>
      </c>
      <c r="B458" s="2" t="s">
        <v>444</v>
      </c>
      <c r="C458" s="2" t="s">
        <v>445</v>
      </c>
      <c r="D458" s="2" t="s">
        <v>935</v>
      </c>
      <c r="E458" s="2" t="s">
        <v>462</v>
      </c>
      <c r="F458" s="27" t="str" cm="1">
        <f t="array" ref="F458">INDEX(Sources!A:A, 1 + BIN2DEC(LEFT($B458,5)))</f>
        <v>OUT</v>
      </c>
      <c r="G458" s="27" t="str" cm="1">
        <f t="array" ref="G458">INDEX(Dest1!A:A,1+BIN2DEC(MID($B458,6,5)))</f>
        <v>TMPA</v>
      </c>
      <c r="H458" s="27" t="str" cm="1">
        <f t="array" ref="H458">INDEX(Source2!A:A,1+BIN2DEC(MID($B458,11,4)))</f>
        <v>11</v>
      </c>
      <c r="I458" s="23" cm="1">
        <f t="array" ref="I458">INDEX('D2'!A:A,1+BIN2DEC(MID($B458,16,2)))</f>
        <v>3</v>
      </c>
      <c r="J458" s="6">
        <f t="shared" si="55"/>
        <v>1</v>
      </c>
      <c r="K458" s="6">
        <f t="shared" si="51"/>
        <v>0</v>
      </c>
      <c r="L458" s="6">
        <f t="shared" si="52"/>
        <v>0</v>
      </c>
      <c r="M458" s="3" t="str" cm="1">
        <f t="array" ref="M458">INDEX(Types!A:A,1+BIN2DEC(MID($B458,20,2)))</f>
        <v>ALU</v>
      </c>
      <c r="N458" s="3" cm="1">
        <f t="array" ref="N458">IF(M458="ALU",INDEX(ALUOps!A:A,1+BIN2DEC(MID($B458,22,5))),"")</f>
        <v>3</v>
      </c>
      <c r="O458" s="3" cm="1">
        <f t="array" ref="O458">IF(M458="ALU",INDEX(TMP!A:A,1+BIN2DEC(MID($B458,27,2))),"")</f>
        <v>3</v>
      </c>
      <c r="P458" s="6">
        <f t="shared" si="53"/>
        <v>1</v>
      </c>
      <c r="Q458" t="str">
        <f t="shared" si="54"/>
        <v/>
      </c>
      <c r="R458" t="str">
        <f t="shared" si="56"/>
        <v/>
      </c>
      <c r="S458" t="str" cm="1">
        <f t="array" ref="S458">IF(M458="Control",INDEX(IC!A:A,1+BIN2DEC(MID($B458,21,4))),"")</f>
        <v/>
      </c>
      <c r="T458" t="str" cm="1">
        <f t="array" ref="T458">IF(M458="Control",INDEX(EC!A:A,1+BIN2DEC(MID($B458,25,3))),"")</f>
        <v/>
      </c>
      <c r="U458" t="str" cm="1">
        <f t="array" ref="U458">IF(M458="Control",INDEX(SR!A:A,1+BIN2DEC(MID($B458,28,2))),"")</f>
        <v/>
      </c>
      <c r="X458" t="s">
        <v>1033</v>
      </c>
      <c r="AC458" t="s">
        <v>1145</v>
      </c>
      <c r="AD458" s="1" t="s">
        <v>378</v>
      </c>
    </row>
    <row r="459" spans="1:30" x14ac:dyDescent="0.25">
      <c r="A459" s="4" t="str">
        <f t="shared" si="50"/>
        <v>1C9</v>
      </c>
      <c r="B459" s="2" t="s">
        <v>446</v>
      </c>
      <c r="C459" s="3"/>
      <c r="D459" s="3"/>
      <c r="E459" s="3"/>
      <c r="F459" s="27" t="str" cm="1">
        <f t="array" ref="F459">INDEX(Sources!A:A, 1 + BIN2DEC(LEFT($B459,5)))</f>
        <v>SIGMA</v>
      </c>
      <c r="G459" s="27" t="str" cm="1">
        <f t="array" ref="G459">INDEX(Dest1!A:A,1+BIN2DEC(MID($B459,6,5)))</f>
        <v>UNK26</v>
      </c>
      <c r="H459" s="27" t="str" cm="1">
        <f t="array" ref="H459">INDEX(Source2!A:A,1+BIN2DEC(MID($B459,11,4)))</f>
        <v>--</v>
      </c>
      <c r="I459" s="23" cm="1">
        <f t="array" ref="I459">INDEX('D2'!A:A,1+BIN2DEC(MID($B459,16,2)))</f>
        <v>0</v>
      </c>
      <c r="J459" s="6">
        <f t="shared" si="55"/>
        <v>0</v>
      </c>
      <c r="K459" s="6">
        <f t="shared" si="51"/>
        <v>0</v>
      </c>
      <c r="L459" s="6">
        <f t="shared" si="52"/>
        <v>0</v>
      </c>
      <c r="M459" s="3" t="str" cm="1">
        <f t="array" ref="M459">INDEX(Types!A:A,1+BIN2DEC(MID($B459,20,2)))</f>
        <v>Control</v>
      </c>
      <c r="N459" s="3" t="str" cm="1">
        <f t="array" ref="N459">IF(M459="ALU",INDEX(ALUOps!A:A,1+BIN2DEC(MID($B459,22,5))),"")</f>
        <v/>
      </c>
      <c r="O459" s="3" t="str" cm="1">
        <f t="array" ref="O459">IF(M459="ALU",INDEX(TMP!A:A,1+BIN2DEC(MID($B459,27,2))),"")</f>
        <v/>
      </c>
      <c r="P459" s="6" t="str">
        <f t="shared" si="53"/>
        <v/>
      </c>
      <c r="Q459" t="str">
        <f t="shared" si="54"/>
        <v/>
      </c>
      <c r="R459" t="str">
        <f t="shared" si="56"/>
        <v/>
      </c>
      <c r="S459" cm="1">
        <f t="array" ref="S459">IF(M459="Control",INDEX(IC!A:A,1+BIN2DEC(MID($B459,21,4))),"")</f>
        <v>7</v>
      </c>
      <c r="T459" cm="1">
        <f t="array" ref="T459">IF(M459="Control",INDEX(EC!A:A,1+BIN2DEC(MID($B459,25,3))),"")</f>
        <v>6</v>
      </c>
      <c r="U459" cm="1">
        <f t="array" ref="U459">IF(M459="Control",INDEX(SR!A:A,1+BIN2DEC(MID($B459,28,2))),"")</f>
        <v>0</v>
      </c>
    </row>
    <row r="460" spans="1:30" x14ac:dyDescent="0.25">
      <c r="A460" s="4" t="str">
        <f t="shared" si="50"/>
        <v>1CA</v>
      </c>
      <c r="B460" s="2" t="s">
        <v>447</v>
      </c>
      <c r="C460" s="3"/>
      <c r="D460" s="3"/>
      <c r="E460" s="3"/>
      <c r="F460" s="27" t="str" cm="1">
        <f t="array" ref="F460">INDEX(Sources!A:A, 1 + BIN2DEC(LEFT($B460,5)))</f>
        <v>OUT</v>
      </c>
      <c r="G460" s="27" t="str" cm="1">
        <f t="array" ref="G460">INDEX(Dest1!A:A,1+BIN2DEC(MID($B460,6,5)))</f>
        <v>CS</v>
      </c>
      <c r="H460" s="27" t="str" cm="1">
        <f t="array" ref="H460">INDEX(Source2!A:A,1+BIN2DEC(MID($B460,11,4)))</f>
        <v>--</v>
      </c>
      <c r="I460" s="23" cm="1">
        <f t="array" ref="I460">INDEX('D2'!A:A,1+BIN2DEC(MID($B460,16,2)))</f>
        <v>1</v>
      </c>
      <c r="J460" s="6">
        <f t="shared" si="55"/>
        <v>1</v>
      </c>
      <c r="K460" s="6">
        <f t="shared" si="51"/>
        <v>0</v>
      </c>
      <c r="L460" s="6">
        <f t="shared" si="52"/>
        <v>0</v>
      </c>
      <c r="M460" s="3" t="str" cm="1">
        <f t="array" ref="M460">INDEX(Types!A:A,1+BIN2DEC(MID($B460,20,2)))</f>
        <v>Control</v>
      </c>
      <c r="N460" s="3" t="str" cm="1">
        <f t="array" ref="N460">IF(M460="ALU",INDEX(ALUOps!A:A,1+BIN2DEC(MID($B460,22,5))),"")</f>
        <v/>
      </c>
      <c r="O460" s="3" t="str" cm="1">
        <f t="array" ref="O460">IF(M460="ALU",INDEX(TMP!A:A,1+BIN2DEC(MID($B460,27,2))),"")</f>
        <v/>
      </c>
      <c r="P460" s="6" t="str">
        <f t="shared" si="53"/>
        <v/>
      </c>
      <c r="Q460" t="str">
        <f t="shared" si="54"/>
        <v/>
      </c>
      <c r="R460" t="str">
        <f t="shared" si="56"/>
        <v/>
      </c>
      <c r="S460" cm="1">
        <f t="array" ref="S460">IF(M460="Control",INDEX(IC!A:A,1+BIN2DEC(MID($B460,21,4))),"")</f>
        <v>0</v>
      </c>
      <c r="T460" cm="1">
        <f t="array" ref="T460">IF(M460="Control",INDEX(EC!A:A,1+BIN2DEC(MID($B460,25,3))),"")</f>
        <v>0</v>
      </c>
      <c r="U460" cm="1">
        <f t="array" ref="U460">IF(M460="Control",INDEX(SR!A:A,1+BIN2DEC(MID($B460,28,2))),"")</f>
        <v>0</v>
      </c>
    </row>
    <row r="461" spans="1:30" s="9" customFormat="1" ht="15.75" thickBot="1" x14ac:dyDescent="0.3">
      <c r="A461" s="7" t="str">
        <f t="shared" si="50"/>
        <v>1CB</v>
      </c>
      <c r="B461" s="8" t="s">
        <v>348</v>
      </c>
      <c r="C461" s="10"/>
      <c r="D461" s="10"/>
      <c r="E461" s="10"/>
      <c r="F461" s="30" t="str" cm="1">
        <f t="array" ref="F461">INDEX(Sources!A:A, 1 + BIN2DEC(LEFT($B461,5)))</f>
        <v>TMPA</v>
      </c>
      <c r="G461" s="30" t="str" cm="1">
        <f t="array" ref="G461">INDEX(Dest1!A:A,1+BIN2DEC(MID($B461,6,5)))</f>
        <v>PC</v>
      </c>
      <c r="H461" s="30" t="str" cm="1">
        <f t="array" ref="H461">INDEX(Source2!A:A,1+BIN2DEC(MID($B461,11,4)))</f>
        <v>--</v>
      </c>
      <c r="I461" s="26" cm="1">
        <f t="array" ref="I461">INDEX('D2'!A:A,1+BIN2DEC(MID($B461,16,2)))</f>
        <v>0</v>
      </c>
      <c r="J461" s="11">
        <f t="shared" si="55"/>
        <v>0</v>
      </c>
      <c r="K461" s="11">
        <f t="shared" si="51"/>
        <v>0</v>
      </c>
      <c r="L461" s="11">
        <f t="shared" si="52"/>
        <v>1</v>
      </c>
      <c r="M461" s="10" t="str" cm="1">
        <f t="array" ref="M461">INDEX(Types!A:A,1+BIN2DEC(MID($B461,20,2)))</f>
        <v>Control</v>
      </c>
      <c r="N461" s="10" t="str" cm="1">
        <f t="array" ref="N461">IF(M461="ALU",INDEX(ALUOps!A:A,1+BIN2DEC(MID($B461,22,5))),"")</f>
        <v/>
      </c>
      <c r="O461" s="10" t="str" cm="1">
        <f t="array" ref="O461">IF(M461="ALU",INDEX(TMP!A:A,1+BIN2DEC(MID($B461,27,2))),"")</f>
        <v/>
      </c>
      <c r="P461" s="11" t="str">
        <f t="shared" si="53"/>
        <v/>
      </c>
      <c r="Q461" s="9" t="str">
        <f t="shared" si="54"/>
        <v/>
      </c>
      <c r="R461" s="9" t="str">
        <f t="shared" si="56"/>
        <v/>
      </c>
      <c r="S461" s="9" cm="1">
        <f t="array" ref="S461">IF(M461="Control",INDEX(IC!A:A,1+BIN2DEC(MID($B461,21,4))),"")</f>
        <v>6</v>
      </c>
      <c r="T461" s="9" cm="1">
        <f t="array" ref="T461">IF(M461="Control",INDEX(EC!A:A,1+BIN2DEC(MID($B461,25,3))),"")</f>
        <v>0</v>
      </c>
      <c r="U461" s="9" cm="1">
        <f t="array" ref="U461">IF(M461="Control",INDEX(SR!A:A,1+BIN2DEC(MID($B461,28,2))),"")</f>
        <v>0</v>
      </c>
    </row>
    <row r="462" spans="1:30" x14ac:dyDescent="0.25">
      <c r="A462" s="4" t="str">
        <f t="shared" si="50"/>
        <v>1CC</v>
      </c>
      <c r="B462" s="2" t="s">
        <v>17</v>
      </c>
      <c r="C462" s="2" t="s">
        <v>448</v>
      </c>
      <c r="D462" s="2" t="s">
        <v>935</v>
      </c>
      <c r="E462" s="2" t="s">
        <v>462</v>
      </c>
      <c r="F462" s="27" t="str" cm="1">
        <f t="array" ref="F462">INDEX(Sources!A:A, 1 + BIN2DEC(LEFT($B462,5)))</f>
        <v>SP</v>
      </c>
      <c r="G462" s="27" t="str" cm="1">
        <f t="array" ref="G462">INDEX(Dest1!A:A,1+BIN2DEC(MID($B462,6,5)))</f>
        <v>TMPA</v>
      </c>
      <c r="H462" s="27" t="str" cm="1">
        <f t="array" ref="H462">INDEX(Source2!A:A,1+BIN2DEC(MID($B462,11,4)))</f>
        <v>--</v>
      </c>
      <c r="I462" s="23" cm="1">
        <f t="array" ref="I462">INDEX('D2'!A:A,1+BIN2DEC(MID($B462,16,2)))</f>
        <v>0</v>
      </c>
      <c r="J462" s="6">
        <f t="shared" si="55"/>
        <v>0</v>
      </c>
      <c r="K462" s="6">
        <f t="shared" si="51"/>
        <v>0</v>
      </c>
      <c r="L462" s="6">
        <f t="shared" si="52"/>
        <v>0</v>
      </c>
      <c r="M462" s="3" t="str" cm="1">
        <f t="array" ref="M462">INDEX(Types!A:A,1+BIN2DEC(MID($B462,20,2)))</f>
        <v>ALU</v>
      </c>
      <c r="N462" s="3" cm="1">
        <f t="array" ref="N462">IF(M462="ALU",INDEX(ALUOps!A:A,1+BIN2DEC(MID($B462,22,5))),"")</f>
        <v>2</v>
      </c>
      <c r="O462" s="3" cm="1">
        <f t="array" ref="O462">IF(M462="ALU",INDEX(TMP!A:A,1+BIN2DEC(MID($B462,27,2))),"")</f>
        <v>2</v>
      </c>
      <c r="P462" s="6">
        <f t="shared" si="53"/>
        <v>1</v>
      </c>
      <c r="Q462" t="str">
        <f t="shared" si="54"/>
        <v/>
      </c>
      <c r="R462" t="str">
        <f t="shared" si="56"/>
        <v/>
      </c>
      <c r="S462" t="str" cm="1">
        <f t="array" ref="S462">IF(M462="Control",INDEX(IC!A:A,1+BIN2DEC(MID($B462,21,4))),"")</f>
        <v/>
      </c>
      <c r="T462" t="str" cm="1">
        <f t="array" ref="T462">IF(M462="Control",INDEX(EC!A:A,1+BIN2DEC(MID($B462,25,3))),"")</f>
        <v/>
      </c>
      <c r="U462" t="str" cm="1">
        <f t="array" ref="U462">IF(M462="Control",INDEX(SR!A:A,1+BIN2DEC(MID($B462,28,2))),"")</f>
        <v/>
      </c>
      <c r="X462" t="s">
        <v>1091</v>
      </c>
      <c r="AC462" t="s">
        <v>1145</v>
      </c>
      <c r="AD462" s="1" t="s">
        <v>449</v>
      </c>
    </row>
    <row r="463" spans="1:30" x14ac:dyDescent="0.25">
      <c r="A463" s="4" t="str">
        <f t="shared" si="50"/>
        <v>1CD</v>
      </c>
      <c r="B463" s="2" t="s">
        <v>15</v>
      </c>
      <c r="C463" s="3"/>
      <c r="D463" s="3"/>
      <c r="E463" s="3"/>
      <c r="F463" s="27" t="str" cm="1">
        <f t="array" ref="F463">INDEX(Sources!A:A, 1 + BIN2DEC(LEFT($B463,5)))</f>
        <v>SIGMA</v>
      </c>
      <c r="G463" s="27" t="str" cm="1">
        <f t="array" ref="G463">INDEX(Dest1!A:A,1+BIN2DEC(MID($B463,6,5)))</f>
        <v>SP</v>
      </c>
      <c r="H463" s="27" t="str" cm="1">
        <f t="array" ref="H463">INDEX(Source2!A:A,1+BIN2DEC(MID($B463,11,4)))</f>
        <v>--</v>
      </c>
      <c r="I463" s="23" cm="1">
        <f t="array" ref="I463">INDEX('D2'!A:A,1+BIN2DEC(MID($B463,16,2)))</f>
        <v>0</v>
      </c>
      <c r="J463" s="6">
        <f t="shared" si="55"/>
        <v>0</v>
      </c>
      <c r="K463" s="6">
        <f t="shared" si="51"/>
        <v>0</v>
      </c>
      <c r="L463" s="6">
        <f t="shared" si="52"/>
        <v>0</v>
      </c>
      <c r="M463" s="3" t="str" cm="1">
        <f t="array" ref="M463">INDEX(Types!A:A,1+BIN2DEC(MID($B463,20,2)))</f>
        <v>Control</v>
      </c>
      <c r="N463" s="3" t="str" cm="1">
        <f t="array" ref="N463">IF(M463="ALU",INDEX(ALUOps!A:A,1+BIN2DEC(MID($B463,22,5))),"")</f>
        <v/>
      </c>
      <c r="O463" s="3" t="str" cm="1">
        <f t="array" ref="O463">IF(M463="ALU",INDEX(TMP!A:A,1+BIN2DEC(MID($B463,27,2))),"")</f>
        <v/>
      </c>
      <c r="P463" s="6" t="str">
        <f t="shared" si="53"/>
        <v/>
      </c>
      <c r="Q463" t="str">
        <f t="shared" si="54"/>
        <v/>
      </c>
      <c r="R463" t="str">
        <f t="shared" si="56"/>
        <v/>
      </c>
      <c r="S463" cm="1">
        <f t="array" ref="S463">IF(M463="Control",INDEX(IC!A:A,1+BIN2DEC(MID($B463,21,4))),"")</f>
        <v>0</v>
      </c>
      <c r="T463" cm="1">
        <f t="array" ref="T463">IF(M463="Control",INDEX(EC!A:A,1+BIN2DEC(MID($B463,25,3))),"")</f>
        <v>0</v>
      </c>
      <c r="U463" cm="1">
        <f t="array" ref="U463">IF(M463="Control",INDEX(SR!A:A,1+BIN2DEC(MID($B463,28,2))),"")</f>
        <v>0</v>
      </c>
    </row>
    <row r="464" spans="1:30" x14ac:dyDescent="0.25">
      <c r="A464" s="4" t="str">
        <f t="shared" si="50"/>
        <v>1CE</v>
      </c>
      <c r="B464" s="2" t="s">
        <v>450</v>
      </c>
      <c r="C464" s="3"/>
      <c r="D464" s="3"/>
      <c r="E464" s="3"/>
      <c r="F464" s="27" t="str" cm="1">
        <f t="array" ref="F464">INDEX(Sources!A:A, 1 + BIN2DEC(LEFT($B464,5)))</f>
        <v>OPR</v>
      </c>
      <c r="G464" s="27" t="str" cm="1">
        <f t="array" ref="G464">INDEX(Dest1!A:A,1+BIN2DEC(MID($B464,6,5)))</f>
        <v>OUT</v>
      </c>
      <c r="H464" s="27" t="str" cm="1">
        <f t="array" ref="H464">INDEX(Source2!A:A,1+BIN2DEC(MID($B464,11,4)))</f>
        <v>11</v>
      </c>
      <c r="I464" s="23" t="str" cm="1">
        <f t="array" ref="I464">INDEX('D2'!A:A,1+BIN2DEC(MID($B464,16,2)))</f>
        <v>TMPB</v>
      </c>
      <c r="J464" s="6">
        <f t="shared" si="55"/>
        <v>0</v>
      </c>
      <c r="K464" s="6">
        <f t="shared" si="51"/>
        <v>0</v>
      </c>
      <c r="L464" s="6">
        <f t="shared" si="52"/>
        <v>1</v>
      </c>
      <c r="M464" s="3" t="str" cm="1">
        <f t="array" ref="M464">INDEX(Types!A:A,1+BIN2DEC(MID($B464,20,2)))</f>
        <v>Control</v>
      </c>
      <c r="N464" s="3" t="str" cm="1">
        <f t="array" ref="N464">IF(M464="ALU",INDEX(ALUOps!A:A,1+BIN2DEC(MID($B464,22,5))),"")</f>
        <v/>
      </c>
      <c r="O464" s="3" t="str" cm="1">
        <f t="array" ref="O464">IF(M464="ALU",INDEX(TMP!A:A,1+BIN2DEC(MID($B464,27,2))),"")</f>
        <v/>
      </c>
      <c r="P464" s="6" t="str">
        <f t="shared" si="53"/>
        <v/>
      </c>
      <c r="Q464" t="str">
        <f t="shared" si="54"/>
        <v/>
      </c>
      <c r="R464" t="str">
        <f t="shared" si="56"/>
        <v/>
      </c>
      <c r="S464" cm="1">
        <f t="array" ref="S464">IF(M464="Control",INDEX(IC!A:A,1+BIN2DEC(MID($B464,21,4))),"")</f>
        <v>0</v>
      </c>
      <c r="T464" cm="1">
        <f t="array" ref="T464">IF(M464="Control",INDEX(EC!A:A,1+BIN2DEC(MID($B464,25,3))),"")</f>
        <v>5</v>
      </c>
      <c r="U464" cm="1">
        <f t="array" ref="U464">IF(M464="Control",INDEX(SR!A:A,1+BIN2DEC(MID($B464,28,2))),"")</f>
        <v>1</v>
      </c>
    </row>
    <row r="465" spans="1:30" s="20" customFormat="1" ht="15.75" thickBot="1" x14ac:dyDescent="0.3">
      <c r="A465" s="17" t="str">
        <f t="shared" si="50"/>
        <v>1CF</v>
      </c>
      <c r="B465" s="18" t="s">
        <v>4</v>
      </c>
      <c r="C465" s="19"/>
      <c r="D465" s="19"/>
      <c r="E465" s="19"/>
      <c r="F465" s="29" t="str" cm="1">
        <f t="array" ref="F465">INDEX(Sources!A:A, 1 + BIN2DEC(LEFT($B465,5)))</f>
        <v>--</v>
      </c>
      <c r="G465" s="29" t="str" cm="1">
        <f t="array" ref="G465">INDEX(Dest1!A:A,1+BIN2DEC(MID($B465,6,5)))</f>
        <v>--</v>
      </c>
      <c r="H465" s="29" t="str" cm="1">
        <f t="array" ref="H465">INDEX(Source2!A:A,1+BIN2DEC(MID($B465,11,4)))</f>
        <v>--</v>
      </c>
      <c r="I465" s="25" cm="1">
        <f t="array" ref="I465">INDEX('D2'!A:A,1+BIN2DEC(MID($B465,16,2)))</f>
        <v>0</v>
      </c>
      <c r="J465" s="21">
        <f t="shared" si="55"/>
        <v>0</v>
      </c>
      <c r="K465" s="21">
        <f t="shared" si="51"/>
        <v>0</v>
      </c>
      <c r="L465" s="21">
        <f t="shared" si="52"/>
        <v>0</v>
      </c>
      <c r="M465" s="19" t="str" cm="1">
        <f t="array" ref="M465">INDEX(Types!A:A,1+BIN2DEC(MID($B465,20,2)))</f>
        <v>Control</v>
      </c>
      <c r="N465" s="19" t="str" cm="1">
        <f t="array" ref="N465">IF(M465="ALU",INDEX(ALUOps!A:A,1+BIN2DEC(MID($B465,22,5))),"")</f>
        <v/>
      </c>
      <c r="O465" s="19" t="str" cm="1">
        <f t="array" ref="O465">IF(M465="ALU",INDEX(TMP!A:A,1+BIN2DEC(MID($B465,27,2))),"")</f>
        <v/>
      </c>
      <c r="P465" s="21" t="str">
        <f t="shared" si="53"/>
        <v/>
      </c>
      <c r="Q465" s="20" t="str">
        <f t="shared" si="54"/>
        <v/>
      </c>
      <c r="R465" s="20" t="str">
        <f t="shared" si="56"/>
        <v/>
      </c>
      <c r="S465" s="20" cm="1">
        <f t="array" ref="S465">IF(M465="Control",INDEX(IC!A:A,1+BIN2DEC(MID($B465,21,4))),"")</f>
        <v>0</v>
      </c>
      <c r="T465" s="20" cm="1">
        <f t="array" ref="T465">IF(M465="Control",INDEX(EC!A:A,1+BIN2DEC(MID($B465,25,3))),"")</f>
        <v>0</v>
      </c>
      <c r="U465" s="20" cm="1">
        <f t="array" ref="U465">IF(M465="Control",INDEX(SR!A:A,1+BIN2DEC(MID($B465,28,2))),"")</f>
        <v>0</v>
      </c>
    </row>
    <row r="466" spans="1:30" x14ac:dyDescent="0.25">
      <c r="A466" s="4" t="str">
        <f t="shared" si="50"/>
        <v>1D0</v>
      </c>
      <c r="B466" s="2" t="s">
        <v>451</v>
      </c>
      <c r="C466" s="2" t="s">
        <v>452</v>
      </c>
      <c r="D466" s="2" t="s">
        <v>931</v>
      </c>
      <c r="E466" s="2" t="s">
        <v>462</v>
      </c>
      <c r="F466" s="27" t="str" cm="1">
        <f t="array" ref="F466">INDEX(Sources!A:A, 1 + BIN2DEC(LEFT($B466,5)))</f>
        <v>UNK22</v>
      </c>
      <c r="G466" s="27" t="str" cm="1">
        <f t="array" ref="G466">INDEX(Dest1!A:A,1+BIN2DEC(MID($B466,6,5)))</f>
        <v>DS</v>
      </c>
      <c r="H466" s="27" t="str" cm="1">
        <f t="array" ref="H466">INDEX(Source2!A:A,1+BIN2DEC(MID($B466,11,4)))</f>
        <v>9</v>
      </c>
      <c r="I466" s="23" cm="1">
        <f t="array" ref="I466">INDEX('D2'!A:A,1+BIN2DEC(MID($B466,16,2)))</f>
        <v>0</v>
      </c>
      <c r="J466" s="6">
        <f t="shared" si="55"/>
        <v>0</v>
      </c>
      <c r="K466" s="6">
        <f t="shared" si="51"/>
        <v>0</v>
      </c>
      <c r="L466" s="6">
        <f t="shared" si="52"/>
        <v>0</v>
      </c>
      <c r="M466" s="3" t="str" cm="1">
        <f t="array" ref="M466">INDEX(Types!A:A,1+BIN2DEC(MID($B466,20,2)))</f>
        <v>ALU</v>
      </c>
      <c r="N466" s="3" cm="1">
        <f t="array" ref="N466">IF(M466="ALU",INDEX(ALUOps!A:A,1+BIN2DEC(MID($B466,22,5))),"")</f>
        <v>0</v>
      </c>
      <c r="O466" s="3" cm="1">
        <f t="array" ref="O466">IF(M466="ALU",INDEX(TMP!A:A,1+BIN2DEC(MID($B466,27,2))),"")</f>
        <v>3</v>
      </c>
      <c r="P466" s="6">
        <f t="shared" si="53"/>
        <v>1</v>
      </c>
      <c r="Q466" t="str">
        <f t="shared" si="54"/>
        <v/>
      </c>
      <c r="R466" t="str">
        <f t="shared" si="56"/>
        <v/>
      </c>
      <c r="S466" t="str" cm="1">
        <f t="array" ref="S466">IF(M466="Control",INDEX(IC!A:A,1+BIN2DEC(MID($B466,21,4))),"")</f>
        <v/>
      </c>
      <c r="T466" t="str" cm="1">
        <f t="array" ref="T466">IF(M466="Control",INDEX(EC!A:A,1+BIN2DEC(MID($B466,25,3))),"")</f>
        <v/>
      </c>
      <c r="U466" t="str" cm="1">
        <f t="array" ref="U466">IF(M466="Control",INDEX(SR!A:A,1+BIN2DEC(MID($B466,28,2))),"")</f>
        <v/>
      </c>
      <c r="AD466" s="1" t="s">
        <v>453</v>
      </c>
    </row>
    <row r="467" spans="1:30" x14ac:dyDescent="0.25">
      <c r="A467" s="4" t="str">
        <f t="shared" si="50"/>
        <v>1D1</v>
      </c>
      <c r="B467" s="2" t="s">
        <v>454</v>
      </c>
      <c r="C467" s="3"/>
      <c r="D467" s="3"/>
      <c r="E467" s="3"/>
      <c r="F467" s="27" t="str" cm="1">
        <f t="array" ref="F467">INDEX(Sources!A:A, 1 + BIN2DEC(LEFT($B467,5)))</f>
        <v>UNK22</v>
      </c>
      <c r="G467" s="27" t="str" cm="1">
        <f t="array" ref="G467">INDEX(Dest1!A:A,1+BIN2DEC(MID($B467,6,5)))</f>
        <v>FLAGS</v>
      </c>
      <c r="H467" s="27" t="str" cm="1">
        <f t="array" ref="H467">INDEX(Source2!A:A,1+BIN2DEC(MID($B467,11,4)))</f>
        <v>--</v>
      </c>
      <c r="I467" s="23" cm="1">
        <f t="array" ref="I467">INDEX('D2'!A:A,1+BIN2DEC(MID($B467,16,2)))</f>
        <v>0</v>
      </c>
      <c r="J467" s="6">
        <f t="shared" si="55"/>
        <v>0</v>
      </c>
      <c r="K467" s="6">
        <f t="shared" si="51"/>
        <v>0</v>
      </c>
      <c r="L467" s="6">
        <f t="shared" si="52"/>
        <v>0</v>
      </c>
      <c r="M467" s="3" t="str" cm="1">
        <f t="array" ref="M467">INDEX(Types!A:A,1+BIN2DEC(MID($B467,20,2)))</f>
        <v>Control</v>
      </c>
      <c r="N467" s="3" t="str" cm="1">
        <f t="array" ref="N467">IF(M467="ALU",INDEX(ALUOps!A:A,1+BIN2DEC(MID($B467,22,5))),"")</f>
        <v/>
      </c>
      <c r="O467" s="3" t="str" cm="1">
        <f t="array" ref="O467">IF(M467="ALU",INDEX(TMP!A:A,1+BIN2DEC(MID($B467,27,2))),"")</f>
        <v/>
      </c>
      <c r="P467" s="6" t="str">
        <f t="shared" si="53"/>
        <v/>
      </c>
      <c r="Q467" t="str">
        <f t="shared" si="54"/>
        <v/>
      </c>
      <c r="R467" t="str">
        <f t="shared" si="56"/>
        <v/>
      </c>
      <c r="S467" cm="1">
        <f t="array" ref="S467">IF(M467="Control",INDEX(IC!A:A,1+BIN2DEC(MID($B467,21,4))),"")</f>
        <v>7</v>
      </c>
      <c r="T467" cm="1">
        <f t="array" ref="T467">IF(M467="Control",INDEX(EC!A:A,1+BIN2DEC(MID($B467,25,3))),"")</f>
        <v>0</v>
      </c>
      <c r="U467" cm="1">
        <f t="array" ref="U467">IF(M467="Control",INDEX(SR!A:A,1+BIN2DEC(MID($B467,28,2))),"")</f>
        <v>0</v>
      </c>
    </row>
    <row r="468" spans="1:30" x14ac:dyDescent="0.25">
      <c r="A468" s="4" t="str">
        <f t="shared" si="50"/>
        <v>1D2</v>
      </c>
      <c r="B468" s="2" t="s">
        <v>455</v>
      </c>
      <c r="C468" s="3"/>
      <c r="D468" s="3"/>
      <c r="E468" s="3"/>
      <c r="F468" s="27" t="str" cm="1">
        <f t="array" ref="F468">INDEX(Sources!A:A, 1 + BIN2DEC(LEFT($B468,5)))</f>
        <v>UNK10</v>
      </c>
      <c r="G468" s="27" t="str" cm="1">
        <f t="array" ref="G468">INDEX(Dest1!A:A,1+BIN2DEC(MID($B468,6,5)))</f>
        <v>CS</v>
      </c>
      <c r="H468" s="27" t="str" cm="1">
        <f t="array" ref="H468">INDEX(Source2!A:A,1+BIN2DEC(MID($B468,11,4)))</f>
        <v>--</v>
      </c>
      <c r="I468" s="23" cm="1">
        <f t="array" ref="I468">INDEX('D2'!A:A,1+BIN2DEC(MID($B468,16,2)))</f>
        <v>0</v>
      </c>
      <c r="J468" s="6">
        <f t="shared" si="55"/>
        <v>0</v>
      </c>
      <c r="K468" s="6">
        <f t="shared" si="51"/>
        <v>0</v>
      </c>
      <c r="L468" s="6">
        <f t="shared" si="52"/>
        <v>0</v>
      </c>
      <c r="M468" s="3" t="str" cm="1">
        <f t="array" ref="M468">INDEX(Types!A:A,1+BIN2DEC(MID($B468,20,2)))</f>
        <v>Control</v>
      </c>
      <c r="N468" s="3" t="str" cm="1">
        <f t="array" ref="N468">IF(M468="ALU",INDEX(ALUOps!A:A,1+BIN2DEC(MID($B468,22,5))),"")</f>
        <v/>
      </c>
      <c r="O468" s="3" t="str" cm="1">
        <f t="array" ref="O468">IF(M468="ALU",INDEX(TMP!A:A,1+BIN2DEC(MID($B468,27,2))),"")</f>
        <v/>
      </c>
      <c r="P468" s="6" t="str">
        <f t="shared" si="53"/>
        <v/>
      </c>
      <c r="Q468" t="str">
        <f t="shared" si="54"/>
        <v/>
      </c>
      <c r="R468" t="str">
        <f t="shared" si="56"/>
        <v/>
      </c>
      <c r="S468" cm="1">
        <f t="array" ref="S468">IF(M468="Control",INDEX(IC!A:A,1+BIN2DEC(MID($B468,21,4))),"")</f>
        <v>0</v>
      </c>
      <c r="T468" cm="1">
        <f t="array" ref="T468">IF(M468="Control",INDEX(EC!A:A,1+BIN2DEC(MID($B468,25,3))),"")</f>
        <v>0</v>
      </c>
      <c r="U468" cm="1">
        <f t="array" ref="U468">IF(M468="Control",INDEX(SR!A:A,1+BIN2DEC(MID($B468,28,2))),"")</f>
        <v>0</v>
      </c>
    </row>
    <row r="469" spans="1:30" x14ac:dyDescent="0.25">
      <c r="A469" s="4" t="str">
        <f t="shared" si="50"/>
        <v>1D3</v>
      </c>
      <c r="B469" s="2" t="s">
        <v>456</v>
      </c>
      <c r="C469" s="3"/>
      <c r="D469" s="3"/>
      <c r="E469" s="3"/>
      <c r="F469" s="27" t="str" cm="1">
        <f t="array" ref="F469">INDEX(Sources!A:A, 1 + BIN2DEC(LEFT($B469,5)))</f>
        <v>UNK22</v>
      </c>
      <c r="G469" s="27" t="str" cm="1">
        <f t="array" ref="G469">INDEX(Dest1!A:A,1+BIN2DEC(MID($B469,6,5)))</f>
        <v>PC</v>
      </c>
      <c r="H469" s="27" t="str" cm="1">
        <f t="array" ref="H469">INDEX(Source2!A:A,1+BIN2DEC(MID($B469,11,4)))</f>
        <v>--</v>
      </c>
      <c r="I469" s="23" cm="1">
        <f t="array" ref="I469">INDEX('D2'!A:A,1+BIN2DEC(MID($B469,16,2)))</f>
        <v>0</v>
      </c>
      <c r="J469" s="6">
        <f t="shared" si="55"/>
        <v>0</v>
      </c>
      <c r="K469" s="6">
        <f t="shared" si="51"/>
        <v>0</v>
      </c>
      <c r="L469" s="6">
        <f t="shared" si="52"/>
        <v>0</v>
      </c>
      <c r="M469" s="3" t="str" cm="1">
        <f t="array" ref="M469">INDEX(Types!A:A,1+BIN2DEC(MID($B469,20,2)))</f>
        <v>Control</v>
      </c>
      <c r="N469" s="3" t="str" cm="1">
        <f t="array" ref="N469">IF(M469="ALU",INDEX(ALUOps!A:A,1+BIN2DEC(MID($B469,22,5))),"")</f>
        <v/>
      </c>
      <c r="O469" s="3" t="str" cm="1">
        <f t="array" ref="O469">IF(M469="ALU",INDEX(TMP!A:A,1+BIN2DEC(MID($B469,27,2))),"")</f>
        <v/>
      </c>
      <c r="P469" s="6" t="str">
        <f t="shared" si="53"/>
        <v/>
      </c>
      <c r="Q469" t="str">
        <f t="shared" si="54"/>
        <v/>
      </c>
      <c r="R469" t="str">
        <f t="shared" si="56"/>
        <v/>
      </c>
      <c r="S469" cm="1">
        <f t="array" ref="S469">IF(M469="Control",INDEX(IC!A:A,1+BIN2DEC(MID($B469,21,4))),"")</f>
        <v>6</v>
      </c>
      <c r="T469" cm="1">
        <f t="array" ref="T469">IF(M469="Control",INDEX(EC!A:A,1+BIN2DEC(MID($B469,25,3))),"")</f>
        <v>0</v>
      </c>
      <c r="U469" cm="1">
        <f t="array" ref="U469">IF(M469="Control",INDEX(SR!A:A,1+BIN2DEC(MID($B469,28,2))),"")</f>
        <v>0</v>
      </c>
    </row>
    <row r="470" spans="1:30" x14ac:dyDescent="0.25">
      <c r="A470" s="4" t="str">
        <f t="shared" si="50"/>
        <v>1D4</v>
      </c>
      <c r="B470" s="2" t="s">
        <v>457</v>
      </c>
      <c r="C470" s="2" t="s">
        <v>458</v>
      </c>
      <c r="D470" s="2" t="s">
        <v>931</v>
      </c>
      <c r="E470" s="2" t="s">
        <v>929</v>
      </c>
      <c r="F470" s="27" t="str" cm="1">
        <f t="array" ref="F470">INDEX(Sources!A:A, 1 + BIN2DEC(LEFT($B470,5)))</f>
        <v>UNK22</v>
      </c>
      <c r="G470" s="27" t="str" cm="1">
        <f t="array" ref="G470">INDEX(Dest1!A:A,1+BIN2DEC(MID($B470,6,5)))</f>
        <v>ES</v>
      </c>
      <c r="H470" s="27" t="str" cm="1">
        <f t="array" ref="H470">INDEX(Source2!A:A,1+BIN2DEC(MID($B470,11,4)))</f>
        <v>--</v>
      </c>
      <c r="I470" s="23" cm="1">
        <f t="array" ref="I470">INDEX('D2'!A:A,1+BIN2DEC(MID($B470,16,2)))</f>
        <v>0</v>
      </c>
      <c r="J470" s="6">
        <f t="shared" si="55"/>
        <v>0</v>
      </c>
      <c r="K470" s="6">
        <f t="shared" si="51"/>
        <v>0</v>
      </c>
      <c r="L470" s="6">
        <f t="shared" si="52"/>
        <v>1</v>
      </c>
      <c r="M470" s="3" t="str" cm="1">
        <f t="array" ref="M470">INDEX(Types!A:A,1+BIN2DEC(MID($B470,20,2)))</f>
        <v>Control</v>
      </c>
      <c r="N470" s="3" t="str" cm="1">
        <f t="array" ref="N470">IF(M470="ALU",INDEX(ALUOps!A:A,1+BIN2DEC(MID($B470,22,5))),"")</f>
        <v/>
      </c>
      <c r="O470" s="3" t="str" cm="1">
        <f t="array" ref="O470">IF(M470="ALU",INDEX(TMP!A:A,1+BIN2DEC(MID($B470,27,2))),"")</f>
        <v/>
      </c>
      <c r="P470" s="6" t="str">
        <f t="shared" si="53"/>
        <v/>
      </c>
      <c r="Q470" t="str">
        <f t="shared" si="54"/>
        <v/>
      </c>
      <c r="R470" t="str">
        <f t="shared" si="56"/>
        <v/>
      </c>
      <c r="S470" cm="1">
        <f t="array" ref="S470">IF(M470="Control",INDEX(IC!A:A,1+BIN2DEC(MID($B470,21,4))),"")</f>
        <v>12</v>
      </c>
      <c r="T470" cm="1">
        <f t="array" ref="T470">IF(M470="Control",INDEX(EC!A:A,1+BIN2DEC(MID($B470,25,3))),"")</f>
        <v>0</v>
      </c>
      <c r="U470" cm="1">
        <f t="array" ref="U470">IF(M470="Control",INDEX(SR!A:A,1+BIN2DEC(MID($B470,28,2))),"")</f>
        <v>0</v>
      </c>
      <c r="AD470" s="1" t="s">
        <v>453</v>
      </c>
    </row>
    <row r="471" spans="1:30" x14ac:dyDescent="0.25">
      <c r="A471" s="4" t="str">
        <f t="shared" si="50"/>
        <v>1D5</v>
      </c>
      <c r="B471" s="2" t="s">
        <v>459</v>
      </c>
      <c r="C471" s="3"/>
      <c r="D471" s="3"/>
      <c r="E471" s="3"/>
      <c r="F471" s="27" t="str" cm="1">
        <f t="array" ref="F471">INDEX(Sources!A:A, 1 + BIN2DEC(LEFT($B471,5)))</f>
        <v>UNK22</v>
      </c>
      <c r="G471" s="27" t="str" cm="1">
        <f t="array" ref="G471">INDEX(Dest1!A:A,1+BIN2DEC(MID($B471,6,5)))</f>
        <v>UNK29</v>
      </c>
      <c r="H471" s="27" t="str" cm="1">
        <f t="array" ref="H471">INDEX(Source2!A:A,1+BIN2DEC(MID($B471,11,4)))</f>
        <v>--</v>
      </c>
      <c r="I471" s="23" cm="1">
        <f t="array" ref="I471">INDEX('D2'!A:A,1+BIN2DEC(MID($B471,16,2)))</f>
        <v>0</v>
      </c>
      <c r="J471" s="6">
        <f t="shared" si="55"/>
        <v>0</v>
      </c>
      <c r="K471" s="6">
        <f t="shared" si="51"/>
        <v>0</v>
      </c>
      <c r="L471" s="6">
        <f t="shared" si="52"/>
        <v>0</v>
      </c>
      <c r="M471" s="3" t="str" cm="1">
        <f t="array" ref="M471">INDEX(Types!A:A,1+BIN2DEC(MID($B471,20,2)))</f>
        <v>Control</v>
      </c>
      <c r="N471" s="3" t="str" cm="1">
        <f t="array" ref="N471">IF(M471="ALU",INDEX(ALUOps!A:A,1+BIN2DEC(MID($B471,22,5))),"")</f>
        <v/>
      </c>
      <c r="O471" s="3" t="str" cm="1">
        <f t="array" ref="O471">IF(M471="ALU",INDEX(TMP!A:A,1+BIN2DEC(MID($B471,27,2))),"")</f>
        <v/>
      </c>
      <c r="P471" s="6" t="str">
        <f t="shared" si="53"/>
        <v/>
      </c>
      <c r="Q471" t="str">
        <f t="shared" si="54"/>
        <v/>
      </c>
      <c r="R471" t="str">
        <f t="shared" si="56"/>
        <v/>
      </c>
      <c r="S471" cm="1">
        <f t="array" ref="S471">IF(M471="Control",INDEX(IC!A:A,1+BIN2DEC(MID($B471,21,4))),"")</f>
        <v>0</v>
      </c>
      <c r="T471" cm="1">
        <f t="array" ref="T471">IF(M471="Control",INDEX(EC!A:A,1+BIN2DEC(MID($B471,25,3))),"")</f>
        <v>0</v>
      </c>
      <c r="U471" cm="1">
        <f t="array" ref="U471">IF(M471="Control",INDEX(SR!A:A,1+BIN2DEC(MID($B471,28,2))),"")</f>
        <v>0</v>
      </c>
    </row>
    <row r="472" spans="1:30" x14ac:dyDescent="0.25">
      <c r="A472" s="4" t="str">
        <f t="shared" si="50"/>
        <v>1D6</v>
      </c>
      <c r="B472" s="2" t="s">
        <v>4</v>
      </c>
      <c r="C472" s="3"/>
      <c r="D472" s="3"/>
      <c r="E472" s="3"/>
      <c r="F472" s="27" t="str" cm="1">
        <f t="array" ref="F472">INDEX(Sources!A:A, 1 + BIN2DEC(LEFT($B472,5)))</f>
        <v>--</v>
      </c>
      <c r="G472" s="27" t="str" cm="1">
        <f t="array" ref="G472">INDEX(Dest1!A:A,1+BIN2DEC(MID($B472,6,5)))</f>
        <v>--</v>
      </c>
      <c r="H472" s="27" t="str" cm="1">
        <f t="array" ref="H472">INDEX(Source2!A:A,1+BIN2DEC(MID($B472,11,4)))</f>
        <v>--</v>
      </c>
      <c r="I472" s="23" cm="1">
        <f t="array" ref="I472">INDEX('D2'!A:A,1+BIN2DEC(MID($B472,16,2)))</f>
        <v>0</v>
      </c>
      <c r="J472" s="6">
        <f t="shared" si="55"/>
        <v>0</v>
      </c>
      <c r="K472" s="6">
        <f t="shared" si="51"/>
        <v>0</v>
      </c>
      <c r="L472" s="6">
        <f t="shared" si="52"/>
        <v>0</v>
      </c>
      <c r="M472" s="3" t="str" cm="1">
        <f t="array" ref="M472">INDEX(Types!A:A,1+BIN2DEC(MID($B472,20,2)))</f>
        <v>Control</v>
      </c>
      <c r="N472" s="3" t="str" cm="1">
        <f t="array" ref="N472">IF(M472="ALU",INDEX(ALUOps!A:A,1+BIN2DEC(MID($B472,22,5))),"")</f>
        <v/>
      </c>
      <c r="O472" s="3" t="str" cm="1">
        <f t="array" ref="O472">IF(M472="ALU",INDEX(TMP!A:A,1+BIN2DEC(MID($B472,27,2))),"")</f>
        <v/>
      </c>
      <c r="P472" s="6" t="str">
        <f t="shared" si="53"/>
        <v/>
      </c>
      <c r="Q472" t="str">
        <f t="shared" si="54"/>
        <v/>
      </c>
      <c r="R472" t="str">
        <f t="shared" si="56"/>
        <v/>
      </c>
      <c r="S472" cm="1">
        <f t="array" ref="S472">IF(M472="Control",INDEX(IC!A:A,1+BIN2DEC(MID($B472,21,4))),"")</f>
        <v>0</v>
      </c>
      <c r="T472" cm="1">
        <f t="array" ref="T472">IF(M472="Control",INDEX(EC!A:A,1+BIN2DEC(MID($B472,25,3))),"")</f>
        <v>0</v>
      </c>
      <c r="U472" cm="1">
        <f t="array" ref="U472">IF(M472="Control",INDEX(SR!A:A,1+BIN2DEC(MID($B472,28,2))),"")</f>
        <v>0</v>
      </c>
    </row>
    <row r="473" spans="1:30" s="9" customFormat="1" ht="15.75" thickBot="1" x14ac:dyDescent="0.3">
      <c r="A473" s="7" t="str">
        <f t="shared" si="50"/>
        <v>1D7</v>
      </c>
      <c r="B473" s="8" t="s">
        <v>4</v>
      </c>
      <c r="C473" s="10"/>
      <c r="D473" s="10"/>
      <c r="E473" s="10"/>
      <c r="F473" s="30" t="str" cm="1">
        <f t="array" ref="F473">INDEX(Sources!A:A, 1 + BIN2DEC(LEFT($B473,5)))</f>
        <v>--</v>
      </c>
      <c r="G473" s="30" t="str" cm="1">
        <f t="array" ref="G473">INDEX(Dest1!A:A,1+BIN2DEC(MID($B473,6,5)))</f>
        <v>--</v>
      </c>
      <c r="H473" s="30" t="str" cm="1">
        <f t="array" ref="H473">INDEX(Source2!A:A,1+BIN2DEC(MID($B473,11,4)))</f>
        <v>--</v>
      </c>
      <c r="I473" s="26" cm="1">
        <f t="array" ref="I473">INDEX('D2'!A:A,1+BIN2DEC(MID($B473,16,2)))</f>
        <v>0</v>
      </c>
      <c r="J473" s="11">
        <f t="shared" si="55"/>
        <v>0</v>
      </c>
      <c r="K473" s="11">
        <f t="shared" si="51"/>
        <v>0</v>
      </c>
      <c r="L473" s="11">
        <f t="shared" si="52"/>
        <v>0</v>
      </c>
      <c r="M473" s="10" t="str" cm="1">
        <f t="array" ref="M473">INDEX(Types!A:A,1+BIN2DEC(MID($B473,20,2)))</f>
        <v>Control</v>
      </c>
      <c r="N473" s="10" t="str" cm="1">
        <f t="array" ref="N473">IF(M473="ALU",INDEX(ALUOps!A:A,1+BIN2DEC(MID($B473,22,5))),"")</f>
        <v/>
      </c>
      <c r="O473" s="10" t="str" cm="1">
        <f t="array" ref="O473">IF(M473="ALU",INDEX(TMP!A:A,1+BIN2DEC(MID($B473,27,2))),"")</f>
        <v/>
      </c>
      <c r="P473" s="11" t="str">
        <f t="shared" si="53"/>
        <v/>
      </c>
      <c r="Q473" s="9" t="str">
        <f t="shared" si="54"/>
        <v/>
      </c>
      <c r="R473" s="9" t="str">
        <f t="shared" si="56"/>
        <v/>
      </c>
      <c r="S473" s="9" cm="1">
        <f t="array" ref="S473">IF(M473="Control",INDEX(IC!A:A,1+BIN2DEC(MID($B473,21,4))),"")</f>
        <v>0</v>
      </c>
      <c r="T473" s="9" cm="1">
        <f t="array" ref="T473">IF(M473="Control",INDEX(EC!A:A,1+BIN2DEC(MID($B473,25,3))),"")</f>
        <v>0</v>
      </c>
      <c r="U473" s="9" cm="1">
        <f t="array" ref="U473">IF(M473="Control",INDEX(SR!A:A,1+BIN2DEC(MID($B473,28,2))),"")</f>
        <v>0</v>
      </c>
    </row>
    <row r="474" spans="1:30" x14ac:dyDescent="0.25">
      <c r="A474" s="4" t="str">
        <f t="shared" si="50"/>
        <v>1D8</v>
      </c>
      <c r="B474" s="2" t="s">
        <v>460</v>
      </c>
      <c r="C474" s="2" t="s">
        <v>461</v>
      </c>
      <c r="D474" s="2" t="s">
        <v>931</v>
      </c>
      <c r="E474" s="2" t="s">
        <v>462</v>
      </c>
      <c r="F474" s="27" t="str" cm="1">
        <f t="array" ref="F474">INDEX(Sources!A:A, 1 + BIN2DEC(LEFT($B474,5)))</f>
        <v>REG</v>
      </c>
      <c r="G474" s="27" t="str" cm="1">
        <f t="array" ref="G474">INDEX(Dest1!A:A,1+BIN2DEC(MID($B474,6,5)))</f>
        <v>UNK10</v>
      </c>
      <c r="H474" s="27" t="str" cm="1">
        <f t="array" ref="H474">INDEX(Source2!A:A,1+BIN2DEC(MID($B474,11,4)))</f>
        <v>15</v>
      </c>
      <c r="I474" s="23" cm="1">
        <f t="array" ref="I474">INDEX('D2'!A:A,1+BIN2DEC(MID($B474,16,2)))</f>
        <v>0</v>
      </c>
      <c r="J474" s="6">
        <f t="shared" si="55"/>
        <v>0</v>
      </c>
      <c r="K474" s="6">
        <f t="shared" si="51"/>
        <v>0</v>
      </c>
      <c r="L474" s="6">
        <f t="shared" si="52"/>
        <v>0</v>
      </c>
      <c r="M474" s="3" t="str" cm="1">
        <f t="array" ref="M474">INDEX(Types!A:A,1+BIN2DEC(MID($B474,20,2)))</f>
        <v>Control</v>
      </c>
      <c r="N474" s="3" t="str" cm="1">
        <f t="array" ref="N474">IF(M474="ALU",INDEX(ALUOps!A:A,1+BIN2DEC(MID($B474,22,5))),"")</f>
        <v/>
      </c>
      <c r="O474" s="3" t="str" cm="1">
        <f t="array" ref="O474">IF(M474="ALU",INDEX(TMP!A:A,1+BIN2DEC(MID($B474,27,2))),"")</f>
        <v/>
      </c>
      <c r="P474" s="6" t="str">
        <f t="shared" si="53"/>
        <v/>
      </c>
      <c r="Q474" t="str">
        <f t="shared" si="54"/>
        <v/>
      </c>
      <c r="R474" t="str">
        <f t="shared" si="56"/>
        <v/>
      </c>
      <c r="S474" cm="1">
        <f t="array" ref="S474">IF(M474="Control",INDEX(IC!A:A,1+BIN2DEC(MID($B474,21,4))),"")</f>
        <v>7</v>
      </c>
      <c r="T474" cm="1">
        <f t="array" ref="T474">IF(M474="Control",INDEX(EC!A:A,1+BIN2DEC(MID($B474,25,3))),"")</f>
        <v>0</v>
      </c>
      <c r="U474" cm="1">
        <f t="array" ref="U474">IF(M474="Control",INDEX(SR!A:A,1+BIN2DEC(MID($B474,28,2))),"")</f>
        <v>0</v>
      </c>
      <c r="AD474" s="1" t="s">
        <v>462</v>
      </c>
    </row>
    <row r="475" spans="1:30" x14ac:dyDescent="0.25">
      <c r="A475" s="4" t="str">
        <f t="shared" si="50"/>
        <v>1D9</v>
      </c>
      <c r="B475" s="2" t="s">
        <v>256</v>
      </c>
      <c r="C475" s="3"/>
      <c r="D475" s="3"/>
      <c r="E475" s="3"/>
      <c r="F475" s="27" t="str" cm="1">
        <f t="array" ref="F475">INDEX(Sources!A:A, 1 + BIN2DEC(LEFT($B475,5)))</f>
        <v>--</v>
      </c>
      <c r="G475" s="27" t="str" cm="1">
        <f t="array" ref="G475">INDEX(Dest1!A:A,1+BIN2DEC(MID($B475,6,5)))</f>
        <v>--</v>
      </c>
      <c r="H475" s="27" t="str" cm="1">
        <f t="array" ref="H475">INDEX(Source2!A:A,1+BIN2DEC(MID($B475,11,4)))</f>
        <v>--</v>
      </c>
      <c r="I475" s="23" cm="1">
        <f t="array" ref="I475">INDEX('D2'!A:A,1+BIN2DEC(MID($B475,16,2)))</f>
        <v>0</v>
      </c>
      <c r="J475" s="6">
        <f t="shared" si="55"/>
        <v>0</v>
      </c>
      <c r="K475" s="6">
        <f t="shared" si="51"/>
        <v>0</v>
      </c>
      <c r="L475" s="6">
        <f t="shared" si="52"/>
        <v>0</v>
      </c>
      <c r="M475" s="3" t="str" cm="1">
        <f t="array" ref="M475">INDEX(Types!A:A,1+BIN2DEC(MID($B475,20,2)))</f>
        <v>Control</v>
      </c>
      <c r="N475" s="3" t="str" cm="1">
        <f t="array" ref="N475">IF(M475="ALU",INDEX(ALUOps!A:A,1+BIN2DEC(MID($B475,22,5))),"")</f>
        <v/>
      </c>
      <c r="O475" s="3" t="str" cm="1">
        <f t="array" ref="O475">IF(M475="ALU",INDEX(TMP!A:A,1+BIN2DEC(MID($B475,27,2))),"")</f>
        <v/>
      </c>
      <c r="P475" s="6" t="str">
        <f t="shared" si="53"/>
        <v/>
      </c>
      <c r="Q475" t="str">
        <f t="shared" si="54"/>
        <v/>
      </c>
      <c r="R475" t="str">
        <f t="shared" si="56"/>
        <v/>
      </c>
      <c r="S475" cm="1">
        <f t="array" ref="S475">IF(M475="Control",INDEX(IC!A:A,1+BIN2DEC(MID($B475,21,4))),"")</f>
        <v>1</v>
      </c>
      <c r="T475" cm="1">
        <f t="array" ref="T475">IF(M475="Control",INDEX(EC!A:A,1+BIN2DEC(MID($B475,25,3))),"")</f>
        <v>7</v>
      </c>
      <c r="U475" cm="1">
        <f t="array" ref="U475">IF(M475="Control",INDEX(SR!A:A,1+BIN2DEC(MID($B475,28,2))),"")</f>
        <v>1</v>
      </c>
    </row>
    <row r="476" spans="1:30" x14ac:dyDescent="0.25">
      <c r="A476" s="4" t="str">
        <f t="shared" si="50"/>
        <v>1DA</v>
      </c>
      <c r="B476" s="2" t="s">
        <v>463</v>
      </c>
      <c r="C476" s="3"/>
      <c r="D476" s="3"/>
      <c r="E476" s="3"/>
      <c r="F476" s="27" t="str" cm="1">
        <f t="array" ref="F476">INDEX(Sources!A:A, 1 + BIN2DEC(LEFT($B476,5)))</f>
        <v>REG</v>
      </c>
      <c r="G476" s="27" t="str" cm="1">
        <f t="array" ref="G476">INDEX(Dest1!A:A,1+BIN2DEC(MID($B476,6,5)))</f>
        <v>UNK10</v>
      </c>
      <c r="H476" s="27" t="str" cm="1">
        <f t="array" ref="H476">INDEX(Source2!A:A,1+BIN2DEC(MID($B476,11,4)))</f>
        <v>15</v>
      </c>
      <c r="I476" s="23" t="str" cm="1">
        <f t="array" ref="I476">INDEX('D2'!A:A,1+BIN2DEC(MID($B476,16,2)))</f>
        <v>TMPB</v>
      </c>
      <c r="J476" s="6">
        <f t="shared" si="55"/>
        <v>0</v>
      </c>
      <c r="K476" s="6">
        <f t="shared" si="51"/>
        <v>0</v>
      </c>
      <c r="L476" s="6">
        <f t="shared" si="52"/>
        <v>0</v>
      </c>
      <c r="M476" s="3" t="str" cm="1">
        <f t="array" ref="M476">INDEX(Types!A:A,1+BIN2DEC(MID($B476,20,2)))</f>
        <v>Control</v>
      </c>
      <c r="N476" s="3" t="str" cm="1">
        <f t="array" ref="N476">IF(M476="ALU",INDEX(ALUOps!A:A,1+BIN2DEC(MID($B476,22,5))),"")</f>
        <v/>
      </c>
      <c r="O476" s="3" t="str" cm="1">
        <f t="array" ref="O476">IF(M476="ALU",INDEX(TMP!A:A,1+BIN2DEC(MID($B476,27,2))),"")</f>
        <v/>
      </c>
      <c r="P476" s="6" t="str">
        <f t="shared" si="53"/>
        <v/>
      </c>
      <c r="Q476" t="str">
        <f t="shared" si="54"/>
        <v/>
      </c>
      <c r="R476" t="str">
        <f t="shared" si="56"/>
        <v/>
      </c>
      <c r="S476" cm="1">
        <f t="array" ref="S476">IF(M476="Control",INDEX(IC!A:A,1+BIN2DEC(MID($B476,21,4))),"")</f>
        <v>7</v>
      </c>
      <c r="T476" cm="1">
        <f t="array" ref="T476">IF(M476="Control",INDEX(EC!A:A,1+BIN2DEC(MID($B476,25,3))),"")</f>
        <v>0</v>
      </c>
      <c r="U476" cm="1">
        <f t="array" ref="U476">IF(M476="Control",INDEX(SR!A:A,1+BIN2DEC(MID($B476,28,2))),"")</f>
        <v>0</v>
      </c>
    </row>
    <row r="477" spans="1:30" s="9" customFormat="1" ht="15.75" thickBot="1" x14ac:dyDescent="0.3">
      <c r="A477" s="7" t="str">
        <f t="shared" si="50"/>
        <v>1DB</v>
      </c>
      <c r="B477" s="8" t="s">
        <v>256</v>
      </c>
      <c r="C477" s="10"/>
      <c r="D477" s="10"/>
      <c r="E477" s="10"/>
      <c r="F477" s="30" t="str" cm="1">
        <f t="array" ref="F477">INDEX(Sources!A:A, 1 + BIN2DEC(LEFT($B477,5)))</f>
        <v>--</v>
      </c>
      <c r="G477" s="30" t="str" cm="1">
        <f t="array" ref="G477">INDEX(Dest1!A:A,1+BIN2DEC(MID($B477,6,5)))</f>
        <v>--</v>
      </c>
      <c r="H477" s="30" t="str" cm="1">
        <f t="array" ref="H477">INDEX(Source2!A:A,1+BIN2DEC(MID($B477,11,4)))</f>
        <v>--</v>
      </c>
      <c r="I477" s="26" cm="1">
        <f t="array" ref="I477">INDEX('D2'!A:A,1+BIN2DEC(MID($B477,16,2)))</f>
        <v>0</v>
      </c>
      <c r="J477" s="11">
        <f t="shared" si="55"/>
        <v>0</v>
      </c>
      <c r="K477" s="11">
        <f t="shared" si="51"/>
        <v>0</v>
      </c>
      <c r="L477" s="11">
        <f t="shared" si="52"/>
        <v>0</v>
      </c>
      <c r="M477" s="10" t="str" cm="1">
        <f t="array" ref="M477">INDEX(Types!A:A,1+BIN2DEC(MID($B477,20,2)))</f>
        <v>Control</v>
      </c>
      <c r="N477" s="10" t="str" cm="1">
        <f t="array" ref="N477">IF(M477="ALU",INDEX(ALUOps!A:A,1+BIN2DEC(MID($B477,22,5))),"")</f>
        <v/>
      </c>
      <c r="O477" s="10" t="str" cm="1">
        <f t="array" ref="O477">IF(M477="ALU",INDEX(TMP!A:A,1+BIN2DEC(MID($B477,27,2))),"")</f>
        <v/>
      </c>
      <c r="P477" s="11" t="str">
        <f t="shared" si="53"/>
        <v/>
      </c>
      <c r="Q477" s="9" t="str">
        <f t="shared" si="54"/>
        <v/>
      </c>
      <c r="R477" s="9" t="str">
        <f t="shared" si="56"/>
        <v/>
      </c>
      <c r="S477" s="9" cm="1">
        <f t="array" ref="S477">IF(M477="Control",INDEX(IC!A:A,1+BIN2DEC(MID($B477,21,4))),"")</f>
        <v>1</v>
      </c>
      <c r="T477" s="9" cm="1">
        <f t="array" ref="T477">IF(M477="Control",INDEX(EC!A:A,1+BIN2DEC(MID($B477,25,3))),"")</f>
        <v>7</v>
      </c>
      <c r="U477" s="9" cm="1">
        <f t="array" ref="U477">IF(M477="Control",INDEX(SR!A:A,1+BIN2DEC(MID($B477,28,2))),"")</f>
        <v>1</v>
      </c>
    </row>
    <row r="478" spans="1:30" x14ac:dyDescent="0.25">
      <c r="A478" s="4" t="str">
        <f t="shared" si="50"/>
        <v>1DC</v>
      </c>
      <c r="B478" s="2" t="s">
        <v>464</v>
      </c>
      <c r="C478" s="2" t="s">
        <v>465</v>
      </c>
      <c r="D478" s="2" t="s">
        <v>931</v>
      </c>
      <c r="E478" s="2" t="s">
        <v>462</v>
      </c>
      <c r="F478" s="27" t="str" cm="1">
        <f t="array" ref="F478">INDEX(Sources!A:A, 1 + BIN2DEC(LEFT($B478,5)))</f>
        <v>A</v>
      </c>
      <c r="G478" s="27" t="str" cm="1">
        <f t="array" ref="G478">INDEX(Dest1!A:A,1+BIN2DEC(MID($B478,6,5)))</f>
        <v>UNK17</v>
      </c>
      <c r="H478" s="27" t="str" cm="1">
        <f t="array" ref="H478">INDEX(Source2!A:A,1+BIN2DEC(MID($B478,11,4)))</f>
        <v>--</v>
      </c>
      <c r="I478" s="23" cm="1">
        <f t="array" ref="I478">INDEX('D2'!A:A,1+BIN2DEC(MID($B478,16,2)))</f>
        <v>0</v>
      </c>
      <c r="J478" s="6">
        <f t="shared" si="55"/>
        <v>0</v>
      </c>
      <c r="K478" s="6">
        <f t="shared" si="51"/>
        <v>0</v>
      </c>
      <c r="L478" s="6">
        <f t="shared" si="52"/>
        <v>0</v>
      </c>
      <c r="M478" s="3" t="str" cm="1">
        <f t="array" ref="M478">INDEX(Types!A:A,1+BIN2DEC(MID($B478,20,2)))</f>
        <v>Control</v>
      </c>
      <c r="N478" s="3" t="str" cm="1">
        <f t="array" ref="N478">IF(M478="ALU",INDEX(ALUOps!A:A,1+BIN2DEC(MID($B478,22,5))),"")</f>
        <v/>
      </c>
      <c r="O478" s="3" t="str" cm="1">
        <f t="array" ref="O478">IF(M478="ALU",INDEX(TMP!A:A,1+BIN2DEC(MID($B478,27,2))),"")</f>
        <v/>
      </c>
      <c r="P478" s="6" t="str">
        <f t="shared" si="53"/>
        <v/>
      </c>
      <c r="Q478" t="str">
        <f t="shared" si="54"/>
        <v/>
      </c>
      <c r="R478" t="str">
        <f t="shared" si="56"/>
        <v/>
      </c>
      <c r="S478" cm="1">
        <f t="array" ref="S478">IF(M478="Control",INDEX(IC!A:A,1+BIN2DEC(MID($B478,21,4))),"")</f>
        <v>7</v>
      </c>
      <c r="T478" cm="1">
        <f t="array" ref="T478">IF(M478="Control",INDEX(EC!A:A,1+BIN2DEC(MID($B478,25,3))),"")</f>
        <v>2</v>
      </c>
      <c r="U478" cm="1">
        <f t="array" ref="U478">IF(M478="Control",INDEX(SR!A:A,1+BIN2DEC(MID($B478,28,2))),"")</f>
        <v>2</v>
      </c>
      <c r="AD478" s="1" t="s">
        <v>466</v>
      </c>
    </row>
    <row r="479" spans="1:30" x14ac:dyDescent="0.25">
      <c r="A479" s="4" t="str">
        <f t="shared" si="50"/>
        <v>1DD</v>
      </c>
      <c r="B479" s="2" t="s">
        <v>467</v>
      </c>
      <c r="C479" s="3"/>
      <c r="D479" s="3"/>
      <c r="E479" s="3"/>
      <c r="F479" s="27" t="str" cm="1">
        <f t="array" ref="F479">INDEX(Sources!A:A, 1 + BIN2DEC(LEFT($B479,5)))</f>
        <v>OUT</v>
      </c>
      <c r="G479" s="27" t="str" cm="1">
        <f t="array" ref="G479">INDEX(Dest1!A:A,1+BIN2DEC(MID($B479,6,5)))</f>
        <v>A</v>
      </c>
      <c r="H479" s="27" t="str" cm="1">
        <f t="array" ref="H479">INDEX(Source2!A:A,1+BIN2DEC(MID($B479,11,4)))</f>
        <v>--</v>
      </c>
      <c r="I479" s="23" cm="1">
        <f t="array" ref="I479">INDEX('D2'!A:A,1+BIN2DEC(MID($B479,16,2)))</f>
        <v>1</v>
      </c>
      <c r="J479" s="6">
        <f t="shared" si="55"/>
        <v>1</v>
      </c>
      <c r="K479" s="6">
        <f t="shared" si="51"/>
        <v>0</v>
      </c>
      <c r="L479" s="6">
        <f t="shared" si="52"/>
        <v>0</v>
      </c>
      <c r="M479" s="3" t="str" cm="1">
        <f t="array" ref="M479">INDEX(Types!A:A,1+BIN2DEC(MID($B479,20,2)))</f>
        <v>Control</v>
      </c>
      <c r="N479" s="3" t="str" cm="1">
        <f t="array" ref="N479">IF(M479="ALU",INDEX(ALUOps!A:A,1+BIN2DEC(MID($B479,22,5))),"")</f>
        <v/>
      </c>
      <c r="O479" s="3" t="str" cm="1">
        <f t="array" ref="O479">IF(M479="ALU",INDEX(TMP!A:A,1+BIN2DEC(MID($B479,27,2))),"")</f>
        <v/>
      </c>
      <c r="P479" s="6" t="str">
        <f t="shared" si="53"/>
        <v/>
      </c>
      <c r="Q479" t="str">
        <f t="shared" si="54"/>
        <v/>
      </c>
      <c r="R479" t="str">
        <f t="shared" si="56"/>
        <v/>
      </c>
      <c r="S479" cm="1">
        <f t="array" ref="S479">IF(M479="Control",INDEX(IC!A:A,1+BIN2DEC(MID($B479,21,4))),"")</f>
        <v>0</v>
      </c>
      <c r="T479" cm="1">
        <f t="array" ref="T479">IF(M479="Control",INDEX(EC!A:A,1+BIN2DEC(MID($B479,25,3))),"")</f>
        <v>0</v>
      </c>
      <c r="U479" cm="1">
        <f t="array" ref="U479">IF(M479="Control",INDEX(SR!A:A,1+BIN2DEC(MID($B479,28,2))),"")</f>
        <v>0</v>
      </c>
    </row>
    <row r="480" spans="1:30" x14ac:dyDescent="0.25">
      <c r="A480" s="4" t="str">
        <f t="shared" si="50"/>
        <v>1DE</v>
      </c>
      <c r="B480" s="2" t="s">
        <v>468</v>
      </c>
      <c r="C480" s="3"/>
      <c r="D480" s="3"/>
      <c r="E480" s="3"/>
      <c r="F480" s="27" t="str" cm="1">
        <f t="array" ref="F480">INDEX(Sources!A:A, 1 + BIN2DEC(LEFT($B480,5)))</f>
        <v>AH</v>
      </c>
      <c r="G480" s="27" t="str" cm="1">
        <f t="array" ref="G480">INDEX(Dest1!A:A,1+BIN2DEC(MID($B480,6,5)))</f>
        <v>UNK10</v>
      </c>
      <c r="H480" s="27" t="str" cm="1">
        <f t="array" ref="H480">INDEX(Source2!A:A,1+BIN2DEC(MID($B480,11,4)))</f>
        <v>--</v>
      </c>
      <c r="I480" s="23" cm="1">
        <f t="array" ref="I480">INDEX('D2'!A:A,1+BIN2DEC(MID($B480,16,2)))</f>
        <v>0</v>
      </c>
      <c r="J480" s="6">
        <f t="shared" si="55"/>
        <v>0</v>
      </c>
      <c r="K480" s="6">
        <f t="shared" si="51"/>
        <v>0</v>
      </c>
      <c r="L480" s="6">
        <f t="shared" si="52"/>
        <v>0</v>
      </c>
      <c r="M480" s="3" t="str" cm="1">
        <f t="array" ref="M480">INDEX(Types!A:A,1+BIN2DEC(MID($B480,20,2)))</f>
        <v>Control</v>
      </c>
      <c r="N480" s="3" t="str" cm="1">
        <f t="array" ref="N480">IF(M480="ALU",INDEX(ALUOps!A:A,1+BIN2DEC(MID($B480,22,5))),"")</f>
        <v/>
      </c>
      <c r="O480" s="3" t="str" cm="1">
        <f t="array" ref="O480">IF(M480="ALU",INDEX(TMP!A:A,1+BIN2DEC(MID($B480,27,2))),"")</f>
        <v/>
      </c>
      <c r="P480" s="6" t="str">
        <f t="shared" si="53"/>
        <v/>
      </c>
      <c r="Q480" t="str">
        <f t="shared" si="54"/>
        <v/>
      </c>
      <c r="R480" t="str">
        <f t="shared" si="56"/>
        <v/>
      </c>
      <c r="S480" cm="1">
        <f t="array" ref="S480">IF(M480="Control",INDEX(IC!A:A,1+BIN2DEC(MID($B480,21,4))),"")</f>
        <v>0</v>
      </c>
      <c r="T480" cm="1">
        <f t="array" ref="T480">IF(M480="Control",INDEX(EC!A:A,1+BIN2DEC(MID($B480,25,3))),"")</f>
        <v>0</v>
      </c>
      <c r="U480" cm="1">
        <f t="array" ref="U480">IF(M480="Control",INDEX(SR!A:A,1+BIN2DEC(MID($B480,28,2))),"")</f>
        <v>0</v>
      </c>
    </row>
    <row r="481" spans="1:30" x14ac:dyDescent="0.25">
      <c r="A481" s="4" t="str">
        <f t="shared" si="50"/>
        <v>1DF</v>
      </c>
      <c r="B481" s="2" t="s">
        <v>469</v>
      </c>
      <c r="C481" s="3"/>
      <c r="D481" s="3"/>
      <c r="E481" s="3"/>
      <c r="F481" s="27" t="str" cm="1">
        <f t="array" ref="F481">INDEX(Sources!A:A, 1 + BIN2DEC(LEFT($B481,5)))</f>
        <v>UNK17</v>
      </c>
      <c r="G481" s="27" t="str" cm="1">
        <f t="array" ref="G481">INDEX(Dest1!A:A,1+BIN2DEC(MID($B481,6,5)))</f>
        <v>A</v>
      </c>
      <c r="H481" s="27" t="str" cm="1">
        <f t="array" ref="H481">INDEX(Source2!A:A,1+BIN2DEC(MID($B481,11,4)))</f>
        <v>--</v>
      </c>
      <c r="I481" s="23" cm="1">
        <f t="array" ref="I481">INDEX('D2'!A:A,1+BIN2DEC(MID($B481,16,2)))</f>
        <v>0</v>
      </c>
      <c r="J481" s="6">
        <f t="shared" si="55"/>
        <v>0</v>
      </c>
      <c r="K481" s="6">
        <f t="shared" si="51"/>
        <v>0</v>
      </c>
      <c r="L481" s="6">
        <f t="shared" si="52"/>
        <v>0</v>
      </c>
      <c r="M481" s="3" t="str" cm="1">
        <f t="array" ref="M481">INDEX(Types!A:A,1+BIN2DEC(MID($B481,20,2)))</f>
        <v>Control</v>
      </c>
      <c r="N481" s="3" t="str" cm="1">
        <f t="array" ref="N481">IF(M481="ALU",INDEX(ALUOps!A:A,1+BIN2DEC(MID($B481,22,5))),"")</f>
        <v/>
      </c>
      <c r="O481" s="3" t="str" cm="1">
        <f t="array" ref="O481">IF(M481="ALU",INDEX(TMP!A:A,1+BIN2DEC(MID($B481,27,2))),"")</f>
        <v/>
      </c>
      <c r="P481" s="6" t="str">
        <f t="shared" si="53"/>
        <v/>
      </c>
      <c r="Q481" t="str">
        <f t="shared" si="54"/>
        <v/>
      </c>
      <c r="R481" t="str">
        <f t="shared" si="56"/>
        <v/>
      </c>
      <c r="S481" cm="1">
        <f t="array" ref="S481">IF(M481="Control",INDEX(IC!A:A,1+BIN2DEC(MID($B481,21,4))),"")</f>
        <v>1</v>
      </c>
      <c r="T481" cm="1">
        <f t="array" ref="T481">IF(M481="Control",INDEX(EC!A:A,1+BIN2DEC(MID($B481,25,3))),"")</f>
        <v>7</v>
      </c>
      <c r="U481" cm="1">
        <f t="array" ref="U481">IF(M481="Control",INDEX(SR!A:A,1+BIN2DEC(MID($B481,28,2))),"")</f>
        <v>1</v>
      </c>
    </row>
    <row r="482" spans="1:30" x14ac:dyDescent="0.25">
      <c r="A482" s="4" t="str">
        <f t="shared" si="50"/>
        <v>1E0</v>
      </c>
      <c r="B482" s="2" t="s">
        <v>470</v>
      </c>
      <c r="C482" s="2" t="s">
        <v>465</v>
      </c>
      <c r="D482" s="2" t="s">
        <v>931</v>
      </c>
      <c r="E482" s="2" t="s">
        <v>462</v>
      </c>
      <c r="F482" s="27" t="str" cm="1">
        <f t="array" ref="F482">INDEX(Sources!A:A, 1 + BIN2DEC(LEFT($B482,5)))</f>
        <v>UNK22</v>
      </c>
      <c r="G482" s="27" t="str" cm="1">
        <f t="array" ref="G482">INDEX(Dest1!A:A,1+BIN2DEC(MID($B482,6,5)))</f>
        <v>UNK26</v>
      </c>
      <c r="H482" s="27" t="str" cm="1">
        <f t="array" ref="H482">INDEX(Source2!A:A,1+BIN2DEC(MID($B482,11,4)))</f>
        <v>--</v>
      </c>
      <c r="I482" s="23" cm="1">
        <f t="array" ref="I482">INDEX('D2'!A:A,1+BIN2DEC(MID($B482,16,2)))</f>
        <v>0</v>
      </c>
      <c r="J482" s="6">
        <f t="shared" si="55"/>
        <v>0</v>
      </c>
      <c r="K482" s="6">
        <f t="shared" si="51"/>
        <v>0</v>
      </c>
      <c r="L482" s="6">
        <f t="shared" si="52"/>
        <v>0</v>
      </c>
      <c r="M482" s="3" t="str" cm="1">
        <f t="array" ref="M482">INDEX(Types!A:A,1+BIN2DEC(MID($B482,20,2)))</f>
        <v>Control</v>
      </c>
      <c r="N482" s="3" t="str" cm="1">
        <f t="array" ref="N482">IF(M482="ALU",INDEX(ALUOps!A:A,1+BIN2DEC(MID($B482,22,5))),"")</f>
        <v/>
      </c>
      <c r="O482" s="3" t="str" cm="1">
        <f t="array" ref="O482">IF(M482="ALU",INDEX(TMP!A:A,1+BIN2DEC(MID($B482,27,2))),"")</f>
        <v/>
      </c>
      <c r="P482" s="6" t="str">
        <f t="shared" si="53"/>
        <v/>
      </c>
      <c r="Q482" t="str">
        <f t="shared" si="54"/>
        <v/>
      </c>
      <c r="R482" t="str">
        <f t="shared" si="56"/>
        <v/>
      </c>
      <c r="S482" cm="1">
        <f t="array" ref="S482">IF(M482="Control",INDEX(IC!A:A,1+BIN2DEC(MID($B482,21,4))),"")</f>
        <v>7</v>
      </c>
      <c r="T482" cm="1">
        <f t="array" ref="T482">IF(M482="Control",INDEX(EC!A:A,1+BIN2DEC(MID($B482,25,3))),"")</f>
        <v>2</v>
      </c>
      <c r="U482" cm="1">
        <f t="array" ref="U482">IF(M482="Control",INDEX(SR!A:A,1+BIN2DEC(MID($B482,28,2))),"")</f>
        <v>2</v>
      </c>
      <c r="AD482" s="1" t="s">
        <v>466</v>
      </c>
    </row>
    <row r="483" spans="1:30" x14ac:dyDescent="0.25">
      <c r="A483" s="4" t="str">
        <f t="shared" si="50"/>
        <v>1E1</v>
      </c>
      <c r="B483" s="2" t="s">
        <v>168</v>
      </c>
      <c r="C483" s="3"/>
      <c r="D483" s="3"/>
      <c r="E483" s="3"/>
      <c r="F483" s="27" t="str" cm="1">
        <f t="array" ref="F483">INDEX(Sources!A:A, 1 + BIN2DEC(LEFT($B483,5)))</f>
        <v>OUT</v>
      </c>
      <c r="G483" s="27" t="str" cm="1">
        <f t="array" ref="G483">INDEX(Dest1!A:A,1+BIN2DEC(MID($B483,6,5)))</f>
        <v>TMPA</v>
      </c>
      <c r="H483" s="27" t="str" cm="1">
        <f t="array" ref="H483">INDEX(Source2!A:A,1+BIN2DEC(MID($B483,11,4)))</f>
        <v>--</v>
      </c>
      <c r="I483" s="23" cm="1">
        <f t="array" ref="I483">INDEX('D2'!A:A,1+BIN2DEC(MID($B483,16,2)))</f>
        <v>1</v>
      </c>
      <c r="J483" s="6">
        <f t="shared" si="55"/>
        <v>1</v>
      </c>
      <c r="K483" s="6">
        <f t="shared" si="51"/>
        <v>0</v>
      </c>
      <c r="L483" s="6">
        <f t="shared" si="52"/>
        <v>0</v>
      </c>
      <c r="M483" s="3" t="str" cm="1">
        <f t="array" ref="M483">INDEX(Types!A:A,1+BIN2DEC(MID($B483,20,2)))</f>
        <v>Control</v>
      </c>
      <c r="N483" s="3" t="str" cm="1">
        <f t="array" ref="N483">IF(M483="ALU",INDEX(ALUOps!A:A,1+BIN2DEC(MID($B483,22,5))),"")</f>
        <v/>
      </c>
      <c r="O483" s="3" t="str" cm="1">
        <f t="array" ref="O483">IF(M483="ALU",INDEX(TMP!A:A,1+BIN2DEC(MID($B483,27,2))),"")</f>
        <v/>
      </c>
      <c r="P483" s="6" t="str">
        <f t="shared" si="53"/>
        <v/>
      </c>
      <c r="Q483" t="str">
        <f t="shared" si="54"/>
        <v/>
      </c>
      <c r="R483" t="str">
        <f t="shared" si="56"/>
        <v/>
      </c>
      <c r="S483" cm="1">
        <f t="array" ref="S483">IF(M483="Control",INDEX(IC!A:A,1+BIN2DEC(MID($B483,21,4))),"")</f>
        <v>0</v>
      </c>
      <c r="T483" cm="1">
        <f t="array" ref="T483">IF(M483="Control",INDEX(EC!A:A,1+BIN2DEC(MID($B483,25,3))),"")</f>
        <v>0</v>
      </c>
      <c r="U483" cm="1">
        <f t="array" ref="U483">IF(M483="Control",INDEX(SR!A:A,1+BIN2DEC(MID($B483,28,2))),"")</f>
        <v>0</v>
      </c>
    </row>
    <row r="484" spans="1:30" x14ac:dyDescent="0.25">
      <c r="A484" s="4" t="str">
        <f t="shared" si="50"/>
        <v>1E2</v>
      </c>
      <c r="B484" s="2" t="s">
        <v>471</v>
      </c>
      <c r="C484" s="3"/>
      <c r="D484" s="3"/>
      <c r="E484" s="3"/>
      <c r="F484" s="27" t="str" cm="1">
        <f t="array" ref="F484">INDEX(Sources!A:A, 1 + BIN2DEC(LEFT($B484,5)))</f>
        <v>UNK22</v>
      </c>
      <c r="G484" s="27" t="str" cm="1">
        <f t="array" ref="G484">INDEX(Dest1!A:A,1+BIN2DEC(MID($B484,6,5)))</f>
        <v>UNK26</v>
      </c>
      <c r="H484" s="27" t="str" cm="1">
        <f t="array" ref="H484">INDEX(Source2!A:A,1+BIN2DEC(MID($B484,11,4)))</f>
        <v>--</v>
      </c>
      <c r="I484" s="23" cm="1">
        <f t="array" ref="I484">INDEX('D2'!A:A,1+BIN2DEC(MID($B484,16,2)))</f>
        <v>0</v>
      </c>
      <c r="J484" s="6">
        <f t="shared" si="55"/>
        <v>0</v>
      </c>
      <c r="K484" s="6">
        <f t="shared" si="51"/>
        <v>0</v>
      </c>
      <c r="L484" s="6">
        <f t="shared" si="52"/>
        <v>0</v>
      </c>
      <c r="M484" s="3" t="str" cm="1">
        <f t="array" ref="M484">INDEX(Types!A:A,1+BIN2DEC(MID($B484,20,2)))</f>
        <v>Control</v>
      </c>
      <c r="N484" s="3" t="str" cm="1">
        <f t="array" ref="N484">IF(M484="ALU",INDEX(ALUOps!A:A,1+BIN2DEC(MID($B484,22,5))),"")</f>
        <v/>
      </c>
      <c r="O484" s="3" t="str" cm="1">
        <f t="array" ref="O484">IF(M484="ALU",INDEX(TMP!A:A,1+BIN2DEC(MID($B484,27,2))),"")</f>
        <v/>
      </c>
      <c r="P484" s="6" t="str">
        <f t="shared" si="53"/>
        <v/>
      </c>
      <c r="Q484" t="str">
        <f t="shared" si="54"/>
        <v/>
      </c>
      <c r="R484" t="str">
        <f t="shared" si="56"/>
        <v/>
      </c>
      <c r="S484" cm="1">
        <f t="array" ref="S484">IF(M484="Control",INDEX(IC!A:A,1+BIN2DEC(MID($B484,21,4))),"")</f>
        <v>0</v>
      </c>
      <c r="T484" cm="1">
        <f t="array" ref="T484">IF(M484="Control",INDEX(EC!A:A,1+BIN2DEC(MID($B484,25,3))),"")</f>
        <v>2</v>
      </c>
      <c r="U484" cm="1">
        <f t="array" ref="U484">IF(M484="Control",INDEX(SR!A:A,1+BIN2DEC(MID($B484,28,2))),"")</f>
        <v>2</v>
      </c>
    </row>
    <row r="485" spans="1:30" s="9" customFormat="1" ht="15.75" thickBot="1" x14ac:dyDescent="0.3">
      <c r="A485" s="7" t="str">
        <f t="shared" si="50"/>
        <v>1E3</v>
      </c>
      <c r="B485" s="8" t="s">
        <v>472</v>
      </c>
      <c r="C485" s="10"/>
      <c r="D485" s="10"/>
      <c r="E485" s="10"/>
      <c r="F485" s="30" t="str" cm="1">
        <f t="array" ref="F485">INDEX(Sources!A:A, 1 + BIN2DEC(LEFT($B485,5)))</f>
        <v>OUT</v>
      </c>
      <c r="G485" s="30" t="str" cm="1">
        <f t="array" ref="G485">INDEX(Dest1!A:A,1+BIN2DEC(MID($B485,6,5)))</f>
        <v>TMPA</v>
      </c>
      <c r="H485" s="30" t="str" cm="1">
        <f t="array" ref="H485">INDEX(Source2!A:A,1+BIN2DEC(MID($B485,11,4)))</f>
        <v>--</v>
      </c>
      <c r="I485" s="26" cm="1">
        <f t="array" ref="I485">INDEX('D2'!A:A,1+BIN2DEC(MID($B485,16,2)))</f>
        <v>1</v>
      </c>
      <c r="J485" s="11">
        <f t="shared" si="55"/>
        <v>1</v>
      </c>
      <c r="K485" s="11">
        <f t="shared" si="51"/>
        <v>0</v>
      </c>
      <c r="L485" s="11">
        <f t="shared" si="52"/>
        <v>0</v>
      </c>
      <c r="M485" s="10" t="str" cm="1">
        <f t="array" ref="M485">INDEX(Types!A:A,1+BIN2DEC(MID($B485,20,2)))</f>
        <v>Control</v>
      </c>
      <c r="N485" s="10" t="str" cm="1">
        <f t="array" ref="N485">IF(M485="ALU",INDEX(ALUOps!A:A,1+BIN2DEC(MID($B485,22,5))),"")</f>
        <v/>
      </c>
      <c r="O485" s="10" t="str" cm="1">
        <f t="array" ref="O485">IF(M485="ALU",INDEX(TMP!A:A,1+BIN2DEC(MID($B485,27,2))),"")</f>
        <v/>
      </c>
      <c r="P485" s="11" t="str">
        <f t="shared" si="53"/>
        <v/>
      </c>
      <c r="Q485" s="9" t="str">
        <f t="shared" si="54"/>
        <v/>
      </c>
      <c r="R485" s="9" t="str">
        <f t="shared" si="56"/>
        <v/>
      </c>
      <c r="S485" s="9" cm="1">
        <f t="array" ref="S485">IF(M485="Control",INDEX(IC!A:A,1+BIN2DEC(MID($B485,21,4))),"")</f>
        <v>1</v>
      </c>
      <c r="T485" s="9" cm="1">
        <f t="array" ref="T485">IF(M485="Control",INDEX(EC!A:A,1+BIN2DEC(MID($B485,25,3))),"")</f>
        <v>7</v>
      </c>
      <c r="U485" s="9" cm="1">
        <f t="array" ref="U485">IF(M485="Control",INDEX(SR!A:A,1+BIN2DEC(MID($B485,28,2))),"")</f>
        <v>1</v>
      </c>
    </row>
    <row r="486" spans="1:30" x14ac:dyDescent="0.25">
      <c r="A486" s="4" t="str">
        <f t="shared" si="50"/>
        <v>1E4</v>
      </c>
      <c r="B486" s="2" t="s">
        <v>238</v>
      </c>
      <c r="C486" s="2" t="s">
        <v>473</v>
      </c>
      <c r="D486" s="2" t="s">
        <v>931</v>
      </c>
      <c r="E486" s="2" t="s">
        <v>462</v>
      </c>
      <c r="F486" s="27" t="str" cm="1">
        <f t="array" ref="F486">INDEX(Sources!A:A, 1 + BIN2DEC(LEFT($B486,5)))</f>
        <v>--</v>
      </c>
      <c r="G486" s="27" t="str" cm="1">
        <f t="array" ref="G486">INDEX(Dest1!A:A,1+BIN2DEC(MID($B486,6,5)))</f>
        <v>--</v>
      </c>
      <c r="H486" s="27" t="str" cm="1">
        <f t="array" ref="H486">INDEX(Source2!A:A,1+BIN2DEC(MID($B486,11,4)))</f>
        <v>--</v>
      </c>
      <c r="I486" s="23" cm="1">
        <f t="array" ref="I486">INDEX('D2'!A:A,1+BIN2DEC(MID($B486,16,2)))</f>
        <v>0</v>
      </c>
      <c r="J486" s="6">
        <f t="shared" si="55"/>
        <v>0</v>
      </c>
      <c r="K486" s="6">
        <f t="shared" si="51"/>
        <v>0</v>
      </c>
      <c r="L486" s="6">
        <f t="shared" si="52"/>
        <v>0</v>
      </c>
      <c r="M486" s="3" t="str" cm="1">
        <f t="array" ref="M486">INDEX(Types!A:A,1+BIN2DEC(MID($B486,20,2)))</f>
        <v>ALU</v>
      </c>
      <c r="N486" s="3" cm="1">
        <f t="array" ref="N486">IF(M486="ALU",INDEX(ALUOps!A:A,1+BIN2DEC(MID($B486,22,5))),"")</f>
        <v>3</v>
      </c>
      <c r="O486" s="3" cm="1">
        <f t="array" ref="O486">IF(M486="ALU",INDEX(TMP!A:A,1+BIN2DEC(MID($B486,27,2))),"")</f>
        <v>3</v>
      </c>
      <c r="P486" s="6">
        <f t="shared" si="53"/>
        <v>1</v>
      </c>
      <c r="Q486" t="str">
        <f t="shared" si="54"/>
        <v/>
      </c>
      <c r="R486" t="str">
        <f t="shared" si="56"/>
        <v/>
      </c>
      <c r="S486" t="str" cm="1">
        <f t="array" ref="S486">IF(M486="Control",INDEX(IC!A:A,1+BIN2DEC(MID($B486,21,4))),"")</f>
        <v/>
      </c>
      <c r="T486" t="str" cm="1">
        <f t="array" ref="T486">IF(M486="Control",INDEX(EC!A:A,1+BIN2DEC(MID($B486,25,3))),"")</f>
        <v/>
      </c>
      <c r="U486" t="str" cm="1">
        <f t="array" ref="U486">IF(M486="Control",INDEX(SR!A:A,1+BIN2DEC(MID($B486,28,2))),"")</f>
        <v/>
      </c>
      <c r="AD486" s="1" t="s">
        <v>474</v>
      </c>
    </row>
    <row r="487" spans="1:30" x14ac:dyDescent="0.25">
      <c r="A487" s="4" t="str">
        <f t="shared" si="50"/>
        <v>1E5</v>
      </c>
      <c r="B487" s="2" t="s">
        <v>475</v>
      </c>
      <c r="C487" s="3"/>
      <c r="D487" s="3"/>
      <c r="E487" s="3"/>
      <c r="F487" s="27" t="str" cm="1">
        <f t="array" ref="F487">INDEX(Sources!A:A, 1 + BIN2DEC(LEFT($B487,5)))</f>
        <v>SIGMA</v>
      </c>
      <c r="G487" s="27" t="str" cm="1">
        <f t="array" ref="G487">INDEX(Dest1!A:A,1+BIN2DEC(MID($B487,6,5)))</f>
        <v>UNK26</v>
      </c>
      <c r="H487" s="27" t="str" cm="1">
        <f t="array" ref="H487">INDEX(Source2!A:A,1+BIN2DEC(MID($B487,11,4)))</f>
        <v>11</v>
      </c>
      <c r="I487" s="23" t="str" cm="1">
        <f t="array" ref="I487">INDEX('D2'!A:A,1+BIN2DEC(MID($B487,16,2)))</f>
        <v>TMPB</v>
      </c>
      <c r="J487" s="6">
        <f t="shared" si="55"/>
        <v>0</v>
      </c>
      <c r="K487" s="6">
        <f t="shared" si="51"/>
        <v>0</v>
      </c>
      <c r="L487" s="6">
        <f t="shared" si="52"/>
        <v>0</v>
      </c>
      <c r="M487" s="3" t="str" cm="1">
        <f t="array" ref="M487">INDEX(Types!A:A,1+BIN2DEC(MID($B487,20,2)))</f>
        <v>Control</v>
      </c>
      <c r="N487" s="3" t="str" cm="1">
        <f t="array" ref="N487">IF(M487="ALU",INDEX(ALUOps!A:A,1+BIN2DEC(MID($B487,22,5))),"")</f>
        <v/>
      </c>
      <c r="O487" s="3" t="str" cm="1">
        <f t="array" ref="O487">IF(M487="ALU",INDEX(TMP!A:A,1+BIN2DEC(MID($B487,27,2))),"")</f>
        <v/>
      </c>
      <c r="P487" s="6" t="str">
        <f t="shared" si="53"/>
        <v/>
      </c>
      <c r="Q487" t="str">
        <f t="shared" si="54"/>
        <v/>
      </c>
      <c r="R487" t="str">
        <f t="shared" si="56"/>
        <v/>
      </c>
      <c r="S487" cm="1">
        <f t="array" ref="S487">IF(M487="Control",INDEX(IC!A:A,1+BIN2DEC(MID($B487,21,4))),"")</f>
        <v>7</v>
      </c>
      <c r="T487" cm="1">
        <f t="array" ref="T487">IF(M487="Control",INDEX(EC!A:A,1+BIN2DEC(MID($B487,25,3))),"")</f>
        <v>6</v>
      </c>
      <c r="U487" cm="1">
        <f t="array" ref="U487">IF(M487="Control",INDEX(SR!A:A,1+BIN2DEC(MID($B487,28,2))),"")</f>
        <v>1</v>
      </c>
    </row>
    <row r="488" spans="1:30" x14ac:dyDescent="0.25">
      <c r="A488" s="4" t="str">
        <f t="shared" si="50"/>
        <v>1E6</v>
      </c>
      <c r="B488" s="2" t="s">
        <v>476</v>
      </c>
      <c r="C488" s="3"/>
      <c r="D488" s="3"/>
      <c r="E488" s="3"/>
      <c r="F488" s="27" t="str" cm="1">
        <f t="array" ref="F488">INDEX(Sources!A:A, 1 + BIN2DEC(LEFT($B488,5)))</f>
        <v>OUT</v>
      </c>
      <c r="G488" s="27" t="str" cm="1">
        <f t="array" ref="G488">INDEX(Dest1!A:A,1+BIN2DEC(MID($B488,6,5)))</f>
        <v>PC</v>
      </c>
      <c r="H488" s="27" t="str" cm="1">
        <f t="array" ref="H488">INDEX(Source2!A:A,1+BIN2DEC(MID($B488,11,4)))</f>
        <v>--</v>
      </c>
      <c r="I488" s="23" cm="1">
        <f t="array" ref="I488">INDEX('D2'!A:A,1+BIN2DEC(MID($B488,16,2)))</f>
        <v>1</v>
      </c>
      <c r="J488" s="6">
        <f t="shared" si="55"/>
        <v>1</v>
      </c>
      <c r="K488" s="6">
        <f t="shared" si="51"/>
        <v>0</v>
      </c>
      <c r="L488" s="6">
        <f t="shared" si="52"/>
        <v>0</v>
      </c>
      <c r="M488" s="3" t="str" cm="1">
        <f t="array" ref="M488">INDEX(Types!A:A,1+BIN2DEC(MID($B488,20,2)))</f>
        <v>Control</v>
      </c>
      <c r="N488" s="3" t="str" cm="1">
        <f t="array" ref="N488">IF(M488="ALU",INDEX(ALUOps!A:A,1+BIN2DEC(MID($B488,22,5))),"")</f>
        <v/>
      </c>
      <c r="O488" s="3" t="str" cm="1">
        <f t="array" ref="O488">IF(M488="ALU",INDEX(TMP!A:A,1+BIN2DEC(MID($B488,27,2))),"")</f>
        <v/>
      </c>
      <c r="P488" s="6" t="str">
        <f t="shared" si="53"/>
        <v/>
      </c>
      <c r="Q488" t="str">
        <f t="shared" si="54"/>
        <v/>
      </c>
      <c r="R488" t="str">
        <f t="shared" si="56"/>
        <v/>
      </c>
      <c r="S488" cm="1">
        <f t="array" ref="S488">IF(M488="Control",INDEX(IC!A:A,1+BIN2DEC(MID($B488,21,4))),"")</f>
        <v>0</v>
      </c>
      <c r="T488" cm="1">
        <f t="array" ref="T488">IF(M488="Control",INDEX(EC!A:A,1+BIN2DEC(MID($B488,25,3))),"")</f>
        <v>0</v>
      </c>
      <c r="U488" cm="1">
        <f t="array" ref="U488">IF(M488="Control",INDEX(SR!A:A,1+BIN2DEC(MID($B488,28,2))),"")</f>
        <v>0</v>
      </c>
    </row>
    <row r="489" spans="1:30" x14ac:dyDescent="0.25">
      <c r="A489" s="4" t="str">
        <f t="shared" si="50"/>
        <v>1E7</v>
      </c>
      <c r="B489" s="2" t="s">
        <v>232</v>
      </c>
      <c r="C489" s="3"/>
      <c r="D489" s="3"/>
      <c r="E489" s="3"/>
      <c r="F489" s="27" t="str" cm="1">
        <f t="array" ref="F489">INDEX(Sources!A:A, 1 + BIN2DEC(LEFT($B489,5)))</f>
        <v>SIGMA</v>
      </c>
      <c r="G489" s="27" t="str" cm="1">
        <f t="array" ref="G489">INDEX(Dest1!A:A,1+BIN2DEC(MID($B489,6,5)))</f>
        <v>UNK26</v>
      </c>
      <c r="H489" s="27" t="str" cm="1">
        <f t="array" ref="H489">INDEX(Source2!A:A,1+BIN2DEC(MID($B489,11,4)))</f>
        <v>11</v>
      </c>
      <c r="I489" s="23" t="str" cm="1">
        <f t="array" ref="I489">INDEX('D2'!A:A,1+BIN2DEC(MID($B489,16,2)))</f>
        <v>TMPB</v>
      </c>
      <c r="J489" s="6">
        <f t="shared" si="55"/>
        <v>0</v>
      </c>
      <c r="K489" s="6">
        <f t="shared" si="51"/>
        <v>0</v>
      </c>
      <c r="L489" s="6">
        <f t="shared" si="52"/>
        <v>0</v>
      </c>
      <c r="M489" s="3" t="str" cm="1">
        <f t="array" ref="M489">INDEX(Types!A:A,1+BIN2DEC(MID($B489,20,2)))</f>
        <v>Control</v>
      </c>
      <c r="N489" s="3" t="str" cm="1">
        <f t="array" ref="N489">IF(M489="ALU",INDEX(ALUOps!A:A,1+BIN2DEC(MID($B489,22,5))),"")</f>
        <v/>
      </c>
      <c r="O489" s="3" t="str" cm="1">
        <f t="array" ref="O489">IF(M489="ALU",INDEX(TMP!A:A,1+BIN2DEC(MID($B489,27,2))),"")</f>
        <v/>
      </c>
      <c r="P489" s="6" t="str">
        <f t="shared" si="53"/>
        <v/>
      </c>
      <c r="Q489" t="str">
        <f t="shared" si="54"/>
        <v/>
      </c>
      <c r="R489" t="str">
        <f t="shared" si="56"/>
        <v/>
      </c>
      <c r="S489" cm="1">
        <f t="array" ref="S489">IF(M489="Control",INDEX(IC!A:A,1+BIN2DEC(MID($B489,21,4))),"")</f>
        <v>0</v>
      </c>
      <c r="T489" cm="1">
        <f t="array" ref="T489">IF(M489="Control",INDEX(EC!A:A,1+BIN2DEC(MID($B489,25,3))),"")</f>
        <v>6</v>
      </c>
      <c r="U489" cm="1">
        <f t="array" ref="U489">IF(M489="Control",INDEX(SR!A:A,1+BIN2DEC(MID($B489,28,2))),"")</f>
        <v>1</v>
      </c>
    </row>
    <row r="490" spans="1:30" x14ac:dyDescent="0.25">
      <c r="A490" s="4" t="str">
        <f t="shared" si="50"/>
        <v>1E8</v>
      </c>
      <c r="B490" s="2" t="s">
        <v>477</v>
      </c>
      <c r="C490" s="2" t="s">
        <v>478</v>
      </c>
      <c r="D490" s="2" t="s">
        <v>931</v>
      </c>
      <c r="E490" s="2" t="s">
        <v>929</v>
      </c>
      <c r="F490" s="27" t="str" cm="1">
        <f t="array" ref="F490">INDEX(Sources!A:A, 1 + BIN2DEC(LEFT($B490,5)))</f>
        <v>OUT</v>
      </c>
      <c r="G490" s="27" t="str" cm="1">
        <f t="array" ref="G490">INDEX(Dest1!A:A,1+BIN2DEC(MID($B490,6,5)))</f>
        <v>CS</v>
      </c>
      <c r="H490" s="27" t="str" cm="1">
        <f t="array" ref="H490">INDEX(Source2!A:A,1+BIN2DEC(MID($B490,11,4)))</f>
        <v>--</v>
      </c>
      <c r="I490" s="23" cm="1">
        <f t="array" ref="I490">INDEX('D2'!A:A,1+BIN2DEC(MID($B490,16,2)))</f>
        <v>1</v>
      </c>
      <c r="J490" s="6">
        <f t="shared" si="55"/>
        <v>1</v>
      </c>
      <c r="K490" s="6">
        <f t="shared" si="51"/>
        <v>0</v>
      </c>
      <c r="L490" s="6">
        <f t="shared" si="52"/>
        <v>0</v>
      </c>
      <c r="M490" s="3" t="str" cm="1">
        <f t="array" ref="M490">INDEX(Types!A:A,1+BIN2DEC(MID($B490,20,2)))</f>
        <v>Control</v>
      </c>
      <c r="N490" s="3" t="str" cm="1">
        <f t="array" ref="N490">IF(M490="ALU",INDEX(ALUOps!A:A,1+BIN2DEC(MID($B490,22,5))),"")</f>
        <v/>
      </c>
      <c r="O490" s="3" t="str" cm="1">
        <f t="array" ref="O490">IF(M490="ALU",INDEX(TMP!A:A,1+BIN2DEC(MID($B490,27,2))),"")</f>
        <v/>
      </c>
      <c r="P490" s="6" t="str">
        <f t="shared" si="53"/>
        <v/>
      </c>
      <c r="Q490" t="str">
        <f t="shared" si="54"/>
        <v/>
      </c>
      <c r="R490" t="str">
        <f t="shared" si="56"/>
        <v/>
      </c>
      <c r="S490" cm="1">
        <f t="array" ref="S490">IF(M490="Control",INDEX(IC!A:A,1+BIN2DEC(MID($B490,21,4))),"")</f>
        <v>6</v>
      </c>
      <c r="T490" cm="1">
        <f t="array" ref="T490">IF(M490="Control",INDEX(EC!A:A,1+BIN2DEC(MID($B490,25,3))),"")</f>
        <v>0</v>
      </c>
      <c r="U490" cm="1">
        <f t="array" ref="U490">IF(M490="Control",INDEX(SR!A:A,1+BIN2DEC(MID($B490,28,2))),"")</f>
        <v>0</v>
      </c>
      <c r="AD490" s="1" t="s">
        <v>474</v>
      </c>
    </row>
    <row r="491" spans="1:30" x14ac:dyDescent="0.25">
      <c r="A491" s="4" t="str">
        <f t="shared" si="50"/>
        <v>1E9</v>
      </c>
      <c r="B491" s="2" t="s">
        <v>15</v>
      </c>
      <c r="C491" s="3"/>
      <c r="D491" s="3"/>
      <c r="E491" s="3"/>
      <c r="F491" s="27" t="str" cm="1">
        <f t="array" ref="F491">INDEX(Sources!A:A, 1 + BIN2DEC(LEFT($B491,5)))</f>
        <v>SIGMA</v>
      </c>
      <c r="G491" s="27" t="str" cm="1">
        <f t="array" ref="G491">INDEX(Dest1!A:A,1+BIN2DEC(MID($B491,6,5)))</f>
        <v>SP</v>
      </c>
      <c r="H491" s="27" t="str" cm="1">
        <f t="array" ref="H491">INDEX(Source2!A:A,1+BIN2DEC(MID($B491,11,4)))</f>
        <v>--</v>
      </c>
      <c r="I491" s="23" cm="1">
        <f t="array" ref="I491">INDEX('D2'!A:A,1+BIN2DEC(MID($B491,16,2)))</f>
        <v>0</v>
      </c>
      <c r="J491" s="6">
        <f t="shared" si="55"/>
        <v>0</v>
      </c>
      <c r="K491" s="6">
        <f t="shared" si="51"/>
        <v>0</v>
      </c>
      <c r="L491" s="6">
        <f t="shared" si="52"/>
        <v>0</v>
      </c>
      <c r="M491" s="3" t="str" cm="1">
        <f t="array" ref="M491">INDEX(Types!A:A,1+BIN2DEC(MID($B491,20,2)))</f>
        <v>Control</v>
      </c>
      <c r="N491" s="3" t="str" cm="1">
        <f t="array" ref="N491">IF(M491="ALU",INDEX(ALUOps!A:A,1+BIN2DEC(MID($B491,22,5))),"")</f>
        <v/>
      </c>
      <c r="O491" s="3" t="str" cm="1">
        <f t="array" ref="O491">IF(M491="ALU",INDEX(TMP!A:A,1+BIN2DEC(MID($B491,27,2))),"")</f>
        <v/>
      </c>
      <c r="P491" s="6" t="str">
        <f t="shared" si="53"/>
        <v/>
      </c>
      <c r="Q491" t="str">
        <f t="shared" si="54"/>
        <v/>
      </c>
      <c r="R491" t="str">
        <f t="shared" si="56"/>
        <v/>
      </c>
      <c r="S491" cm="1">
        <f t="array" ref="S491">IF(M491="Control",INDEX(IC!A:A,1+BIN2DEC(MID($B491,21,4))),"")</f>
        <v>0</v>
      </c>
      <c r="T491" cm="1">
        <f t="array" ref="T491">IF(M491="Control",INDEX(EC!A:A,1+BIN2DEC(MID($B491,25,3))),"")</f>
        <v>0</v>
      </c>
      <c r="U491" cm="1">
        <f t="array" ref="U491">IF(M491="Control",INDEX(SR!A:A,1+BIN2DEC(MID($B491,28,2))),"")</f>
        <v>0</v>
      </c>
    </row>
    <row r="492" spans="1:30" x14ac:dyDescent="0.25">
      <c r="A492" s="4" t="str">
        <f t="shared" si="50"/>
        <v>1EA</v>
      </c>
      <c r="B492" s="2" t="s">
        <v>127</v>
      </c>
      <c r="C492" s="3"/>
      <c r="D492" s="3"/>
      <c r="E492" s="3"/>
      <c r="F492" s="27" t="str" cm="1">
        <f t="array" ref="F492">INDEX(Sources!A:A, 1 + BIN2DEC(LEFT($B492,5)))</f>
        <v>OUT</v>
      </c>
      <c r="G492" s="27" t="str" cm="1">
        <f t="array" ref="G492">INDEX(Dest1!A:A,1+BIN2DEC(MID($B492,6,5)))</f>
        <v>FLAGS</v>
      </c>
      <c r="H492" s="27" t="str" cm="1">
        <f t="array" ref="H492">INDEX(Source2!A:A,1+BIN2DEC(MID($B492,11,4)))</f>
        <v>--</v>
      </c>
      <c r="I492" s="23" cm="1">
        <f t="array" ref="I492">INDEX('D2'!A:A,1+BIN2DEC(MID($B492,16,2)))</f>
        <v>1</v>
      </c>
      <c r="J492" s="6">
        <f t="shared" si="55"/>
        <v>1</v>
      </c>
      <c r="K492" s="6">
        <f t="shared" si="51"/>
        <v>0</v>
      </c>
      <c r="L492" s="6">
        <f t="shared" si="52"/>
        <v>1</v>
      </c>
      <c r="M492" s="3" t="str" cm="1">
        <f t="array" ref="M492">INDEX(Types!A:A,1+BIN2DEC(MID($B492,20,2)))</f>
        <v>Control</v>
      </c>
      <c r="N492" s="3" t="str" cm="1">
        <f t="array" ref="N492">IF(M492="ALU",INDEX(ALUOps!A:A,1+BIN2DEC(MID($B492,22,5))),"")</f>
        <v/>
      </c>
      <c r="O492" s="3" t="str" cm="1">
        <f t="array" ref="O492">IF(M492="ALU",INDEX(TMP!A:A,1+BIN2DEC(MID($B492,27,2))),"")</f>
        <v/>
      </c>
      <c r="P492" s="6" t="str">
        <f t="shared" si="53"/>
        <v/>
      </c>
      <c r="Q492" t="str">
        <f t="shared" si="54"/>
        <v/>
      </c>
      <c r="R492" t="str">
        <f t="shared" si="56"/>
        <v/>
      </c>
      <c r="S492" cm="1">
        <f t="array" ref="S492">IF(M492="Control",INDEX(IC!A:A,1+BIN2DEC(MID($B492,21,4))),"")</f>
        <v>0</v>
      </c>
      <c r="T492" cm="1">
        <f t="array" ref="T492">IF(M492="Control",INDEX(EC!A:A,1+BIN2DEC(MID($B492,25,3))),"")</f>
        <v>0</v>
      </c>
      <c r="U492" cm="1">
        <f t="array" ref="U492">IF(M492="Control",INDEX(SR!A:A,1+BIN2DEC(MID($B492,28,2))),"")</f>
        <v>0</v>
      </c>
    </row>
    <row r="493" spans="1:30" s="9" customFormat="1" ht="15.75" thickBot="1" x14ac:dyDescent="0.3">
      <c r="A493" s="7" t="str">
        <f t="shared" si="50"/>
        <v>1EB</v>
      </c>
      <c r="B493" s="8" t="s">
        <v>4</v>
      </c>
      <c r="C493" s="10"/>
      <c r="D493" s="10"/>
      <c r="E493" s="10"/>
      <c r="F493" s="30" t="str" cm="1">
        <f t="array" ref="F493">INDEX(Sources!A:A, 1 + BIN2DEC(LEFT($B493,5)))</f>
        <v>--</v>
      </c>
      <c r="G493" s="30" t="str" cm="1">
        <f t="array" ref="G493">INDEX(Dest1!A:A,1+BIN2DEC(MID($B493,6,5)))</f>
        <v>--</v>
      </c>
      <c r="H493" s="30" t="str" cm="1">
        <f t="array" ref="H493">INDEX(Source2!A:A,1+BIN2DEC(MID($B493,11,4)))</f>
        <v>--</v>
      </c>
      <c r="I493" s="26" cm="1">
        <f t="array" ref="I493">INDEX('D2'!A:A,1+BIN2DEC(MID($B493,16,2)))</f>
        <v>0</v>
      </c>
      <c r="J493" s="11">
        <f t="shared" si="55"/>
        <v>0</v>
      </c>
      <c r="K493" s="11">
        <f t="shared" si="51"/>
        <v>0</v>
      </c>
      <c r="L493" s="11">
        <f t="shared" si="52"/>
        <v>0</v>
      </c>
      <c r="M493" s="10" t="str" cm="1">
        <f t="array" ref="M493">INDEX(Types!A:A,1+BIN2DEC(MID($B493,20,2)))</f>
        <v>Control</v>
      </c>
      <c r="N493" s="10" t="str" cm="1">
        <f t="array" ref="N493">IF(M493="ALU",INDEX(ALUOps!A:A,1+BIN2DEC(MID($B493,22,5))),"")</f>
        <v/>
      </c>
      <c r="O493" s="10" t="str" cm="1">
        <f t="array" ref="O493">IF(M493="ALU",INDEX(TMP!A:A,1+BIN2DEC(MID($B493,27,2))),"")</f>
        <v/>
      </c>
      <c r="P493" s="11" t="str">
        <f t="shared" si="53"/>
        <v/>
      </c>
      <c r="Q493" s="9" t="str">
        <f t="shared" si="54"/>
        <v/>
      </c>
      <c r="R493" s="9" t="str">
        <f t="shared" si="56"/>
        <v/>
      </c>
      <c r="S493" s="9" cm="1">
        <f t="array" ref="S493">IF(M493="Control",INDEX(IC!A:A,1+BIN2DEC(MID($B493,21,4))),"")</f>
        <v>0</v>
      </c>
      <c r="T493" s="9" cm="1">
        <f t="array" ref="T493">IF(M493="Control",INDEX(EC!A:A,1+BIN2DEC(MID($B493,25,3))),"")</f>
        <v>0</v>
      </c>
      <c r="U493" s="9" cm="1">
        <f t="array" ref="U493">IF(M493="Control",INDEX(SR!A:A,1+BIN2DEC(MID($B493,28,2))),"")</f>
        <v>0</v>
      </c>
    </row>
    <row r="494" spans="1:30" x14ac:dyDescent="0.25">
      <c r="A494" s="4" t="str">
        <f t="shared" si="50"/>
        <v>1EC</v>
      </c>
      <c r="B494" s="2" t="s">
        <v>479</v>
      </c>
      <c r="C494" s="2" t="s">
        <v>480</v>
      </c>
      <c r="D494" s="2" t="s">
        <v>931</v>
      </c>
      <c r="E494" s="2" t="s">
        <v>462</v>
      </c>
      <c r="F494" s="27" t="str" cm="1">
        <f t="array" ref="F494">INDEX(Sources!A:A, 1 + BIN2DEC(LEFT($B494,5)))</f>
        <v>UNK22</v>
      </c>
      <c r="G494" s="27" t="str" cm="1">
        <f t="array" ref="G494">INDEX(Dest1!A:A,1+BIN2DEC(MID($B494,6,5)))</f>
        <v>UNK8</v>
      </c>
      <c r="H494" s="27" t="str" cm="1">
        <f t="array" ref="H494">INDEX(Source2!A:A,1+BIN2DEC(MID($B494,11,4)))</f>
        <v>--</v>
      </c>
      <c r="I494" s="23" cm="1">
        <f t="array" ref="I494">INDEX('D2'!A:A,1+BIN2DEC(MID($B494,16,2)))</f>
        <v>0</v>
      </c>
      <c r="J494" s="6">
        <f t="shared" si="55"/>
        <v>0</v>
      </c>
      <c r="K494" s="6">
        <f t="shared" si="51"/>
        <v>0</v>
      </c>
      <c r="L494" s="6">
        <f t="shared" si="52"/>
        <v>0</v>
      </c>
      <c r="M494" s="3" t="str" cm="1">
        <f t="array" ref="M494">INDEX(Types!A:A,1+BIN2DEC(MID($B494,20,2)))</f>
        <v>ALU</v>
      </c>
      <c r="N494" s="3" cm="1">
        <f t="array" ref="N494">IF(M494="ALU",INDEX(ALUOps!A:A,1+BIN2DEC(MID($B494,22,5))),"")</f>
        <v>31</v>
      </c>
      <c r="O494" s="3" cm="1">
        <f t="array" ref="O494">IF(M494="ALU",INDEX(TMP!A:A,1+BIN2DEC(MID($B494,27,2))),"")</f>
        <v>2</v>
      </c>
      <c r="P494" s="6">
        <f t="shared" si="53"/>
        <v>1</v>
      </c>
      <c r="Q494" t="str">
        <f t="shared" si="54"/>
        <v/>
      </c>
      <c r="R494" t="str">
        <f t="shared" si="56"/>
        <v/>
      </c>
      <c r="S494" t="str" cm="1">
        <f t="array" ref="S494">IF(M494="Control",INDEX(IC!A:A,1+BIN2DEC(MID($B494,21,4))),"")</f>
        <v/>
      </c>
      <c r="T494" t="str" cm="1">
        <f t="array" ref="T494">IF(M494="Control",INDEX(EC!A:A,1+BIN2DEC(MID($B494,25,3))),"")</f>
        <v/>
      </c>
      <c r="U494" t="str" cm="1">
        <f t="array" ref="U494">IF(M494="Control",INDEX(SR!A:A,1+BIN2DEC(MID($B494,28,2))),"")</f>
        <v/>
      </c>
      <c r="AD494" s="1" t="s">
        <v>481</v>
      </c>
    </row>
    <row r="495" spans="1:30" x14ac:dyDescent="0.25">
      <c r="A495" s="4" t="str">
        <f t="shared" si="50"/>
        <v>1ED</v>
      </c>
      <c r="B495" s="2" t="s">
        <v>482</v>
      </c>
      <c r="C495" s="3"/>
      <c r="D495" s="3"/>
      <c r="E495" s="3"/>
      <c r="F495" s="27" t="str" cm="1">
        <f t="array" ref="F495">INDEX(Sources!A:A, 1 + BIN2DEC(LEFT($B495,5)))</f>
        <v>SIGMA</v>
      </c>
      <c r="G495" s="27" t="str" cm="1">
        <f t="array" ref="G495">INDEX(Dest1!A:A,1+BIN2DEC(MID($B495,6,5)))</f>
        <v>TMPA</v>
      </c>
      <c r="H495" s="27" t="str" cm="1">
        <f t="array" ref="H495">INDEX(Source2!A:A,1+BIN2DEC(MID($B495,11,4)))</f>
        <v>--</v>
      </c>
      <c r="I495" s="23" cm="1">
        <f t="array" ref="I495">INDEX('D2'!A:A,1+BIN2DEC(MID($B495,16,2)))</f>
        <v>0</v>
      </c>
      <c r="J495" s="6">
        <f t="shared" si="55"/>
        <v>0</v>
      </c>
      <c r="K495" s="6">
        <f t="shared" si="51"/>
        <v>0</v>
      </c>
      <c r="L495" s="6">
        <f t="shared" si="52"/>
        <v>0</v>
      </c>
      <c r="M495" s="3" t="str" cm="1">
        <f t="array" ref="M495">INDEX(Types!A:A,1+BIN2DEC(MID($B495,20,2)))</f>
        <v>Control</v>
      </c>
      <c r="N495" s="3" t="str" cm="1">
        <f t="array" ref="N495">IF(M495="ALU",INDEX(ALUOps!A:A,1+BIN2DEC(MID($B495,22,5))),"")</f>
        <v/>
      </c>
      <c r="O495" s="3" t="str" cm="1">
        <f t="array" ref="O495">IF(M495="ALU",INDEX(TMP!A:A,1+BIN2DEC(MID($B495,27,2))),"")</f>
        <v/>
      </c>
      <c r="P495" s="6" t="str">
        <f t="shared" si="53"/>
        <v/>
      </c>
      <c r="Q495" t="str">
        <f t="shared" si="54"/>
        <v/>
      </c>
      <c r="R495" t="str">
        <f t="shared" si="56"/>
        <v/>
      </c>
      <c r="S495" cm="1">
        <f t="array" ref="S495">IF(M495="Control",INDEX(IC!A:A,1+BIN2DEC(MID($B495,21,4))),"")</f>
        <v>7</v>
      </c>
      <c r="T495" cm="1">
        <f t="array" ref="T495">IF(M495="Control",INDEX(EC!A:A,1+BIN2DEC(MID($B495,25,3))),"")</f>
        <v>4</v>
      </c>
      <c r="U495" cm="1">
        <f t="array" ref="U495">IF(M495="Control",INDEX(SR!A:A,1+BIN2DEC(MID($B495,28,2))),"")</f>
        <v>2</v>
      </c>
    </row>
    <row r="496" spans="1:30" x14ac:dyDescent="0.25">
      <c r="A496" s="4" t="str">
        <f t="shared" si="50"/>
        <v>1EE</v>
      </c>
      <c r="B496" s="2" t="s">
        <v>483</v>
      </c>
      <c r="C496" s="3"/>
      <c r="D496" s="3"/>
      <c r="E496" s="3"/>
      <c r="F496" s="27" t="str" cm="1">
        <f t="array" ref="F496">INDEX(Sources!A:A, 1 + BIN2DEC(LEFT($B496,5)))</f>
        <v>SIGMA</v>
      </c>
      <c r="G496" s="27" t="str" cm="1">
        <f t="array" ref="G496">INDEX(Dest1!A:A,1+BIN2DEC(MID($B496,6,5)))</f>
        <v>UNK26</v>
      </c>
      <c r="H496" s="27" t="str" cm="1">
        <f t="array" ref="H496">INDEX(Source2!A:A,1+BIN2DEC(MID($B496,11,4)))</f>
        <v>--</v>
      </c>
      <c r="I496" s="23" cm="1">
        <f t="array" ref="I496">INDEX('D2'!A:A,1+BIN2DEC(MID($B496,16,2)))</f>
        <v>0</v>
      </c>
      <c r="J496" s="6">
        <f t="shared" si="55"/>
        <v>0</v>
      </c>
      <c r="K496" s="6">
        <f t="shared" si="51"/>
        <v>0</v>
      </c>
      <c r="L496" s="6">
        <f t="shared" si="52"/>
        <v>0</v>
      </c>
      <c r="M496" s="3" t="str" cm="1">
        <f t="array" ref="M496">INDEX(Types!A:A,1+BIN2DEC(MID($B496,20,2)))</f>
        <v>Control</v>
      </c>
      <c r="N496" s="3" t="str" cm="1">
        <f t="array" ref="N496">IF(M496="ALU",INDEX(ALUOps!A:A,1+BIN2DEC(MID($B496,22,5))),"")</f>
        <v/>
      </c>
      <c r="O496" s="3" t="str" cm="1">
        <f t="array" ref="O496">IF(M496="ALU",INDEX(TMP!A:A,1+BIN2DEC(MID($B496,27,2))),"")</f>
        <v/>
      </c>
      <c r="P496" s="6" t="str">
        <f t="shared" si="53"/>
        <v/>
      </c>
      <c r="Q496" t="str">
        <f t="shared" si="54"/>
        <v/>
      </c>
      <c r="R496" t="str">
        <f t="shared" si="56"/>
        <v/>
      </c>
      <c r="S496" cm="1">
        <f t="array" ref="S496">IF(M496="Control",INDEX(IC!A:A,1+BIN2DEC(MID($B496,21,4))),"")</f>
        <v>0</v>
      </c>
      <c r="T496" cm="1">
        <f t="array" ref="T496">IF(M496="Control",INDEX(EC!A:A,1+BIN2DEC(MID($B496,25,3))),"")</f>
        <v>6</v>
      </c>
      <c r="U496" cm="1">
        <f t="array" ref="U496">IF(M496="Control",INDEX(SR!A:A,1+BIN2DEC(MID($B496,28,2))),"")</f>
        <v>2</v>
      </c>
    </row>
    <row r="497" spans="1:30" x14ac:dyDescent="0.25">
      <c r="A497" s="4" t="str">
        <f t="shared" si="50"/>
        <v>1EF</v>
      </c>
      <c r="B497" s="2" t="s">
        <v>484</v>
      </c>
      <c r="C497" s="3"/>
      <c r="D497" s="3"/>
      <c r="E497" s="3"/>
      <c r="F497" s="27" t="str" cm="1">
        <f t="array" ref="F497">INDEX(Sources!A:A, 1 + BIN2DEC(LEFT($B497,5)))</f>
        <v>SIGMA</v>
      </c>
      <c r="G497" s="27" t="str" cm="1">
        <f t="array" ref="G497">INDEX(Dest1!A:A,1+BIN2DEC(MID($B497,6,5)))</f>
        <v>TMPA</v>
      </c>
      <c r="H497" s="27" t="str" cm="1">
        <f t="array" ref="H497">INDEX(Source2!A:A,1+BIN2DEC(MID($B497,11,4)))</f>
        <v>--</v>
      </c>
      <c r="I497" s="23" cm="1">
        <f t="array" ref="I497">INDEX('D2'!A:A,1+BIN2DEC(MID($B497,16,2)))</f>
        <v>0</v>
      </c>
      <c r="J497" s="6">
        <f t="shared" si="55"/>
        <v>0</v>
      </c>
      <c r="K497" s="6">
        <f t="shared" si="51"/>
        <v>0</v>
      </c>
      <c r="L497" s="6">
        <f t="shared" si="52"/>
        <v>0</v>
      </c>
      <c r="M497" s="3" t="str" cm="1">
        <f t="array" ref="M497">INDEX(Types!A:A,1+BIN2DEC(MID($B497,20,2)))</f>
        <v>ALU</v>
      </c>
      <c r="N497" s="3" cm="1">
        <f t="array" ref="N497">IF(M497="ALU",INDEX(ALUOps!A:A,1+BIN2DEC(MID($B497,22,5))),"")</f>
        <v>3</v>
      </c>
      <c r="O497" s="3" cm="1">
        <f t="array" ref="O497">IF(M497="ALU",INDEX(TMP!A:A,1+BIN2DEC(MID($B497,27,2))),"")</f>
        <v>2</v>
      </c>
      <c r="P497" s="6">
        <f t="shared" si="53"/>
        <v>1</v>
      </c>
      <c r="Q497" t="str">
        <f t="shared" si="54"/>
        <v/>
      </c>
      <c r="R497" t="str">
        <f t="shared" si="56"/>
        <v/>
      </c>
      <c r="S497" t="str" cm="1">
        <f t="array" ref="S497">IF(M497="Control",INDEX(IC!A:A,1+BIN2DEC(MID($B497,21,4))),"")</f>
        <v/>
      </c>
      <c r="T497" t="str" cm="1">
        <f t="array" ref="T497">IF(M497="Control",INDEX(EC!A:A,1+BIN2DEC(MID($B497,25,3))),"")</f>
        <v/>
      </c>
      <c r="U497" t="str" cm="1">
        <f t="array" ref="U497">IF(M497="Control",INDEX(SR!A:A,1+BIN2DEC(MID($B497,28,2))),"")</f>
        <v/>
      </c>
    </row>
    <row r="498" spans="1:30" x14ac:dyDescent="0.25">
      <c r="A498" s="4" t="str">
        <f t="shared" si="50"/>
        <v>1F0</v>
      </c>
      <c r="B498" s="2" t="s">
        <v>483</v>
      </c>
      <c r="C498" s="2" t="s">
        <v>485</v>
      </c>
      <c r="D498" s="2" t="s">
        <v>931</v>
      </c>
      <c r="E498" s="2" t="s">
        <v>929</v>
      </c>
      <c r="F498" s="27" t="str" cm="1">
        <f t="array" ref="F498">INDEX(Sources!A:A, 1 + BIN2DEC(LEFT($B498,5)))</f>
        <v>SIGMA</v>
      </c>
      <c r="G498" s="27" t="str" cm="1">
        <f t="array" ref="G498">INDEX(Dest1!A:A,1+BIN2DEC(MID($B498,6,5)))</f>
        <v>UNK26</v>
      </c>
      <c r="H498" s="27" t="str" cm="1">
        <f t="array" ref="H498">INDEX(Source2!A:A,1+BIN2DEC(MID($B498,11,4)))</f>
        <v>--</v>
      </c>
      <c r="I498" s="23" cm="1">
        <f t="array" ref="I498">INDEX('D2'!A:A,1+BIN2DEC(MID($B498,16,2)))</f>
        <v>0</v>
      </c>
      <c r="J498" s="6">
        <f t="shared" si="55"/>
        <v>0</v>
      </c>
      <c r="K498" s="6">
        <f t="shared" si="51"/>
        <v>0</v>
      </c>
      <c r="L498" s="6">
        <f t="shared" si="52"/>
        <v>0</v>
      </c>
      <c r="M498" s="3" t="str" cm="1">
        <f t="array" ref="M498">INDEX(Types!A:A,1+BIN2DEC(MID($B498,20,2)))</f>
        <v>Control</v>
      </c>
      <c r="N498" s="3" t="str" cm="1">
        <f t="array" ref="N498">IF(M498="ALU",INDEX(ALUOps!A:A,1+BIN2DEC(MID($B498,22,5))),"")</f>
        <v/>
      </c>
      <c r="O498" s="3" t="str" cm="1">
        <f t="array" ref="O498">IF(M498="ALU",INDEX(TMP!A:A,1+BIN2DEC(MID($B498,27,2))),"")</f>
        <v/>
      </c>
      <c r="P498" s="6" t="str">
        <f t="shared" si="53"/>
        <v/>
      </c>
      <c r="Q498" t="str">
        <f t="shared" si="54"/>
        <v/>
      </c>
      <c r="R498" t="str">
        <f t="shared" si="56"/>
        <v/>
      </c>
      <c r="S498" cm="1">
        <f t="array" ref="S498">IF(M498="Control",INDEX(IC!A:A,1+BIN2DEC(MID($B498,21,4))),"")</f>
        <v>0</v>
      </c>
      <c r="T498" cm="1">
        <f t="array" ref="T498">IF(M498="Control",INDEX(EC!A:A,1+BIN2DEC(MID($B498,25,3))),"")</f>
        <v>6</v>
      </c>
      <c r="U498" cm="1">
        <f t="array" ref="U498">IF(M498="Control",INDEX(SR!A:A,1+BIN2DEC(MID($B498,28,2))),"")</f>
        <v>2</v>
      </c>
      <c r="AD498" s="1" t="s">
        <v>481</v>
      </c>
    </row>
    <row r="499" spans="1:30" x14ac:dyDescent="0.25">
      <c r="A499" s="4" t="str">
        <f t="shared" si="50"/>
        <v>1F1</v>
      </c>
      <c r="B499" s="2" t="s">
        <v>486</v>
      </c>
      <c r="C499" s="3"/>
      <c r="D499" s="3"/>
      <c r="E499" s="3"/>
      <c r="F499" s="27" t="str" cm="1">
        <f t="array" ref="F499">INDEX(Sources!A:A, 1 + BIN2DEC(LEFT($B499,5)))</f>
        <v>OUT</v>
      </c>
      <c r="G499" s="27" t="str" cm="1">
        <f t="array" ref="G499">INDEX(Dest1!A:A,1+BIN2DEC(MID($B499,6,5)))</f>
        <v>UNK17</v>
      </c>
      <c r="H499" s="27" t="str" cm="1">
        <f t="array" ref="H499">INDEX(Source2!A:A,1+BIN2DEC(MID($B499,11,4)))</f>
        <v>--</v>
      </c>
      <c r="I499" s="23" cm="1">
        <f t="array" ref="I499">INDEX('D2'!A:A,1+BIN2DEC(MID($B499,16,2)))</f>
        <v>1</v>
      </c>
      <c r="J499" s="6">
        <f t="shared" si="55"/>
        <v>1</v>
      </c>
      <c r="K499" s="6">
        <f t="shared" si="51"/>
        <v>0</v>
      </c>
      <c r="L499" s="6">
        <f t="shared" si="52"/>
        <v>0</v>
      </c>
      <c r="M499" s="3" t="str" cm="1">
        <f t="array" ref="M499">INDEX(Types!A:A,1+BIN2DEC(MID($B499,20,2)))</f>
        <v>Control</v>
      </c>
      <c r="N499" s="3" t="str" cm="1">
        <f t="array" ref="N499">IF(M499="ALU",INDEX(ALUOps!A:A,1+BIN2DEC(MID($B499,22,5))),"")</f>
        <v/>
      </c>
      <c r="O499" s="3" t="str" cm="1">
        <f t="array" ref="O499">IF(M499="ALU",INDEX(TMP!A:A,1+BIN2DEC(MID($B499,27,2))),"")</f>
        <v/>
      </c>
      <c r="P499" s="6" t="str">
        <f t="shared" si="53"/>
        <v/>
      </c>
      <c r="Q499" t="str">
        <f t="shared" si="54"/>
        <v/>
      </c>
      <c r="R499" t="str">
        <f t="shared" si="56"/>
        <v/>
      </c>
      <c r="S499" cm="1">
        <f t="array" ref="S499">IF(M499="Control",INDEX(IC!A:A,1+BIN2DEC(MID($B499,21,4))),"")</f>
        <v>0</v>
      </c>
      <c r="T499" cm="1">
        <f t="array" ref="T499">IF(M499="Control",INDEX(EC!A:A,1+BIN2DEC(MID($B499,25,3))),"")</f>
        <v>0</v>
      </c>
      <c r="U499" cm="1">
        <f t="array" ref="U499">IF(M499="Control",INDEX(SR!A:A,1+BIN2DEC(MID($B499,28,2))),"")</f>
        <v>0</v>
      </c>
    </row>
    <row r="500" spans="1:30" x14ac:dyDescent="0.25">
      <c r="A500" s="4" t="str">
        <f t="shared" si="50"/>
        <v>1F2</v>
      </c>
      <c r="B500" s="2" t="s">
        <v>17</v>
      </c>
      <c r="C500" s="3"/>
      <c r="D500" s="3"/>
      <c r="E500" s="3"/>
      <c r="F500" s="27" t="str" cm="1">
        <f t="array" ref="F500">INDEX(Sources!A:A, 1 + BIN2DEC(LEFT($B500,5)))</f>
        <v>SP</v>
      </c>
      <c r="G500" s="27" t="str" cm="1">
        <f t="array" ref="G500">INDEX(Dest1!A:A,1+BIN2DEC(MID($B500,6,5)))</f>
        <v>TMPA</v>
      </c>
      <c r="H500" s="27" t="str" cm="1">
        <f t="array" ref="H500">INDEX(Source2!A:A,1+BIN2DEC(MID($B500,11,4)))</f>
        <v>--</v>
      </c>
      <c r="I500" s="23" cm="1">
        <f t="array" ref="I500">INDEX('D2'!A:A,1+BIN2DEC(MID($B500,16,2)))</f>
        <v>0</v>
      </c>
      <c r="J500" s="6">
        <f t="shared" si="55"/>
        <v>0</v>
      </c>
      <c r="K500" s="6">
        <f t="shared" si="51"/>
        <v>0</v>
      </c>
      <c r="L500" s="6">
        <f t="shared" si="52"/>
        <v>0</v>
      </c>
      <c r="M500" s="3" t="str" cm="1">
        <f t="array" ref="M500">INDEX(Types!A:A,1+BIN2DEC(MID($B500,20,2)))</f>
        <v>ALU</v>
      </c>
      <c r="N500" s="3" cm="1">
        <f t="array" ref="N500">IF(M500="ALU",INDEX(ALUOps!A:A,1+BIN2DEC(MID($B500,22,5))),"")</f>
        <v>2</v>
      </c>
      <c r="O500" s="3" cm="1">
        <f t="array" ref="O500">IF(M500="ALU",INDEX(TMP!A:A,1+BIN2DEC(MID($B500,27,2))),"")</f>
        <v>2</v>
      </c>
      <c r="P500" s="6">
        <f t="shared" si="53"/>
        <v>1</v>
      </c>
      <c r="Q500" t="str">
        <f t="shared" si="54"/>
        <v/>
      </c>
      <c r="R500" t="str">
        <f t="shared" si="56"/>
        <v/>
      </c>
      <c r="S500" t="str" cm="1">
        <f t="array" ref="S500">IF(M500="Control",INDEX(IC!A:A,1+BIN2DEC(MID($B500,21,4))),"")</f>
        <v/>
      </c>
      <c r="T500" t="str" cm="1">
        <f t="array" ref="T500">IF(M500="Control",INDEX(EC!A:A,1+BIN2DEC(MID($B500,25,3))),"")</f>
        <v/>
      </c>
      <c r="U500" t="str" cm="1">
        <f t="array" ref="U500">IF(M500="Control",INDEX(SR!A:A,1+BIN2DEC(MID($B500,28,2))),"")</f>
        <v/>
      </c>
    </row>
    <row r="501" spans="1:30" s="9" customFormat="1" ht="15.75" thickBot="1" x14ac:dyDescent="0.3">
      <c r="A501" s="7" t="str">
        <f t="shared" si="50"/>
        <v>1F3</v>
      </c>
      <c r="B501" s="8" t="s">
        <v>180</v>
      </c>
      <c r="C501" s="10"/>
      <c r="D501" s="10"/>
      <c r="E501" s="10"/>
      <c r="F501" s="30" t="str" cm="1">
        <f t="array" ref="F501">INDEX(Sources!A:A, 1 + BIN2DEC(LEFT($B501,5)))</f>
        <v>OUT</v>
      </c>
      <c r="G501" s="30" t="str" cm="1">
        <f t="array" ref="G501">INDEX(Dest1!A:A,1+BIN2DEC(MID($B501,6,5)))</f>
        <v>TMPB</v>
      </c>
      <c r="H501" s="30" t="str" cm="1">
        <f t="array" ref="H501">INDEX(Source2!A:A,1+BIN2DEC(MID($B501,11,4)))</f>
        <v>--</v>
      </c>
      <c r="I501" s="26" cm="1">
        <f t="array" ref="I501">INDEX('D2'!A:A,1+BIN2DEC(MID($B501,16,2)))</f>
        <v>1</v>
      </c>
      <c r="J501" s="11">
        <f t="shared" si="55"/>
        <v>1</v>
      </c>
      <c r="K501" s="11">
        <f t="shared" si="51"/>
        <v>0</v>
      </c>
      <c r="L501" s="11">
        <f t="shared" si="52"/>
        <v>0</v>
      </c>
      <c r="M501" s="10" t="str" cm="1">
        <f t="array" ref="M501">INDEX(Types!A:A,1+BIN2DEC(MID($B501,20,2)))</f>
        <v>Control</v>
      </c>
      <c r="N501" s="10" t="str" cm="1">
        <f t="array" ref="N501">IF(M501="ALU",INDEX(ALUOps!A:A,1+BIN2DEC(MID($B501,22,5))),"")</f>
        <v/>
      </c>
      <c r="O501" s="10" t="str" cm="1">
        <f t="array" ref="O501">IF(M501="ALU",INDEX(TMP!A:A,1+BIN2DEC(MID($B501,27,2))),"")</f>
        <v/>
      </c>
      <c r="P501" s="11" t="str">
        <f t="shared" si="53"/>
        <v/>
      </c>
      <c r="Q501" s="9" t="str">
        <f t="shared" si="54"/>
        <v/>
      </c>
      <c r="R501" s="9" t="str">
        <f t="shared" si="56"/>
        <v/>
      </c>
      <c r="S501" s="9" cm="1">
        <f t="array" ref="S501">IF(M501="Control",INDEX(IC!A:A,1+BIN2DEC(MID($B501,21,4))),"")</f>
        <v>0</v>
      </c>
      <c r="T501" s="9" cm="1">
        <f t="array" ref="T501">IF(M501="Control",INDEX(EC!A:A,1+BIN2DEC(MID($B501,25,3))),"")</f>
        <v>0</v>
      </c>
      <c r="U501" s="9" cm="1">
        <f t="array" ref="U501">IF(M501="Control",INDEX(SR!A:A,1+BIN2DEC(MID($B501,28,2))),"")</f>
        <v>0</v>
      </c>
    </row>
    <row r="502" spans="1:30" x14ac:dyDescent="0.25">
      <c r="A502" s="4" t="str">
        <f t="shared" si="50"/>
        <v>1F4</v>
      </c>
      <c r="B502" s="2" t="s">
        <v>148</v>
      </c>
      <c r="C502" s="2" t="s">
        <v>487</v>
      </c>
      <c r="D502" s="2" t="s">
        <v>931</v>
      </c>
      <c r="E502" s="2" t="s">
        <v>488</v>
      </c>
      <c r="F502" s="27" t="str" cm="1">
        <f t="array" ref="F502">INDEX(Sources!A:A, 1 + BIN2DEC(LEFT($B502,5)))</f>
        <v>FLAGS</v>
      </c>
      <c r="G502" s="27" t="str" cm="1">
        <f t="array" ref="G502">INDEX(Dest1!A:A,1+BIN2DEC(MID($B502,6,5)))</f>
        <v>OUT</v>
      </c>
      <c r="H502" s="27" t="str" cm="1">
        <f t="array" ref="H502">INDEX(Source2!A:A,1+BIN2DEC(MID($B502,11,4)))</f>
        <v>--</v>
      </c>
      <c r="I502" s="23" cm="1">
        <f t="array" ref="I502">INDEX('D2'!A:A,1+BIN2DEC(MID($B502,16,2)))</f>
        <v>1</v>
      </c>
      <c r="J502" s="6">
        <f t="shared" si="55"/>
        <v>1</v>
      </c>
      <c r="K502" s="6">
        <f t="shared" si="51"/>
        <v>0</v>
      </c>
      <c r="L502" s="6">
        <f t="shared" si="52"/>
        <v>0</v>
      </c>
      <c r="M502" s="3" t="str" cm="1">
        <f t="array" ref="M502">INDEX(Types!A:A,1+BIN2DEC(MID($B502,20,2)))</f>
        <v>Control</v>
      </c>
      <c r="N502" s="3" t="str" cm="1">
        <f t="array" ref="N502">IF(M502="ALU",INDEX(ALUOps!A:A,1+BIN2DEC(MID($B502,22,5))),"")</f>
        <v/>
      </c>
      <c r="O502" s="3" t="str" cm="1">
        <f t="array" ref="O502">IF(M502="ALU",INDEX(TMP!A:A,1+BIN2DEC(MID($B502,27,2))),"")</f>
        <v/>
      </c>
      <c r="P502" s="6" t="str">
        <f t="shared" si="53"/>
        <v/>
      </c>
      <c r="Q502" t="str">
        <f t="shared" si="54"/>
        <v/>
      </c>
      <c r="R502" t="str">
        <f t="shared" si="56"/>
        <v/>
      </c>
      <c r="S502" cm="1">
        <f t="array" ref="S502">IF(M502="Control",INDEX(IC!A:A,1+BIN2DEC(MID($B502,21,4))),"")</f>
        <v>0</v>
      </c>
      <c r="T502" cm="1">
        <f t="array" ref="T502">IF(M502="Control",INDEX(EC!A:A,1+BIN2DEC(MID($B502,25,3))),"")</f>
        <v>0</v>
      </c>
      <c r="U502" cm="1">
        <f t="array" ref="U502">IF(M502="Control",INDEX(SR!A:A,1+BIN2DEC(MID($B502,28,2))),"")</f>
        <v>0</v>
      </c>
      <c r="AD502" s="1" t="s">
        <v>488</v>
      </c>
    </row>
    <row r="503" spans="1:30" x14ac:dyDescent="0.25">
      <c r="A503" s="4" t="str">
        <f t="shared" si="50"/>
        <v>1F5</v>
      </c>
      <c r="B503" s="2" t="s">
        <v>489</v>
      </c>
      <c r="C503" s="3"/>
      <c r="D503" s="3"/>
      <c r="E503" s="3"/>
      <c r="F503" s="27" t="str" cm="1">
        <f t="array" ref="F503">INDEX(Sources!A:A, 1 + BIN2DEC(LEFT($B503,5)))</f>
        <v>SIGMA</v>
      </c>
      <c r="G503" s="27" t="str" cm="1">
        <f t="array" ref="G503">INDEX(Dest1!A:A,1+BIN2DEC(MID($B503,6,5)))</f>
        <v>TMPA</v>
      </c>
      <c r="H503" s="27" t="str" cm="1">
        <f t="array" ref="H503">INDEX(Source2!A:A,1+BIN2DEC(MID($B503,11,4)))</f>
        <v>11</v>
      </c>
      <c r="I503" s="23" t="str" cm="1">
        <f t="array" ref="I503">INDEX('D2'!A:A,1+BIN2DEC(MID($B503,16,2)))</f>
        <v>TMPB</v>
      </c>
      <c r="J503" s="6">
        <f t="shared" si="55"/>
        <v>0</v>
      </c>
      <c r="K503" s="6">
        <f t="shared" si="51"/>
        <v>0</v>
      </c>
      <c r="L503" s="6">
        <f t="shared" si="52"/>
        <v>0</v>
      </c>
      <c r="M503" s="3" t="str" cm="1">
        <f t="array" ref="M503">INDEX(Types!A:A,1+BIN2DEC(MID($B503,20,2)))</f>
        <v>Control</v>
      </c>
      <c r="N503" s="3" t="str" cm="1">
        <f t="array" ref="N503">IF(M503="ALU",INDEX(ALUOps!A:A,1+BIN2DEC(MID($B503,22,5))),"")</f>
        <v/>
      </c>
      <c r="O503" s="3" t="str" cm="1">
        <f t="array" ref="O503">IF(M503="ALU",INDEX(TMP!A:A,1+BIN2DEC(MID($B503,27,2))),"")</f>
        <v/>
      </c>
      <c r="P503" s="6" t="str">
        <f t="shared" si="53"/>
        <v/>
      </c>
      <c r="Q503" t="str">
        <f t="shared" si="54"/>
        <v/>
      </c>
      <c r="R503" t="str">
        <f t="shared" si="56"/>
        <v/>
      </c>
      <c r="S503" cm="1">
        <f t="array" ref="S503">IF(M503="Control",INDEX(IC!A:A,1+BIN2DEC(MID($B503,21,4))),"")</f>
        <v>14</v>
      </c>
      <c r="T503" cm="1">
        <f t="array" ref="T503">IF(M503="Control",INDEX(EC!A:A,1+BIN2DEC(MID($B503,25,3))),"")</f>
        <v>5</v>
      </c>
      <c r="U503" cm="1">
        <f t="array" ref="U503">IF(M503="Control",INDEX(SR!A:A,1+BIN2DEC(MID($B503,28,2))),"")</f>
        <v>1</v>
      </c>
    </row>
    <row r="504" spans="1:30" x14ac:dyDescent="0.25">
      <c r="A504" s="4" t="str">
        <f t="shared" si="50"/>
        <v>1F6</v>
      </c>
      <c r="B504" s="2" t="s">
        <v>490</v>
      </c>
      <c r="C504" s="3"/>
      <c r="D504" s="3"/>
      <c r="E504" s="3"/>
      <c r="F504" s="27" t="str" cm="1">
        <f t="array" ref="F504">INDEX(Sources!A:A, 1 + BIN2DEC(LEFT($B504,5)))</f>
        <v>UNK30</v>
      </c>
      <c r="G504" s="27" t="str" cm="1">
        <f t="array" ref="G504">INDEX(Dest1!A:A,1+BIN2DEC(MID($B504,6,5)))</f>
        <v>OUT</v>
      </c>
      <c r="H504" s="27" t="str" cm="1">
        <f t="array" ref="H504">INDEX(Source2!A:A,1+BIN2DEC(MID($B504,11,4)))</f>
        <v>11</v>
      </c>
      <c r="I504" s="23" cm="1">
        <f t="array" ref="I504">INDEX('D2'!A:A,1+BIN2DEC(MID($B504,16,2)))</f>
        <v>3</v>
      </c>
      <c r="J504" s="6">
        <f t="shared" si="55"/>
        <v>1</v>
      </c>
      <c r="K504" s="6">
        <f t="shared" si="51"/>
        <v>0</v>
      </c>
      <c r="L504" s="6">
        <f t="shared" si="52"/>
        <v>0</v>
      </c>
      <c r="M504" s="3" t="str" cm="1">
        <f t="array" ref="M504">INDEX(Types!A:A,1+BIN2DEC(MID($B504,20,2)))</f>
        <v>Control</v>
      </c>
      <c r="N504" s="3" t="str" cm="1">
        <f t="array" ref="N504">IF(M504="ALU",INDEX(ALUOps!A:A,1+BIN2DEC(MID($B504,22,5))),"")</f>
        <v/>
      </c>
      <c r="O504" s="3" t="str" cm="1">
        <f t="array" ref="O504">IF(M504="ALU",INDEX(TMP!A:A,1+BIN2DEC(MID($B504,27,2))),"")</f>
        <v/>
      </c>
      <c r="P504" s="6" t="str">
        <f t="shared" si="53"/>
        <v/>
      </c>
      <c r="Q504" t="str">
        <f t="shared" si="54"/>
        <v/>
      </c>
      <c r="R504" t="str">
        <f t="shared" si="56"/>
        <v/>
      </c>
      <c r="S504" cm="1">
        <f t="array" ref="S504">IF(M504="Control",INDEX(IC!A:A,1+BIN2DEC(MID($B504,21,4))),"")</f>
        <v>12</v>
      </c>
      <c r="T504" cm="1">
        <f t="array" ref="T504">IF(M504="Control",INDEX(EC!A:A,1+BIN2DEC(MID($B504,25,3))),"")</f>
        <v>0</v>
      </c>
      <c r="U504" cm="1">
        <f t="array" ref="U504">IF(M504="Control",INDEX(SR!A:A,1+BIN2DEC(MID($B504,28,2))),"")</f>
        <v>0</v>
      </c>
    </row>
    <row r="505" spans="1:30" x14ac:dyDescent="0.25">
      <c r="A505" s="4" t="str">
        <f t="shared" si="50"/>
        <v>1F7</v>
      </c>
      <c r="B505" s="2" t="s">
        <v>4</v>
      </c>
      <c r="C505" s="3"/>
      <c r="D505" s="3"/>
      <c r="E505" s="3"/>
      <c r="F505" s="27" t="str" cm="1">
        <f t="array" ref="F505">INDEX(Sources!A:A, 1 + BIN2DEC(LEFT($B505,5)))</f>
        <v>--</v>
      </c>
      <c r="G505" s="27" t="str" cm="1">
        <f t="array" ref="G505">INDEX(Dest1!A:A,1+BIN2DEC(MID($B505,6,5)))</f>
        <v>--</v>
      </c>
      <c r="H505" s="27" t="str" cm="1">
        <f t="array" ref="H505">INDEX(Source2!A:A,1+BIN2DEC(MID($B505,11,4)))</f>
        <v>--</v>
      </c>
      <c r="I505" s="23" cm="1">
        <f t="array" ref="I505">INDEX('D2'!A:A,1+BIN2DEC(MID($B505,16,2)))</f>
        <v>0</v>
      </c>
      <c r="J505" s="6">
        <f t="shared" si="55"/>
        <v>0</v>
      </c>
      <c r="K505" s="6">
        <f t="shared" si="51"/>
        <v>0</v>
      </c>
      <c r="L505" s="6">
        <f t="shared" si="52"/>
        <v>0</v>
      </c>
      <c r="M505" s="3" t="str" cm="1">
        <f t="array" ref="M505">INDEX(Types!A:A,1+BIN2DEC(MID($B505,20,2)))</f>
        <v>Control</v>
      </c>
      <c r="N505" s="3" t="str" cm="1">
        <f t="array" ref="N505">IF(M505="ALU",INDEX(ALUOps!A:A,1+BIN2DEC(MID($B505,22,5))),"")</f>
        <v/>
      </c>
      <c r="O505" s="3" t="str" cm="1">
        <f t="array" ref="O505">IF(M505="ALU",INDEX(TMP!A:A,1+BIN2DEC(MID($B505,27,2))),"")</f>
        <v/>
      </c>
      <c r="P505" s="6" t="str">
        <f t="shared" si="53"/>
        <v/>
      </c>
      <c r="Q505" t="str">
        <f t="shared" si="54"/>
        <v/>
      </c>
      <c r="R505" t="str">
        <f t="shared" si="56"/>
        <v/>
      </c>
      <c r="S505" cm="1">
        <f t="array" ref="S505">IF(M505="Control",INDEX(IC!A:A,1+BIN2DEC(MID($B505,21,4))),"")</f>
        <v>0</v>
      </c>
      <c r="T505" cm="1">
        <f t="array" ref="T505">IF(M505="Control",INDEX(EC!A:A,1+BIN2DEC(MID($B505,25,3))),"")</f>
        <v>0</v>
      </c>
      <c r="U505" cm="1">
        <f t="array" ref="U505">IF(M505="Control",INDEX(SR!A:A,1+BIN2DEC(MID($B505,28,2))),"")</f>
        <v>0</v>
      </c>
    </row>
    <row r="506" spans="1:30" x14ac:dyDescent="0.25">
      <c r="A506" s="4" t="str">
        <f t="shared" si="50"/>
        <v>1F8</v>
      </c>
      <c r="B506" s="2" t="s">
        <v>4</v>
      </c>
      <c r="C506" s="2" t="s">
        <v>491</v>
      </c>
      <c r="D506" s="2" t="s">
        <v>931</v>
      </c>
      <c r="E506" s="2" t="s">
        <v>933</v>
      </c>
      <c r="F506" s="27" t="str" cm="1">
        <f t="array" ref="F506">INDEX(Sources!A:A, 1 + BIN2DEC(LEFT($B506,5)))</f>
        <v>--</v>
      </c>
      <c r="G506" s="27" t="str" cm="1">
        <f t="array" ref="G506">INDEX(Dest1!A:A,1+BIN2DEC(MID($B506,6,5)))</f>
        <v>--</v>
      </c>
      <c r="H506" s="27" t="str" cm="1">
        <f t="array" ref="H506">INDEX(Source2!A:A,1+BIN2DEC(MID($B506,11,4)))</f>
        <v>--</v>
      </c>
      <c r="I506" s="23" cm="1">
        <f t="array" ref="I506">INDEX('D2'!A:A,1+BIN2DEC(MID($B506,16,2)))</f>
        <v>0</v>
      </c>
      <c r="J506" s="6">
        <f t="shared" si="55"/>
        <v>0</v>
      </c>
      <c r="K506" s="6">
        <f t="shared" si="51"/>
        <v>0</v>
      </c>
      <c r="L506" s="6">
        <f t="shared" si="52"/>
        <v>0</v>
      </c>
      <c r="M506" s="3" t="str" cm="1">
        <f t="array" ref="M506">INDEX(Types!A:A,1+BIN2DEC(MID($B506,20,2)))</f>
        <v>Control</v>
      </c>
      <c r="N506" s="3" t="str" cm="1">
        <f t="array" ref="N506">IF(M506="ALU",INDEX(ALUOps!A:A,1+BIN2DEC(MID($B506,22,5))),"")</f>
        <v/>
      </c>
      <c r="O506" s="3" t="str" cm="1">
        <f t="array" ref="O506">IF(M506="ALU",INDEX(TMP!A:A,1+BIN2DEC(MID($B506,27,2))),"")</f>
        <v/>
      </c>
      <c r="P506" s="6" t="str">
        <f t="shared" si="53"/>
        <v/>
      </c>
      <c r="Q506" t="str">
        <f t="shared" si="54"/>
        <v/>
      </c>
      <c r="R506" t="str">
        <f t="shared" si="56"/>
        <v/>
      </c>
      <c r="S506" cm="1">
        <f t="array" ref="S506">IF(M506="Control",INDEX(IC!A:A,1+BIN2DEC(MID($B506,21,4))),"")</f>
        <v>0</v>
      </c>
      <c r="T506" cm="1">
        <f t="array" ref="T506">IF(M506="Control",INDEX(EC!A:A,1+BIN2DEC(MID($B506,25,3))),"")</f>
        <v>0</v>
      </c>
      <c r="U506" cm="1">
        <f t="array" ref="U506">IF(M506="Control",INDEX(SR!A:A,1+BIN2DEC(MID($B506,28,2))),"")</f>
        <v>0</v>
      </c>
      <c r="AD506" s="1" t="s">
        <v>481</v>
      </c>
    </row>
    <row r="507" spans="1:30" x14ac:dyDescent="0.25">
      <c r="A507" s="4" t="str">
        <f t="shared" si="50"/>
        <v>1F9</v>
      </c>
      <c r="B507" s="2" t="s">
        <v>492</v>
      </c>
      <c r="C507" s="3"/>
      <c r="D507" s="3"/>
      <c r="E507" s="3"/>
      <c r="F507" s="27" t="str" cm="1">
        <f t="array" ref="F507">INDEX(Sources!A:A, 1 + BIN2DEC(LEFT($B507,5)))</f>
        <v>TMPB</v>
      </c>
      <c r="G507" s="27" t="str" cm="1">
        <f t="array" ref="G507">INDEX(Dest1!A:A,1+BIN2DEC(MID($B507,6,5)))</f>
        <v>CS</v>
      </c>
      <c r="H507" s="27" t="str" cm="1">
        <f t="array" ref="H507">INDEX(Source2!A:A,1+BIN2DEC(MID($B507,11,4)))</f>
        <v>11</v>
      </c>
      <c r="I507" s="23" cm="1">
        <f t="array" ref="I507">INDEX('D2'!A:A,1+BIN2DEC(MID($B507,16,2)))</f>
        <v>0</v>
      </c>
      <c r="J507" s="6">
        <f t="shared" si="55"/>
        <v>0</v>
      </c>
      <c r="K507" s="6">
        <f t="shared" si="51"/>
        <v>0</v>
      </c>
      <c r="L507" s="6">
        <f t="shared" si="52"/>
        <v>0</v>
      </c>
      <c r="M507" s="3" t="str" cm="1">
        <f t="array" ref="M507">INDEX(Types!A:A,1+BIN2DEC(MID($B507,20,2)))</f>
        <v>Control</v>
      </c>
      <c r="N507" s="3" t="str" cm="1">
        <f t="array" ref="N507">IF(M507="ALU",INDEX(ALUOps!A:A,1+BIN2DEC(MID($B507,22,5))),"")</f>
        <v/>
      </c>
      <c r="O507" s="3" t="str" cm="1">
        <f t="array" ref="O507">IF(M507="ALU",INDEX(TMP!A:A,1+BIN2DEC(MID($B507,27,2))),"")</f>
        <v/>
      </c>
      <c r="P507" s="6" t="str">
        <f t="shared" si="53"/>
        <v/>
      </c>
      <c r="Q507" t="str">
        <f t="shared" si="54"/>
        <v/>
      </c>
      <c r="R507" t="str">
        <f t="shared" si="56"/>
        <v/>
      </c>
      <c r="S507" cm="1">
        <f t="array" ref="S507">IF(M507="Control",INDEX(IC!A:A,1+BIN2DEC(MID($B507,21,4))),"")</f>
        <v>0</v>
      </c>
      <c r="T507" cm="1">
        <f t="array" ref="T507">IF(M507="Control",INDEX(EC!A:A,1+BIN2DEC(MID($B507,25,3))),"")</f>
        <v>5</v>
      </c>
      <c r="U507" cm="1">
        <f t="array" ref="U507">IF(M507="Control",INDEX(SR!A:A,1+BIN2DEC(MID($B507,28,2))),"")</f>
        <v>1</v>
      </c>
    </row>
    <row r="508" spans="1:30" x14ac:dyDescent="0.25">
      <c r="A508" s="4" t="str">
        <f t="shared" si="50"/>
        <v>1FA</v>
      </c>
      <c r="B508" s="2" t="s">
        <v>493</v>
      </c>
      <c r="C508" s="3"/>
      <c r="D508" s="3"/>
      <c r="E508" s="3"/>
      <c r="F508" s="27" t="str" cm="1">
        <f t="array" ref="F508">INDEX(Sources!A:A, 1 + BIN2DEC(LEFT($B508,5)))</f>
        <v>UNK27</v>
      </c>
      <c r="G508" s="27" t="str" cm="1">
        <f t="array" ref="G508">INDEX(Dest1!A:A,1+BIN2DEC(MID($B508,6,5)))</f>
        <v>OUT</v>
      </c>
      <c r="H508" s="27" t="str" cm="1">
        <f t="array" ref="H508">INDEX(Source2!A:A,1+BIN2DEC(MID($B508,11,4)))</f>
        <v>11</v>
      </c>
      <c r="I508" s="23" cm="1">
        <f t="array" ref="I508">INDEX('D2'!A:A,1+BIN2DEC(MID($B508,16,2)))</f>
        <v>3</v>
      </c>
      <c r="J508" s="6">
        <f t="shared" si="55"/>
        <v>1</v>
      </c>
      <c r="K508" s="6">
        <f t="shared" si="51"/>
        <v>0</v>
      </c>
      <c r="L508" s="6">
        <f t="shared" si="52"/>
        <v>0</v>
      </c>
      <c r="M508" s="3" t="str" cm="1">
        <f t="array" ref="M508">INDEX(Types!A:A,1+BIN2DEC(MID($B508,20,2)))</f>
        <v>Control</v>
      </c>
      <c r="N508" s="3" t="str" cm="1">
        <f t="array" ref="N508">IF(M508="ALU",INDEX(ALUOps!A:A,1+BIN2DEC(MID($B508,22,5))),"")</f>
        <v/>
      </c>
      <c r="O508" s="3" t="str" cm="1">
        <f t="array" ref="O508">IF(M508="ALU",INDEX(TMP!A:A,1+BIN2DEC(MID($B508,27,2))),"")</f>
        <v/>
      </c>
      <c r="P508" s="6" t="str">
        <f t="shared" si="53"/>
        <v/>
      </c>
      <c r="Q508" t="str">
        <f t="shared" si="54"/>
        <v/>
      </c>
      <c r="R508" t="str">
        <f t="shared" si="56"/>
        <v/>
      </c>
      <c r="S508" cm="1">
        <f t="array" ref="S508">IF(M508="Control",INDEX(IC!A:A,1+BIN2DEC(MID($B508,21,4))),"")</f>
        <v>0</v>
      </c>
      <c r="T508" cm="1">
        <f t="array" ref="T508">IF(M508="Control",INDEX(EC!A:A,1+BIN2DEC(MID($B508,25,3))),"")</f>
        <v>0</v>
      </c>
      <c r="U508" cm="1">
        <f t="array" ref="U508">IF(M508="Control",INDEX(SR!A:A,1+BIN2DEC(MID($B508,28,2))),"")</f>
        <v>0</v>
      </c>
    </row>
    <row r="509" spans="1:30" s="9" customFormat="1" ht="15.75" thickBot="1" x14ac:dyDescent="0.3">
      <c r="A509" s="7" t="str">
        <f t="shared" si="50"/>
        <v>1FB</v>
      </c>
      <c r="B509" s="8" t="s">
        <v>494</v>
      </c>
      <c r="C509" s="10"/>
      <c r="D509" s="10"/>
      <c r="E509" s="10"/>
      <c r="F509" s="30" t="str" cm="1">
        <f t="array" ref="F509">INDEX(Sources!A:A, 1 + BIN2DEC(LEFT($B509,5)))</f>
        <v>UNK17</v>
      </c>
      <c r="G509" s="30" t="str" cm="1">
        <f t="array" ref="G509">INDEX(Dest1!A:A,1+BIN2DEC(MID($B509,6,5)))</f>
        <v>PC</v>
      </c>
      <c r="H509" s="30" t="str" cm="1">
        <f t="array" ref="H509">INDEX(Source2!A:A,1+BIN2DEC(MID($B509,11,4)))</f>
        <v>--</v>
      </c>
      <c r="I509" s="26" cm="1">
        <f t="array" ref="I509">INDEX('D2'!A:A,1+BIN2DEC(MID($B509,16,2)))</f>
        <v>0</v>
      </c>
      <c r="J509" s="11">
        <f t="shared" si="55"/>
        <v>0</v>
      </c>
      <c r="K509" s="11">
        <f t="shared" si="51"/>
        <v>0</v>
      </c>
      <c r="L509" s="11">
        <f t="shared" si="52"/>
        <v>0</v>
      </c>
      <c r="M509" s="10" t="str" cm="1">
        <f t="array" ref="M509">INDEX(Types!A:A,1+BIN2DEC(MID($B509,20,2)))</f>
        <v>Control</v>
      </c>
      <c r="N509" s="10" t="str" cm="1">
        <f t="array" ref="N509">IF(M509="ALU",INDEX(ALUOps!A:A,1+BIN2DEC(MID($B509,22,5))),"")</f>
        <v/>
      </c>
      <c r="O509" s="10" t="str" cm="1">
        <f t="array" ref="O509">IF(M509="ALU",INDEX(TMP!A:A,1+BIN2DEC(MID($B509,27,2))),"")</f>
        <v/>
      </c>
      <c r="P509" s="11" t="str">
        <f t="shared" si="53"/>
        <v/>
      </c>
      <c r="Q509" s="9" t="str">
        <f t="shared" si="54"/>
        <v/>
      </c>
      <c r="R509" s="9" t="str">
        <f t="shared" si="56"/>
        <v/>
      </c>
      <c r="S509" s="9" cm="1">
        <f t="array" ref="S509">IF(M509="Control",INDEX(IC!A:A,1+BIN2DEC(MID($B509,21,4))),"")</f>
        <v>0</v>
      </c>
      <c r="T509" s="9" cm="1">
        <f t="array" ref="T509">IF(M509="Control",INDEX(EC!A:A,1+BIN2DEC(MID($B509,25,3))),"")</f>
        <v>5</v>
      </c>
      <c r="U509" s="9" cm="1">
        <f t="array" ref="U509">IF(M509="Control",INDEX(SR!A:A,1+BIN2DEC(MID($B509,28,2))),"")</f>
        <v>1</v>
      </c>
    </row>
    <row r="510" spans="1:30" x14ac:dyDescent="0.25">
      <c r="A510" s="4" t="str">
        <f t="shared" si="50"/>
        <v>1FC</v>
      </c>
      <c r="B510" s="2" t="s">
        <v>495</v>
      </c>
      <c r="C510" s="2" t="s">
        <v>496</v>
      </c>
      <c r="D510" s="2" t="s">
        <v>931</v>
      </c>
      <c r="E510" s="2" t="s">
        <v>462</v>
      </c>
      <c r="F510" s="27" t="str" cm="1">
        <f t="array" ref="F510">INDEX(Sources!A:A, 1 + BIN2DEC(LEFT($B510,5)))</f>
        <v>SIGMA</v>
      </c>
      <c r="G510" s="27" t="str" cm="1">
        <f t="array" ref="G510">INDEX(Dest1!A:A,1+BIN2DEC(MID($B510,6,5)))</f>
        <v>SP</v>
      </c>
      <c r="H510" s="27" t="str" cm="1">
        <f t="array" ref="H510">INDEX(Source2!A:A,1+BIN2DEC(MID($B510,11,4)))</f>
        <v>--</v>
      </c>
      <c r="I510" s="23" cm="1">
        <f t="array" ref="I510">INDEX('D2'!A:A,1+BIN2DEC(MID($B510,16,2)))</f>
        <v>0</v>
      </c>
      <c r="J510" s="6">
        <f t="shared" si="55"/>
        <v>0</v>
      </c>
      <c r="K510" s="6">
        <f t="shared" si="51"/>
        <v>0</v>
      </c>
      <c r="L510" s="6">
        <f t="shared" si="52"/>
        <v>1</v>
      </c>
      <c r="M510" s="3" t="str" cm="1">
        <f t="array" ref="M510">INDEX(Types!A:A,1+BIN2DEC(MID($B510,20,2)))</f>
        <v>Control</v>
      </c>
      <c r="N510" s="3" t="str" cm="1">
        <f t="array" ref="N510">IF(M510="ALU",INDEX(ALUOps!A:A,1+BIN2DEC(MID($B510,22,5))),"")</f>
        <v/>
      </c>
      <c r="O510" s="3" t="str" cm="1">
        <f t="array" ref="O510">IF(M510="ALU",INDEX(TMP!A:A,1+BIN2DEC(MID($B510,27,2))),"")</f>
        <v/>
      </c>
      <c r="P510" s="6" t="str">
        <f t="shared" si="53"/>
        <v/>
      </c>
      <c r="Q510" t="str">
        <f t="shared" si="54"/>
        <v/>
      </c>
      <c r="R510" t="str">
        <f t="shared" si="56"/>
        <v/>
      </c>
      <c r="S510" cm="1">
        <f t="array" ref="S510">IF(M510="Control",INDEX(IC!A:A,1+BIN2DEC(MID($B510,21,4))),"")</f>
        <v>6</v>
      </c>
      <c r="T510" cm="1">
        <f t="array" ref="T510">IF(M510="Control",INDEX(EC!A:A,1+BIN2DEC(MID($B510,25,3))),"")</f>
        <v>0</v>
      </c>
      <c r="U510" cm="1">
        <f t="array" ref="U510">IF(M510="Control",INDEX(SR!A:A,1+BIN2DEC(MID($B510,28,2))),"")</f>
        <v>0</v>
      </c>
      <c r="AD510" s="1" t="s">
        <v>497</v>
      </c>
    </row>
    <row r="511" spans="1:30" x14ac:dyDescent="0.25">
      <c r="A511" s="4" t="str">
        <f t="shared" si="50"/>
        <v>1FD</v>
      </c>
      <c r="B511" s="2" t="s">
        <v>4</v>
      </c>
      <c r="C511" s="3"/>
      <c r="D511" s="3"/>
      <c r="E511" s="3"/>
      <c r="F511" s="27" t="str" cm="1">
        <f t="array" ref="F511">INDEX(Sources!A:A, 1 + BIN2DEC(LEFT($B511,5)))</f>
        <v>--</v>
      </c>
      <c r="G511" s="27" t="str" cm="1">
        <f t="array" ref="G511">INDEX(Dest1!A:A,1+BIN2DEC(MID($B511,6,5)))</f>
        <v>--</v>
      </c>
      <c r="H511" s="27" t="str" cm="1">
        <f t="array" ref="H511">INDEX(Source2!A:A,1+BIN2DEC(MID($B511,11,4)))</f>
        <v>--</v>
      </c>
      <c r="I511" s="23" cm="1">
        <f t="array" ref="I511">INDEX('D2'!A:A,1+BIN2DEC(MID($B511,16,2)))</f>
        <v>0</v>
      </c>
      <c r="J511" s="6">
        <f t="shared" si="55"/>
        <v>0</v>
      </c>
      <c r="K511" s="6">
        <f t="shared" si="51"/>
        <v>0</v>
      </c>
      <c r="L511" s="6">
        <f t="shared" si="52"/>
        <v>0</v>
      </c>
      <c r="M511" s="3" t="str" cm="1">
        <f t="array" ref="M511">INDEX(Types!A:A,1+BIN2DEC(MID($B511,20,2)))</f>
        <v>Control</v>
      </c>
      <c r="N511" s="3" t="str" cm="1">
        <f t="array" ref="N511">IF(M511="ALU",INDEX(ALUOps!A:A,1+BIN2DEC(MID($B511,22,5))),"")</f>
        <v/>
      </c>
      <c r="O511" s="3" t="str" cm="1">
        <f t="array" ref="O511">IF(M511="ALU",INDEX(TMP!A:A,1+BIN2DEC(MID($B511,27,2))),"")</f>
        <v/>
      </c>
      <c r="P511" s="6" t="str">
        <f t="shared" si="53"/>
        <v/>
      </c>
      <c r="Q511" t="str">
        <f t="shared" si="54"/>
        <v/>
      </c>
      <c r="R511" t="str">
        <f t="shared" si="56"/>
        <v/>
      </c>
      <c r="S511" cm="1">
        <f t="array" ref="S511">IF(M511="Control",INDEX(IC!A:A,1+BIN2DEC(MID($B511,21,4))),"")</f>
        <v>0</v>
      </c>
      <c r="T511" cm="1">
        <f t="array" ref="T511">IF(M511="Control",INDEX(EC!A:A,1+BIN2DEC(MID($B511,25,3))),"")</f>
        <v>0</v>
      </c>
      <c r="U511" cm="1">
        <f t="array" ref="U511">IF(M511="Control",INDEX(SR!A:A,1+BIN2DEC(MID($B511,28,2))),"")</f>
        <v>0</v>
      </c>
    </row>
    <row r="512" spans="1:30" x14ac:dyDescent="0.25">
      <c r="A512" s="4" t="str">
        <f t="shared" si="50"/>
        <v>1FE</v>
      </c>
      <c r="B512" s="2" t="s">
        <v>4</v>
      </c>
      <c r="C512" s="3"/>
      <c r="D512" s="3"/>
      <c r="E512" s="3"/>
      <c r="F512" s="27" t="str" cm="1">
        <f t="array" ref="F512">INDEX(Sources!A:A, 1 + BIN2DEC(LEFT($B512,5)))</f>
        <v>--</v>
      </c>
      <c r="G512" s="27" t="str" cm="1">
        <f t="array" ref="G512">INDEX(Dest1!A:A,1+BIN2DEC(MID($B512,6,5)))</f>
        <v>--</v>
      </c>
      <c r="H512" s="27" t="str" cm="1">
        <f t="array" ref="H512">INDEX(Source2!A:A,1+BIN2DEC(MID($B512,11,4)))</f>
        <v>--</v>
      </c>
      <c r="I512" s="23" cm="1">
        <f t="array" ref="I512">INDEX('D2'!A:A,1+BIN2DEC(MID($B512,16,2)))</f>
        <v>0</v>
      </c>
      <c r="J512" s="6">
        <f t="shared" si="55"/>
        <v>0</v>
      </c>
      <c r="K512" s="6">
        <f t="shared" si="51"/>
        <v>0</v>
      </c>
      <c r="L512" s="6">
        <f t="shared" si="52"/>
        <v>0</v>
      </c>
      <c r="M512" s="3" t="str" cm="1">
        <f t="array" ref="M512">INDEX(Types!A:A,1+BIN2DEC(MID($B512,20,2)))</f>
        <v>Control</v>
      </c>
      <c r="N512" s="3" t="str" cm="1">
        <f t="array" ref="N512">IF(M512="ALU",INDEX(ALUOps!A:A,1+BIN2DEC(MID($B512,22,5))),"")</f>
        <v/>
      </c>
      <c r="O512" s="3" t="str" cm="1">
        <f t="array" ref="O512">IF(M512="ALU",INDEX(TMP!A:A,1+BIN2DEC(MID($B512,27,2))),"")</f>
        <v/>
      </c>
      <c r="P512" s="6" t="str">
        <f t="shared" si="53"/>
        <v/>
      </c>
      <c r="Q512" t="str">
        <f t="shared" si="54"/>
        <v/>
      </c>
      <c r="R512" t="str">
        <f t="shared" si="56"/>
        <v/>
      </c>
      <c r="S512" cm="1">
        <f t="array" ref="S512">IF(M512="Control",INDEX(IC!A:A,1+BIN2DEC(MID($B512,21,4))),"")</f>
        <v>0</v>
      </c>
      <c r="T512" cm="1">
        <f t="array" ref="T512">IF(M512="Control",INDEX(EC!A:A,1+BIN2DEC(MID($B512,25,3))),"")</f>
        <v>0</v>
      </c>
      <c r="U512" cm="1">
        <f t="array" ref="U512">IF(M512="Control",INDEX(SR!A:A,1+BIN2DEC(MID($B512,28,2))),"")</f>
        <v>0</v>
      </c>
    </row>
    <row r="513" spans="1:30" s="9" customFormat="1" ht="15.75" thickBot="1" x14ac:dyDescent="0.3">
      <c r="A513" s="7" t="str">
        <f t="shared" si="50"/>
        <v>1FF</v>
      </c>
      <c r="B513" s="8" t="s">
        <v>4</v>
      </c>
      <c r="C513" s="10"/>
      <c r="D513" s="10"/>
      <c r="E513" s="10"/>
      <c r="F513" s="30" t="str" cm="1">
        <f t="array" ref="F513">INDEX(Sources!A:A, 1 + BIN2DEC(LEFT($B513,5)))</f>
        <v>--</v>
      </c>
      <c r="G513" s="30" t="str" cm="1">
        <f t="array" ref="G513">INDEX(Dest1!A:A,1+BIN2DEC(MID($B513,6,5)))</f>
        <v>--</v>
      </c>
      <c r="H513" s="30" t="str" cm="1">
        <f t="array" ref="H513">INDEX(Source2!A:A,1+BIN2DEC(MID($B513,11,4)))</f>
        <v>--</v>
      </c>
      <c r="I513" s="26" cm="1">
        <f t="array" ref="I513">INDEX('D2'!A:A,1+BIN2DEC(MID($B513,16,2)))</f>
        <v>0</v>
      </c>
      <c r="J513" s="11">
        <f t="shared" si="55"/>
        <v>0</v>
      </c>
      <c r="K513" s="11">
        <f t="shared" si="51"/>
        <v>0</v>
      </c>
      <c r="L513" s="11">
        <f t="shared" si="52"/>
        <v>0</v>
      </c>
      <c r="M513" s="10" t="str" cm="1">
        <f t="array" ref="M513">INDEX(Types!A:A,1+BIN2DEC(MID($B513,20,2)))</f>
        <v>Control</v>
      </c>
      <c r="N513" s="10" t="str" cm="1">
        <f t="array" ref="N513">IF(M513="ALU",INDEX(ALUOps!A:A,1+BIN2DEC(MID($B513,22,5))),"")</f>
        <v/>
      </c>
      <c r="O513" s="10" t="str" cm="1">
        <f t="array" ref="O513">IF(M513="ALU",INDEX(TMP!A:A,1+BIN2DEC(MID($B513,27,2))),"")</f>
        <v/>
      </c>
      <c r="P513" s="11" t="str">
        <f t="shared" si="53"/>
        <v/>
      </c>
      <c r="Q513" s="9" t="str">
        <f t="shared" si="54"/>
        <v/>
      </c>
      <c r="R513" s="9" t="str">
        <f t="shared" si="56"/>
        <v/>
      </c>
      <c r="S513" s="9" cm="1">
        <f t="array" ref="S513">IF(M513="Control",INDEX(IC!A:A,1+BIN2DEC(MID($B513,21,4))),"")</f>
        <v>0</v>
      </c>
      <c r="T513" s="9" cm="1">
        <f t="array" ref="T513">IF(M513="Control",INDEX(EC!A:A,1+BIN2DEC(MID($B513,25,3))),"")</f>
        <v>0</v>
      </c>
      <c r="U513" s="9" cm="1">
        <f t="array" ref="U513">IF(M513="Control",INDEX(SR!A:A,1+BIN2DEC(MID($B513,28,2))),"")</f>
        <v>0</v>
      </c>
    </row>
    <row r="514" spans="1:30" x14ac:dyDescent="0.25">
      <c r="A514" s="4" t="str">
        <f t="shared" si="50"/>
        <v>200</v>
      </c>
      <c r="B514" s="2" t="s">
        <v>499</v>
      </c>
      <c r="C514" s="2" t="s">
        <v>1144</v>
      </c>
      <c r="D514" s="2" t="s">
        <v>930</v>
      </c>
      <c r="E514" s="2" t="s">
        <v>488</v>
      </c>
      <c r="F514" s="27" t="str" cm="1">
        <f t="array" ref="F514">INDEX(Sources!A:A, 1 + BIN2DEC(LEFT($B514,5)))</f>
        <v>TMPB</v>
      </c>
      <c r="G514" s="27" t="str" cm="1">
        <f t="array" ref="G514">INDEX(Dest1!A:A,1+BIN2DEC(MID($B514,6,5)))</f>
        <v>A</v>
      </c>
      <c r="H514" s="27" t="str" cm="1">
        <f t="array" ref="H514">INDEX(Source2!A:A,1+BIN2DEC(MID($B514,11,4)))</f>
        <v>--</v>
      </c>
      <c r="I514" s="23" cm="1">
        <f t="array" ref="I514">INDEX('D2'!A:A,1+BIN2DEC(MID($B514,16,2)))</f>
        <v>0</v>
      </c>
      <c r="J514" s="6">
        <f t="shared" si="55"/>
        <v>0</v>
      </c>
      <c r="K514" s="6">
        <f t="shared" si="51"/>
        <v>0</v>
      </c>
      <c r="L514" s="6">
        <f t="shared" si="52"/>
        <v>1</v>
      </c>
      <c r="M514" s="3" t="str" cm="1">
        <f t="array" ref="M514">INDEX(Types!A:A,1+BIN2DEC(MID($B514,20,2)))</f>
        <v>Control</v>
      </c>
      <c r="N514" s="3" t="str" cm="1">
        <f t="array" ref="N514">IF(M514="ALU",INDEX(ALUOps!A:A,1+BIN2DEC(MID($B514,22,5))),"")</f>
        <v/>
      </c>
      <c r="O514" s="3" t="str" cm="1">
        <f t="array" ref="O514">IF(M514="ALU",INDEX(TMP!A:A,1+BIN2DEC(MID($B514,27,2))),"")</f>
        <v/>
      </c>
      <c r="P514" s="6" t="str">
        <f t="shared" ref="P514:P577" si="57">IF(M514="ALU",BIN2DEC(MID($B514,29,1)),"")</f>
        <v/>
      </c>
      <c r="Q514" t="str">
        <f t="shared" si="54"/>
        <v/>
      </c>
      <c r="R514" t="str">
        <f t="shared" si="56"/>
        <v/>
      </c>
      <c r="S514" cm="1">
        <f t="array" ref="S514">IF(M514="Control",INDEX(IC!A:A,1+BIN2DEC(MID($B514,21,4))),"")</f>
        <v>0</v>
      </c>
      <c r="T514" cm="1">
        <f t="array" ref="T514">IF(M514="Control",INDEX(EC!A:A,1+BIN2DEC(MID($B514,25,3))),"")</f>
        <v>0</v>
      </c>
      <c r="U514" cm="1">
        <f t="array" ref="U514">IF(M514="Control",INDEX(SR!A:A,1+BIN2DEC(MID($B514,28,2))),"")</f>
        <v>0</v>
      </c>
      <c r="AD514" s="1" t="s">
        <v>498</v>
      </c>
    </row>
    <row r="515" spans="1:30" x14ac:dyDescent="0.25">
      <c r="A515" s="4" t="str">
        <f t="shared" ref="A515:A578" si="58">DEC2HEX(ROW(A514)-ROW($A$1),3)</f>
        <v>201</v>
      </c>
      <c r="B515" s="2" t="s">
        <v>4</v>
      </c>
      <c r="C515" s="3"/>
      <c r="D515" s="3"/>
      <c r="E515" s="3"/>
      <c r="F515" s="27" t="str" cm="1">
        <f t="array" ref="F515">INDEX(Sources!A:A, 1 + BIN2DEC(LEFT($B515,5)))</f>
        <v>--</v>
      </c>
      <c r="G515" s="27" t="str" cm="1">
        <f t="array" ref="G515">INDEX(Dest1!A:A,1+BIN2DEC(MID($B515,6,5)))</f>
        <v>--</v>
      </c>
      <c r="H515" s="27" t="str" cm="1">
        <f t="array" ref="H515">INDEX(Source2!A:A,1+BIN2DEC(MID($B515,11,4)))</f>
        <v>--</v>
      </c>
      <c r="I515" s="23" cm="1">
        <f t="array" ref="I515">INDEX('D2'!A:A,1+BIN2DEC(MID($B515,16,2)))</f>
        <v>0</v>
      </c>
      <c r="J515" s="6">
        <f t="shared" si="55"/>
        <v>0</v>
      </c>
      <c r="K515" s="6">
        <f t="shared" si="51"/>
        <v>0</v>
      </c>
      <c r="L515" s="6">
        <f t="shared" si="52"/>
        <v>0</v>
      </c>
      <c r="M515" s="3" t="str" cm="1">
        <f t="array" ref="M515">INDEX(Types!A:A,1+BIN2DEC(MID($B515,20,2)))</f>
        <v>Control</v>
      </c>
      <c r="N515" s="3" t="str" cm="1">
        <f t="array" ref="N515">IF(M515="ALU",INDEX(ALUOps!A:A,1+BIN2DEC(MID($B515,22,5))),"")</f>
        <v/>
      </c>
      <c r="O515" s="3" t="str" cm="1">
        <f t="array" ref="O515">IF(M515="ALU",INDEX(TMP!A:A,1+BIN2DEC(MID($B515,27,2))),"")</f>
        <v/>
      </c>
      <c r="P515" s="6" t="str">
        <f t="shared" si="57"/>
        <v/>
      </c>
      <c r="Q515" t="str">
        <f t="shared" ref="Q515:Q578" si="59">IF(M515="Jump",BIN2DEC(MID($B515,22,4)),"")</f>
        <v/>
      </c>
      <c r="R515" t="str">
        <f t="shared" si="56"/>
        <v/>
      </c>
      <c r="S515" cm="1">
        <f t="array" ref="S515">IF(M515="Control",INDEX(IC!A:A,1+BIN2DEC(MID($B515,21,4))),"")</f>
        <v>0</v>
      </c>
      <c r="T515" cm="1">
        <f t="array" ref="T515">IF(M515="Control",INDEX(EC!A:A,1+BIN2DEC(MID($B515,25,3))),"")</f>
        <v>0</v>
      </c>
      <c r="U515" cm="1">
        <f t="array" ref="U515">IF(M515="Control",INDEX(SR!A:A,1+BIN2DEC(MID($B515,28,2))),"")</f>
        <v>0</v>
      </c>
    </row>
    <row r="516" spans="1:30" x14ac:dyDescent="0.25">
      <c r="A516" s="4" t="str">
        <f t="shared" si="58"/>
        <v>202</v>
      </c>
      <c r="B516" s="2" t="s">
        <v>4</v>
      </c>
      <c r="C516" s="3"/>
      <c r="D516" s="3"/>
      <c r="E516" s="3"/>
      <c r="F516" s="27" t="str" cm="1">
        <f t="array" ref="F516">INDEX(Sources!A:A, 1 + BIN2DEC(LEFT($B516,5)))</f>
        <v>--</v>
      </c>
      <c r="G516" s="27" t="str" cm="1">
        <f t="array" ref="G516">INDEX(Dest1!A:A,1+BIN2DEC(MID($B516,6,5)))</f>
        <v>--</v>
      </c>
      <c r="H516" s="27" t="str" cm="1">
        <f t="array" ref="H516">INDEX(Source2!A:A,1+BIN2DEC(MID($B516,11,4)))</f>
        <v>--</v>
      </c>
      <c r="I516" s="23" cm="1">
        <f t="array" ref="I516">INDEX('D2'!A:A,1+BIN2DEC(MID($B516,16,2)))</f>
        <v>0</v>
      </c>
      <c r="J516" s="6">
        <f t="shared" si="55"/>
        <v>0</v>
      </c>
      <c r="K516" s="6">
        <f t="shared" si="51"/>
        <v>0</v>
      </c>
      <c r="L516" s="6">
        <f t="shared" si="52"/>
        <v>0</v>
      </c>
      <c r="M516" s="3" t="str" cm="1">
        <f t="array" ref="M516">INDEX(Types!A:A,1+BIN2DEC(MID($B516,20,2)))</f>
        <v>Control</v>
      </c>
      <c r="N516" s="3" t="str" cm="1">
        <f t="array" ref="N516">IF(M516="ALU",INDEX(ALUOps!A:A,1+BIN2DEC(MID($B516,22,5))),"")</f>
        <v/>
      </c>
      <c r="O516" s="3" t="str" cm="1">
        <f t="array" ref="O516">IF(M516="ALU",INDEX(TMP!A:A,1+BIN2DEC(MID($B516,27,2))),"")</f>
        <v/>
      </c>
      <c r="P516" s="6" t="str">
        <f t="shared" si="57"/>
        <v/>
      </c>
      <c r="Q516" t="str">
        <f t="shared" si="59"/>
        <v/>
      </c>
      <c r="R516" t="str">
        <f t="shared" si="56"/>
        <v/>
      </c>
      <c r="S516" cm="1">
        <f t="array" ref="S516">IF(M516="Control",INDEX(IC!A:A,1+BIN2DEC(MID($B516,21,4))),"")</f>
        <v>0</v>
      </c>
      <c r="T516" cm="1">
        <f t="array" ref="T516">IF(M516="Control",INDEX(EC!A:A,1+BIN2DEC(MID($B516,25,3))),"")</f>
        <v>0</v>
      </c>
      <c r="U516" cm="1">
        <f t="array" ref="U516">IF(M516="Control",INDEX(SR!A:A,1+BIN2DEC(MID($B516,28,2))),"")</f>
        <v>0</v>
      </c>
    </row>
    <row r="517" spans="1:30" x14ac:dyDescent="0.25">
      <c r="A517" s="4" t="str">
        <f t="shared" si="58"/>
        <v>203</v>
      </c>
      <c r="B517" s="2" t="s">
        <v>4</v>
      </c>
      <c r="C517" s="3"/>
      <c r="D517" s="3"/>
      <c r="E517" s="3"/>
      <c r="F517" s="27" t="str" cm="1">
        <f t="array" ref="F517">INDEX(Sources!A:A, 1 + BIN2DEC(LEFT($B517,5)))</f>
        <v>--</v>
      </c>
      <c r="G517" s="27" t="str" cm="1">
        <f t="array" ref="G517">INDEX(Dest1!A:A,1+BIN2DEC(MID($B517,6,5)))</f>
        <v>--</v>
      </c>
      <c r="H517" s="27" t="str" cm="1">
        <f t="array" ref="H517">INDEX(Source2!A:A,1+BIN2DEC(MID($B517,11,4)))</f>
        <v>--</v>
      </c>
      <c r="I517" s="23" cm="1">
        <f t="array" ref="I517">INDEX('D2'!A:A,1+BIN2DEC(MID($B517,16,2)))</f>
        <v>0</v>
      </c>
      <c r="J517" s="6">
        <f t="shared" si="55"/>
        <v>0</v>
      </c>
      <c r="K517" s="6">
        <f t="shared" si="51"/>
        <v>0</v>
      </c>
      <c r="L517" s="6">
        <f t="shared" si="52"/>
        <v>0</v>
      </c>
      <c r="M517" s="3" t="str" cm="1">
        <f t="array" ref="M517">INDEX(Types!A:A,1+BIN2DEC(MID($B517,20,2)))</f>
        <v>Control</v>
      </c>
      <c r="N517" s="3" t="str" cm="1">
        <f t="array" ref="N517">IF(M517="ALU",INDEX(ALUOps!A:A,1+BIN2DEC(MID($B517,22,5))),"")</f>
        <v/>
      </c>
      <c r="O517" s="3" t="str" cm="1">
        <f t="array" ref="O517">IF(M517="ALU",INDEX(TMP!A:A,1+BIN2DEC(MID($B517,27,2))),"")</f>
        <v/>
      </c>
      <c r="P517" s="6" t="str">
        <f t="shared" si="57"/>
        <v/>
      </c>
      <c r="Q517" t="str">
        <f t="shared" si="59"/>
        <v/>
      </c>
      <c r="R517" t="str">
        <f t="shared" si="56"/>
        <v/>
      </c>
      <c r="S517" cm="1">
        <f t="array" ref="S517">IF(M517="Control",INDEX(IC!A:A,1+BIN2DEC(MID($B517,21,4))),"")</f>
        <v>0</v>
      </c>
      <c r="T517" cm="1">
        <f t="array" ref="T517">IF(M517="Control",INDEX(EC!A:A,1+BIN2DEC(MID($B517,25,3))),"")</f>
        <v>0</v>
      </c>
      <c r="U517" cm="1">
        <f t="array" ref="U517">IF(M517="Control",INDEX(SR!A:A,1+BIN2DEC(MID($B517,28,2))),"")</f>
        <v>0</v>
      </c>
    </row>
    <row r="518" spans="1:30" x14ac:dyDescent="0.25">
      <c r="A518" s="4" t="str">
        <f t="shared" si="58"/>
        <v>204</v>
      </c>
      <c r="B518" s="2" t="s">
        <v>502</v>
      </c>
      <c r="C518" s="2" t="s">
        <v>500</v>
      </c>
      <c r="D518" s="2" t="s">
        <v>931</v>
      </c>
      <c r="E518" s="2" t="s">
        <v>462</v>
      </c>
      <c r="F518" s="27" t="str" cm="1">
        <f t="array" ref="F518">INDEX(Sources!A:A, 1 + BIN2DEC(LEFT($B518,5)))</f>
        <v>TMPB</v>
      </c>
      <c r="G518" s="27" t="str" cm="1">
        <f t="array" ref="G518">INDEX(Dest1!A:A,1+BIN2DEC(MID($B518,6,5)))</f>
        <v>TMPA</v>
      </c>
      <c r="H518" s="27" t="str" cm="1">
        <f t="array" ref="H518">INDEX(Source2!A:A,1+BIN2DEC(MID($B518,11,4)))</f>
        <v>--</v>
      </c>
      <c r="I518" s="23" cm="1">
        <f t="array" ref="I518">INDEX('D2'!A:A,1+BIN2DEC(MID($B518,16,2)))</f>
        <v>0</v>
      </c>
      <c r="J518" s="6">
        <f t="shared" si="55"/>
        <v>0</v>
      </c>
      <c r="K518" s="6">
        <f t="shared" si="51"/>
        <v>0</v>
      </c>
      <c r="L518" s="6">
        <f t="shared" si="52"/>
        <v>0</v>
      </c>
      <c r="M518" s="3" t="str" cm="1">
        <f t="array" ref="M518">INDEX(Types!A:A,1+BIN2DEC(MID($B518,20,2)))</f>
        <v>ALU</v>
      </c>
      <c r="N518" s="3" cm="1">
        <f t="array" ref="N518">IF(M518="ALU",INDEX(ALUOps!A:A,1+BIN2DEC(MID($B518,22,5))),"")</f>
        <v>31</v>
      </c>
      <c r="O518" s="3" cm="1">
        <f t="array" ref="O518">IF(M518="ALU",INDEX(TMP!A:A,1+BIN2DEC(MID($B518,27,2))),"")</f>
        <v>2</v>
      </c>
      <c r="P518" s="6">
        <f t="shared" si="57"/>
        <v>1</v>
      </c>
      <c r="Q518" t="str">
        <f t="shared" si="59"/>
        <v/>
      </c>
      <c r="R518" t="str">
        <f t="shared" si="56"/>
        <v/>
      </c>
      <c r="S518" t="str" cm="1">
        <f t="array" ref="S518">IF(M518="Control",INDEX(IC!A:A,1+BIN2DEC(MID($B518,21,4))),"")</f>
        <v/>
      </c>
      <c r="T518" t="str" cm="1">
        <f t="array" ref="T518">IF(M518="Control",INDEX(EC!A:A,1+BIN2DEC(MID($B518,25,3))),"")</f>
        <v/>
      </c>
      <c r="U518" t="str" cm="1">
        <f t="array" ref="U518">IF(M518="Control",INDEX(SR!A:A,1+BIN2DEC(MID($B518,28,2))),"")</f>
        <v/>
      </c>
      <c r="AD518" s="1" t="s">
        <v>501</v>
      </c>
    </row>
    <row r="519" spans="1:30" x14ac:dyDescent="0.25">
      <c r="A519" s="4" t="str">
        <f t="shared" si="58"/>
        <v>205</v>
      </c>
      <c r="B519" s="2" t="s">
        <v>505</v>
      </c>
      <c r="C519" s="3"/>
      <c r="D519" s="3"/>
      <c r="E519" s="3"/>
      <c r="F519" s="27" t="str" cm="1">
        <f t="array" ref="F519">INDEX(Sources!A:A, 1 + BIN2DEC(LEFT($B519,5)))</f>
        <v>SIGMA</v>
      </c>
      <c r="G519" s="27" t="str" cm="1">
        <f t="array" ref="G519">INDEX(Dest1!A:A,1+BIN2DEC(MID($B519,6,5)))</f>
        <v>UNK24</v>
      </c>
      <c r="H519" s="27" t="str" cm="1">
        <f t="array" ref="H519">INDEX(Source2!A:A,1+BIN2DEC(MID($B519,11,4)))</f>
        <v>9</v>
      </c>
      <c r="I519" s="23" cm="1">
        <f t="array" ref="I519">INDEX('D2'!A:A,1+BIN2DEC(MID($B519,16,2)))</f>
        <v>0</v>
      </c>
      <c r="J519" s="6">
        <f t="shared" si="55"/>
        <v>0</v>
      </c>
      <c r="K519" s="6">
        <f t="shared" si="51"/>
        <v>1</v>
      </c>
      <c r="L519" s="6">
        <f t="shared" si="52"/>
        <v>0</v>
      </c>
      <c r="M519" s="3" t="str" cm="1">
        <f t="array" ref="M519">INDEX(Types!A:A,1+BIN2DEC(MID($B519,20,2)))</f>
        <v>ALU</v>
      </c>
      <c r="N519" s="3" cm="1">
        <f t="array" ref="N519">IF(M519="ALU",INDEX(ALUOps!A:A,1+BIN2DEC(MID($B519,22,5))),"")</f>
        <v>29</v>
      </c>
      <c r="O519" s="3" cm="1">
        <f t="array" ref="O519">IF(M519="ALU",INDEX(TMP!A:A,1+BIN2DEC(MID($B519,27,2))),"")</f>
        <v>1</v>
      </c>
      <c r="P519" s="6">
        <f t="shared" si="57"/>
        <v>1</v>
      </c>
      <c r="Q519" t="str">
        <f t="shared" si="59"/>
        <v/>
      </c>
      <c r="R519" t="str">
        <f t="shared" ref="R519:R582" si="60">IF(M519="Jump",15-BIN2DEC(MID($B519,26,4)),"")</f>
        <v/>
      </c>
      <c r="S519" t="str" cm="1">
        <f t="array" ref="S519">IF(M519="Control",INDEX(IC!A:A,1+BIN2DEC(MID($B519,21,4))),"")</f>
        <v/>
      </c>
      <c r="T519" t="str" cm="1">
        <f t="array" ref="T519">IF(M519="Control",INDEX(EC!A:A,1+BIN2DEC(MID($B519,25,3))),"")</f>
        <v/>
      </c>
      <c r="U519" t="str" cm="1">
        <f t="array" ref="U519">IF(M519="Control",INDEX(SR!A:A,1+BIN2DEC(MID($B519,28,2))),"")</f>
        <v/>
      </c>
    </row>
    <row r="520" spans="1:30" x14ac:dyDescent="0.25">
      <c r="A520" s="4" t="str">
        <f t="shared" si="58"/>
        <v>206</v>
      </c>
      <c r="B520" s="2" t="s">
        <v>506</v>
      </c>
      <c r="C520" s="3"/>
      <c r="D520" s="3"/>
      <c r="E520" s="3"/>
      <c r="F520" s="27" t="str" cm="1">
        <f t="array" ref="F520">INDEX(Sources!A:A, 1 + BIN2DEC(LEFT($B520,5)))</f>
        <v>SIGMA</v>
      </c>
      <c r="G520" s="27" t="str" cm="1">
        <f t="array" ref="G520">INDEX(Dest1!A:A,1+BIN2DEC(MID($B520,6,5)))</f>
        <v>UNK24</v>
      </c>
      <c r="H520" s="27" t="str" cm="1">
        <f t="array" ref="H520">INDEX(Source2!A:A,1+BIN2DEC(MID($B520,11,4)))</f>
        <v>--</v>
      </c>
      <c r="I520" s="23" cm="1">
        <f t="array" ref="I520">INDEX('D2'!A:A,1+BIN2DEC(MID($B520,16,2)))</f>
        <v>0</v>
      </c>
      <c r="J520" s="6">
        <f t="shared" si="55"/>
        <v>0</v>
      </c>
      <c r="K520" s="6">
        <f t="shared" si="51"/>
        <v>0</v>
      </c>
      <c r="L520" s="6">
        <f t="shared" si="52"/>
        <v>0</v>
      </c>
      <c r="M520" s="3" t="str" cm="1">
        <f t="array" ref="M520">INDEX(Types!A:A,1+BIN2DEC(MID($B520,20,2)))</f>
        <v>Control</v>
      </c>
      <c r="N520" s="3" t="str" cm="1">
        <f t="array" ref="N520">IF(M520="ALU",INDEX(ALUOps!A:A,1+BIN2DEC(MID($B520,22,5))),"")</f>
        <v/>
      </c>
      <c r="O520" s="3" t="str" cm="1">
        <f t="array" ref="O520">IF(M520="ALU",INDEX(TMP!A:A,1+BIN2DEC(MID($B520,27,2))),"")</f>
        <v/>
      </c>
      <c r="P520" s="6" t="str">
        <f t="shared" si="57"/>
        <v/>
      </c>
      <c r="Q520" t="str">
        <f t="shared" si="59"/>
        <v/>
      </c>
      <c r="R520" t="str">
        <f t="shared" si="60"/>
        <v/>
      </c>
      <c r="S520" cm="1">
        <f t="array" ref="S520">IF(M520="Control",INDEX(IC!A:A,1+BIN2DEC(MID($B520,21,4))),"")</f>
        <v>1</v>
      </c>
      <c r="T520" cm="1">
        <f t="array" ref="T520">IF(M520="Control",INDEX(EC!A:A,1+BIN2DEC(MID($B520,25,3))),"")</f>
        <v>6</v>
      </c>
      <c r="U520" cm="1">
        <f t="array" ref="U520">IF(M520="Control",INDEX(SR!A:A,1+BIN2DEC(MID($B520,28,2))),"")</f>
        <v>2</v>
      </c>
    </row>
    <row r="521" spans="1:30" x14ac:dyDescent="0.25">
      <c r="A521" s="4" t="str">
        <f t="shared" si="58"/>
        <v>207</v>
      </c>
      <c r="B521" s="2" t="s">
        <v>4</v>
      </c>
      <c r="C521" s="3"/>
      <c r="D521" s="3"/>
      <c r="E521" s="3"/>
      <c r="F521" s="27" t="str" cm="1">
        <f t="array" ref="F521">INDEX(Sources!A:A, 1 + BIN2DEC(LEFT($B521,5)))</f>
        <v>--</v>
      </c>
      <c r="G521" s="27" t="str" cm="1">
        <f t="array" ref="G521">INDEX(Dest1!A:A,1+BIN2DEC(MID($B521,6,5)))</f>
        <v>--</v>
      </c>
      <c r="H521" s="27" t="str" cm="1">
        <f t="array" ref="H521">INDEX(Source2!A:A,1+BIN2DEC(MID($B521,11,4)))</f>
        <v>--</v>
      </c>
      <c r="I521" s="23" cm="1">
        <f t="array" ref="I521">INDEX('D2'!A:A,1+BIN2DEC(MID($B521,16,2)))</f>
        <v>0</v>
      </c>
      <c r="J521" s="6">
        <f t="shared" si="55"/>
        <v>0</v>
      </c>
      <c r="K521" s="6">
        <f t="shared" si="51"/>
        <v>0</v>
      </c>
      <c r="L521" s="6">
        <f t="shared" si="52"/>
        <v>0</v>
      </c>
      <c r="M521" s="3" t="str" cm="1">
        <f t="array" ref="M521">INDEX(Types!A:A,1+BIN2DEC(MID($B521,20,2)))</f>
        <v>Control</v>
      </c>
      <c r="N521" s="3" t="str" cm="1">
        <f t="array" ref="N521">IF(M521="ALU",INDEX(ALUOps!A:A,1+BIN2DEC(MID($B521,22,5))),"")</f>
        <v/>
      </c>
      <c r="O521" s="3" t="str" cm="1">
        <f t="array" ref="O521">IF(M521="ALU",INDEX(TMP!A:A,1+BIN2DEC(MID($B521,27,2))),"")</f>
        <v/>
      </c>
      <c r="P521" s="6" t="str">
        <f t="shared" si="57"/>
        <v/>
      </c>
      <c r="Q521" t="str">
        <f t="shared" si="59"/>
        <v/>
      </c>
      <c r="R521" t="str">
        <f t="shared" si="60"/>
        <v/>
      </c>
      <c r="S521" cm="1">
        <f t="array" ref="S521">IF(M521="Control",INDEX(IC!A:A,1+BIN2DEC(MID($B521,21,4))),"")</f>
        <v>0</v>
      </c>
      <c r="T521" cm="1">
        <f t="array" ref="T521">IF(M521="Control",INDEX(EC!A:A,1+BIN2DEC(MID($B521,25,3))),"")</f>
        <v>0</v>
      </c>
      <c r="U521" cm="1">
        <f t="array" ref="U521">IF(M521="Control",INDEX(SR!A:A,1+BIN2DEC(MID($B521,28,2))),"")</f>
        <v>0</v>
      </c>
    </row>
    <row r="522" spans="1:30" x14ac:dyDescent="0.25">
      <c r="A522" s="4" t="str">
        <f t="shared" si="58"/>
        <v>208</v>
      </c>
      <c r="B522" s="2" t="s">
        <v>507</v>
      </c>
      <c r="C522" s="2" t="s">
        <v>503</v>
      </c>
      <c r="D522" s="2" t="s">
        <v>931</v>
      </c>
      <c r="E522" s="2" t="s">
        <v>462</v>
      </c>
      <c r="F522" s="27" t="str" cm="1">
        <f t="array" ref="F522">INDEX(Sources!A:A, 1 + BIN2DEC(LEFT($B522,5)))</f>
        <v>--</v>
      </c>
      <c r="G522" s="27" t="str" cm="1">
        <f t="array" ref="G522">INDEX(Dest1!A:A,1+BIN2DEC(MID($B522,6,5)))</f>
        <v>--</v>
      </c>
      <c r="H522" s="27" t="str" cm="1">
        <f t="array" ref="H522">INDEX(Source2!A:A,1+BIN2DEC(MID($B522,11,4)))</f>
        <v>--</v>
      </c>
      <c r="I522" s="23" cm="1">
        <f t="array" ref="I522">INDEX('D2'!A:A,1+BIN2DEC(MID($B522,16,2)))</f>
        <v>0</v>
      </c>
      <c r="J522" s="6">
        <f t="shared" si="55"/>
        <v>0</v>
      </c>
      <c r="K522" s="6">
        <f t="shared" si="51"/>
        <v>0</v>
      </c>
      <c r="L522" s="6">
        <f t="shared" si="52"/>
        <v>0</v>
      </c>
      <c r="M522" s="3" t="str" cm="1">
        <f t="array" ref="M522">INDEX(Types!A:A,1+BIN2DEC(MID($B522,20,2)))</f>
        <v>Control</v>
      </c>
      <c r="N522" s="3" t="str" cm="1">
        <f t="array" ref="N522">IF(M522="ALU",INDEX(ALUOps!A:A,1+BIN2DEC(MID($B522,22,5))),"")</f>
        <v/>
      </c>
      <c r="O522" s="3" t="str" cm="1">
        <f t="array" ref="O522">IF(M522="ALU",INDEX(TMP!A:A,1+BIN2DEC(MID($B522,27,2))),"")</f>
        <v/>
      </c>
      <c r="P522" s="6" t="str">
        <f t="shared" si="57"/>
        <v/>
      </c>
      <c r="Q522" t="str">
        <f t="shared" si="59"/>
        <v/>
      </c>
      <c r="R522" t="str">
        <f t="shared" si="60"/>
        <v/>
      </c>
      <c r="S522" cm="1">
        <f t="array" ref="S522">IF(M522="Control",INDEX(IC!A:A,1+BIN2DEC(MID($B522,21,4))),"")</f>
        <v>9</v>
      </c>
      <c r="T522" cm="1">
        <f t="array" ref="T522">IF(M522="Control",INDEX(EC!A:A,1+BIN2DEC(MID($B522,25,3))),"")</f>
        <v>0</v>
      </c>
      <c r="U522" cm="1">
        <f t="array" ref="U522">IF(M522="Control",INDEX(SR!A:A,1+BIN2DEC(MID($B522,28,2))),"")</f>
        <v>0</v>
      </c>
      <c r="AD522" s="1" t="s">
        <v>504</v>
      </c>
    </row>
    <row r="523" spans="1:30" x14ac:dyDescent="0.25">
      <c r="A523" s="4" t="str">
        <f t="shared" si="58"/>
        <v>209</v>
      </c>
      <c r="B523" s="2" t="s">
        <v>510</v>
      </c>
      <c r="C523" s="3"/>
      <c r="D523" s="3"/>
      <c r="E523" s="3"/>
      <c r="F523" s="27" t="str" cm="1">
        <f t="array" ref="F523">INDEX(Sources!A:A, 1 + BIN2DEC(LEFT($B523,5)))</f>
        <v>--</v>
      </c>
      <c r="G523" s="27" t="str" cm="1">
        <f t="array" ref="G523">INDEX(Dest1!A:A,1+BIN2DEC(MID($B523,6,5)))</f>
        <v>--</v>
      </c>
      <c r="H523" s="27" t="str" cm="1">
        <f t="array" ref="H523">INDEX(Source2!A:A,1+BIN2DEC(MID($B523,11,4)))</f>
        <v>--</v>
      </c>
      <c r="I523" s="23" cm="1">
        <f t="array" ref="I523">INDEX('D2'!A:A,1+BIN2DEC(MID($B523,16,2)))</f>
        <v>0</v>
      </c>
      <c r="J523" s="6">
        <f t="shared" si="55"/>
        <v>0</v>
      </c>
      <c r="K523" s="6">
        <f t="shared" si="51"/>
        <v>0</v>
      </c>
      <c r="L523" s="6">
        <f t="shared" si="52"/>
        <v>0</v>
      </c>
      <c r="M523" s="3" t="str" cm="1">
        <f t="array" ref="M523">INDEX(Types!A:A,1+BIN2DEC(MID($B523,20,2)))</f>
        <v>Jump</v>
      </c>
      <c r="N523" s="3" t="str" cm="1">
        <f t="array" ref="N523">IF(M523="ALU",INDEX(ALUOps!A:A,1+BIN2DEC(MID($B523,22,5))),"")</f>
        <v/>
      </c>
      <c r="O523" s="3" t="str" cm="1">
        <f t="array" ref="O523">IF(M523="ALU",INDEX(TMP!A:A,1+BIN2DEC(MID($B523,27,2))),"")</f>
        <v/>
      </c>
      <c r="P523" s="6" t="str">
        <f t="shared" si="57"/>
        <v/>
      </c>
      <c r="Q523">
        <f t="shared" si="59"/>
        <v>13</v>
      </c>
      <c r="R523">
        <f t="shared" si="60"/>
        <v>3</v>
      </c>
      <c r="S523" t="str" cm="1">
        <f t="array" ref="S523">IF(M523="Control",INDEX(IC!A:A,1+BIN2DEC(MID($B523,21,4))),"")</f>
        <v/>
      </c>
      <c r="T523" t="str" cm="1">
        <f t="array" ref="T523">IF(M523="Control",INDEX(EC!A:A,1+BIN2DEC(MID($B523,25,3))),"")</f>
        <v/>
      </c>
      <c r="U523" t="str" cm="1">
        <f t="array" ref="U523">IF(M523="Control",INDEX(SR!A:A,1+BIN2DEC(MID($B523,28,2))),"")</f>
        <v/>
      </c>
    </row>
    <row r="524" spans="1:30" x14ac:dyDescent="0.25">
      <c r="A524" s="4" t="str">
        <f t="shared" si="58"/>
        <v>20A</v>
      </c>
      <c r="B524" s="2" t="s">
        <v>511</v>
      </c>
      <c r="C524" s="3"/>
      <c r="D524" s="3"/>
      <c r="E524" s="3"/>
      <c r="F524" s="27" t="str" cm="1">
        <f t="array" ref="F524">INDEX(Sources!A:A, 1 + BIN2DEC(LEFT($B524,5)))</f>
        <v>--</v>
      </c>
      <c r="G524" s="27" t="str" cm="1">
        <f t="array" ref="G524">INDEX(Dest1!A:A,1+BIN2DEC(MID($B524,6,5)))</f>
        <v>--</v>
      </c>
      <c r="H524" s="27" t="str" cm="1">
        <f t="array" ref="H524">INDEX(Source2!A:A,1+BIN2DEC(MID($B524,11,4)))</f>
        <v>--</v>
      </c>
      <c r="I524" s="23" cm="1">
        <f t="array" ref="I524">INDEX('D2'!A:A,1+BIN2DEC(MID($B524,16,2)))</f>
        <v>0</v>
      </c>
      <c r="J524" s="6">
        <f t="shared" si="55"/>
        <v>0</v>
      </c>
      <c r="K524" s="6">
        <f t="shared" si="51"/>
        <v>0</v>
      </c>
      <c r="L524" s="6">
        <f t="shared" si="52"/>
        <v>0</v>
      </c>
      <c r="M524" s="3" t="str" cm="1">
        <f t="array" ref="M524">INDEX(Types!A:A,1+BIN2DEC(MID($B524,20,2)))</f>
        <v>Control</v>
      </c>
      <c r="N524" s="3" t="str" cm="1">
        <f t="array" ref="N524">IF(M524="ALU",INDEX(ALUOps!A:A,1+BIN2DEC(MID($B524,22,5))),"")</f>
        <v/>
      </c>
      <c r="O524" s="3" t="str" cm="1">
        <f t="array" ref="O524">IF(M524="ALU",INDEX(TMP!A:A,1+BIN2DEC(MID($B524,27,2))),"")</f>
        <v/>
      </c>
      <c r="P524" s="6" t="str">
        <f t="shared" si="57"/>
        <v/>
      </c>
      <c r="Q524" t="str">
        <f t="shared" si="59"/>
        <v/>
      </c>
      <c r="R524" t="str">
        <f t="shared" si="60"/>
        <v/>
      </c>
      <c r="S524" cm="1">
        <f t="array" ref="S524">IF(M524="Control",INDEX(IC!A:A,1+BIN2DEC(MID($B524,21,4))),"")</f>
        <v>8</v>
      </c>
      <c r="T524" cm="1">
        <f t="array" ref="T524">IF(M524="Control",INDEX(EC!A:A,1+BIN2DEC(MID($B524,25,3))),"")</f>
        <v>0</v>
      </c>
      <c r="U524" cm="1">
        <f t="array" ref="U524">IF(M524="Control",INDEX(SR!A:A,1+BIN2DEC(MID($B524,28,2))),"")</f>
        <v>0</v>
      </c>
    </row>
    <row r="525" spans="1:30" x14ac:dyDescent="0.25">
      <c r="A525" s="4" t="str">
        <f t="shared" si="58"/>
        <v>20B</v>
      </c>
      <c r="B525" s="2" t="s">
        <v>39</v>
      </c>
      <c r="C525" s="3"/>
      <c r="D525" s="3"/>
      <c r="E525" s="3"/>
      <c r="F525" s="27" t="str" cm="1">
        <f t="array" ref="F525">INDEX(Sources!A:A, 1 + BIN2DEC(LEFT($B525,5)))</f>
        <v>--</v>
      </c>
      <c r="G525" s="27" t="str" cm="1">
        <f t="array" ref="G525">INDEX(Dest1!A:A,1+BIN2DEC(MID($B525,6,5)))</f>
        <v>--</v>
      </c>
      <c r="H525" s="27" t="str" cm="1">
        <f t="array" ref="H525">INDEX(Source2!A:A,1+BIN2DEC(MID($B525,11,4)))</f>
        <v>--</v>
      </c>
      <c r="I525" s="23" cm="1">
        <f t="array" ref="I525">INDEX('D2'!A:A,1+BIN2DEC(MID($B525,16,2)))</f>
        <v>0</v>
      </c>
      <c r="J525" s="6">
        <f t="shared" si="55"/>
        <v>0</v>
      </c>
      <c r="K525" s="6">
        <f t="shared" si="51"/>
        <v>0</v>
      </c>
      <c r="L525" s="6">
        <f t="shared" si="52"/>
        <v>1</v>
      </c>
      <c r="M525" s="3" t="str" cm="1">
        <f t="array" ref="M525">INDEX(Types!A:A,1+BIN2DEC(MID($B525,20,2)))</f>
        <v>Control</v>
      </c>
      <c r="N525" s="3" t="str" cm="1">
        <f t="array" ref="N525">IF(M525="ALU",INDEX(ALUOps!A:A,1+BIN2DEC(MID($B525,22,5))),"")</f>
        <v/>
      </c>
      <c r="O525" s="3" t="str" cm="1">
        <f t="array" ref="O525">IF(M525="ALU",INDEX(TMP!A:A,1+BIN2DEC(MID($B525,27,2))),"")</f>
        <v/>
      </c>
      <c r="P525" s="6" t="str">
        <f t="shared" si="57"/>
        <v/>
      </c>
      <c r="Q525" t="str">
        <f t="shared" si="59"/>
        <v/>
      </c>
      <c r="R525" t="str">
        <f t="shared" si="60"/>
        <v/>
      </c>
      <c r="S525" cm="1">
        <f t="array" ref="S525">IF(M525="Control",INDEX(IC!A:A,1+BIN2DEC(MID($B525,21,4))),"")</f>
        <v>0</v>
      </c>
      <c r="T525" cm="1">
        <f t="array" ref="T525">IF(M525="Control",INDEX(EC!A:A,1+BIN2DEC(MID($B525,25,3))),"")</f>
        <v>0</v>
      </c>
      <c r="U525" cm="1">
        <f t="array" ref="U525">IF(M525="Control",INDEX(SR!A:A,1+BIN2DEC(MID($B525,28,2))),"")</f>
        <v>0</v>
      </c>
    </row>
    <row r="526" spans="1:30" x14ac:dyDescent="0.25">
      <c r="A526" s="4" t="str">
        <f t="shared" si="58"/>
        <v>20C</v>
      </c>
      <c r="B526" s="2" t="s">
        <v>512</v>
      </c>
      <c r="C526" s="2" t="s">
        <v>508</v>
      </c>
      <c r="D526" s="2" t="s">
        <v>931</v>
      </c>
      <c r="E526" s="2" t="s">
        <v>462</v>
      </c>
      <c r="F526" s="27" t="str" cm="1">
        <f t="array" ref="F526">INDEX(Sources!A:A, 1 + BIN2DEC(LEFT($B526,5)))</f>
        <v>TMPB</v>
      </c>
      <c r="G526" s="27" t="str" cm="1">
        <f t="array" ref="G526">INDEX(Dest1!A:A,1+BIN2DEC(MID($B526,6,5)))</f>
        <v>TMPA</v>
      </c>
      <c r="H526" s="27" t="str" cm="1">
        <f t="array" ref="H526">INDEX(Source2!A:A,1+BIN2DEC(MID($B526,11,4)))</f>
        <v>11</v>
      </c>
      <c r="I526" s="23" t="str" cm="1">
        <f t="array" ref="I526">INDEX('D2'!A:A,1+BIN2DEC(MID($B526,16,2)))</f>
        <v>TMPB</v>
      </c>
      <c r="J526" s="6">
        <f t="shared" si="55"/>
        <v>0</v>
      </c>
      <c r="K526" s="6">
        <f t="shared" si="51"/>
        <v>0</v>
      </c>
      <c r="L526" s="6">
        <f t="shared" si="52"/>
        <v>0</v>
      </c>
      <c r="M526" s="3" t="str" cm="1">
        <f t="array" ref="M526">INDEX(Types!A:A,1+BIN2DEC(MID($B526,20,2)))</f>
        <v>Control</v>
      </c>
      <c r="N526" s="3" t="str" cm="1">
        <f t="array" ref="N526">IF(M526="ALU",INDEX(ALUOps!A:A,1+BIN2DEC(MID($B526,22,5))),"")</f>
        <v/>
      </c>
      <c r="O526" s="3" t="str" cm="1">
        <f t="array" ref="O526">IF(M526="ALU",INDEX(TMP!A:A,1+BIN2DEC(MID($B526,27,2))),"")</f>
        <v/>
      </c>
      <c r="P526" s="6" t="str">
        <f t="shared" si="57"/>
        <v/>
      </c>
      <c r="Q526" t="str">
        <f t="shared" si="59"/>
        <v/>
      </c>
      <c r="R526" t="str">
        <f t="shared" si="60"/>
        <v/>
      </c>
      <c r="S526" cm="1">
        <f t="array" ref="S526">IF(M526="Control",INDEX(IC!A:A,1+BIN2DEC(MID($B526,21,4))),"")</f>
        <v>3</v>
      </c>
      <c r="T526" cm="1">
        <f t="array" ref="T526">IF(M526="Control",INDEX(EC!A:A,1+BIN2DEC(MID($B526,25,3))),"")</f>
        <v>0</v>
      </c>
      <c r="U526" cm="1">
        <f t="array" ref="U526">IF(M526="Control",INDEX(SR!A:A,1+BIN2DEC(MID($B526,28,2))),"")</f>
        <v>0</v>
      </c>
      <c r="AD526" s="1" t="s">
        <v>509</v>
      </c>
    </row>
    <row r="527" spans="1:30" x14ac:dyDescent="0.25">
      <c r="A527" s="4" t="str">
        <f t="shared" si="58"/>
        <v>20D</v>
      </c>
      <c r="B527" s="2" t="s">
        <v>4</v>
      </c>
      <c r="C527" s="3"/>
      <c r="D527" s="3"/>
      <c r="E527" s="3"/>
      <c r="F527" s="27" t="str" cm="1">
        <f t="array" ref="F527">INDEX(Sources!A:A, 1 + BIN2DEC(LEFT($B527,5)))</f>
        <v>--</v>
      </c>
      <c r="G527" s="27" t="str" cm="1">
        <f t="array" ref="G527">INDEX(Dest1!A:A,1+BIN2DEC(MID($B527,6,5)))</f>
        <v>--</v>
      </c>
      <c r="H527" s="27" t="str" cm="1">
        <f t="array" ref="H527">INDEX(Source2!A:A,1+BIN2DEC(MID($B527,11,4)))</f>
        <v>--</v>
      </c>
      <c r="I527" s="23" cm="1">
        <f t="array" ref="I527">INDEX('D2'!A:A,1+BIN2DEC(MID($B527,16,2)))</f>
        <v>0</v>
      </c>
      <c r="J527" s="6">
        <f t="shared" si="55"/>
        <v>0</v>
      </c>
      <c r="K527" s="6">
        <f t="shared" si="51"/>
        <v>0</v>
      </c>
      <c r="L527" s="6">
        <f t="shared" si="52"/>
        <v>0</v>
      </c>
      <c r="M527" s="3" t="str" cm="1">
        <f t="array" ref="M527">INDEX(Types!A:A,1+BIN2DEC(MID($B527,20,2)))</f>
        <v>Control</v>
      </c>
      <c r="N527" s="3" t="str" cm="1">
        <f t="array" ref="N527">IF(M527="ALU",INDEX(ALUOps!A:A,1+BIN2DEC(MID($B527,22,5))),"")</f>
        <v/>
      </c>
      <c r="O527" s="3" t="str" cm="1">
        <f t="array" ref="O527">IF(M527="ALU",INDEX(TMP!A:A,1+BIN2DEC(MID($B527,27,2))),"")</f>
        <v/>
      </c>
      <c r="P527" s="6" t="str">
        <f t="shared" si="57"/>
        <v/>
      </c>
      <c r="Q527" t="str">
        <f t="shared" si="59"/>
        <v/>
      </c>
      <c r="R527" t="str">
        <f t="shared" si="60"/>
        <v/>
      </c>
      <c r="S527" cm="1">
        <f t="array" ref="S527">IF(M527="Control",INDEX(IC!A:A,1+BIN2DEC(MID($B527,21,4))),"")</f>
        <v>0</v>
      </c>
      <c r="T527" cm="1">
        <f t="array" ref="T527">IF(M527="Control",INDEX(EC!A:A,1+BIN2DEC(MID($B527,25,3))),"")</f>
        <v>0</v>
      </c>
      <c r="U527" cm="1">
        <f t="array" ref="U527">IF(M527="Control",INDEX(SR!A:A,1+BIN2DEC(MID($B527,28,2))),"")</f>
        <v>0</v>
      </c>
    </row>
    <row r="528" spans="1:30" x14ac:dyDescent="0.25">
      <c r="A528" s="4" t="str">
        <f t="shared" si="58"/>
        <v>20E</v>
      </c>
      <c r="B528" s="2" t="s">
        <v>514</v>
      </c>
      <c r="C528" s="3"/>
      <c r="D528" s="3"/>
      <c r="E528" s="3"/>
      <c r="F528" s="27" t="str" cm="1">
        <f t="array" ref="F528">INDEX(Sources!A:A, 1 + BIN2DEC(LEFT($B528,5)))</f>
        <v>SIGMA</v>
      </c>
      <c r="G528" s="27" t="str" cm="1">
        <f t="array" ref="G528">INDEX(Dest1!A:A,1+BIN2DEC(MID($B528,6,5)))</f>
        <v>UNK17</v>
      </c>
      <c r="H528" s="27" t="str" cm="1">
        <f t="array" ref="H528">INDEX(Source2!A:A,1+BIN2DEC(MID($B528,11,4)))</f>
        <v>9</v>
      </c>
      <c r="I528" s="23" cm="1">
        <f t="array" ref="I528">INDEX('D2'!A:A,1+BIN2DEC(MID($B528,16,2)))</f>
        <v>0</v>
      </c>
      <c r="J528" s="6">
        <f t="shared" si="55"/>
        <v>0</v>
      </c>
      <c r="K528" s="6">
        <f t="shared" si="51"/>
        <v>0</v>
      </c>
      <c r="L528" s="6">
        <f t="shared" si="52"/>
        <v>0</v>
      </c>
      <c r="M528" s="3" t="str" cm="1">
        <f t="array" ref="M528">INDEX(Types!A:A,1+BIN2DEC(MID($B528,20,2)))</f>
        <v>ALU</v>
      </c>
      <c r="N528" s="3" cm="1">
        <f t="array" ref="N528">IF(M528="ALU",INDEX(ALUOps!A:A,1+BIN2DEC(MID($B528,22,5))),"")</f>
        <v>0</v>
      </c>
      <c r="O528" s="3" cm="1">
        <f t="array" ref="O528">IF(M528="ALU",INDEX(TMP!A:A,1+BIN2DEC(MID($B528,27,2))),"")</f>
        <v>1</v>
      </c>
      <c r="P528" s="6">
        <f t="shared" si="57"/>
        <v>1</v>
      </c>
      <c r="Q528" t="str">
        <f t="shared" si="59"/>
        <v/>
      </c>
      <c r="R528" t="str">
        <f t="shared" si="60"/>
        <v/>
      </c>
      <c r="S528" t="str" cm="1">
        <f t="array" ref="S528">IF(M528="Control",INDEX(IC!A:A,1+BIN2DEC(MID($B528,21,4))),"")</f>
        <v/>
      </c>
      <c r="T528" t="str" cm="1">
        <f t="array" ref="T528">IF(M528="Control",INDEX(EC!A:A,1+BIN2DEC(MID($B528,25,3))),"")</f>
        <v/>
      </c>
      <c r="U528" t="str" cm="1">
        <f t="array" ref="U528">IF(M528="Control",INDEX(SR!A:A,1+BIN2DEC(MID($B528,28,2))),"")</f>
        <v/>
      </c>
    </row>
    <row r="529" spans="1:30" x14ac:dyDescent="0.25">
      <c r="A529" s="4" t="str">
        <f t="shared" si="58"/>
        <v>20F</v>
      </c>
      <c r="B529" s="2" t="s">
        <v>515</v>
      </c>
      <c r="C529" s="3"/>
      <c r="D529" s="3"/>
      <c r="E529" s="3"/>
      <c r="F529" s="27" t="str" cm="1">
        <f t="array" ref="F529">INDEX(Sources!A:A, 1 + BIN2DEC(LEFT($B529,5)))</f>
        <v>REG</v>
      </c>
      <c r="G529" s="27" t="str" cm="1">
        <f t="array" ref="G529">INDEX(Dest1!A:A,1+BIN2DEC(MID($B529,6,5)))</f>
        <v>LC</v>
      </c>
      <c r="H529" s="27" t="str" cm="1">
        <f t="array" ref="H529">INDEX(Source2!A:A,1+BIN2DEC(MID($B529,11,4)))</f>
        <v>13</v>
      </c>
      <c r="I529" s="23" t="str" cm="1">
        <f t="array" ref="I529">INDEX('D2'!A:A,1+BIN2DEC(MID($B529,16,2)))</f>
        <v>TMPB</v>
      </c>
      <c r="J529" s="6">
        <f t="shared" si="55"/>
        <v>0</v>
      </c>
      <c r="K529" s="6">
        <f t="shared" si="51"/>
        <v>0</v>
      </c>
      <c r="L529" s="6">
        <f t="shared" si="52"/>
        <v>0</v>
      </c>
      <c r="M529" s="3" t="str" cm="1">
        <f t="array" ref="M529">INDEX(Types!A:A,1+BIN2DEC(MID($B529,20,2)))</f>
        <v>Jump</v>
      </c>
      <c r="N529" s="3" t="str" cm="1">
        <f t="array" ref="N529">IF(M529="ALU",INDEX(ALUOps!A:A,1+BIN2DEC(MID($B529,22,5))),"")</f>
        <v/>
      </c>
      <c r="O529" s="3" t="str" cm="1">
        <f t="array" ref="O529">IF(M529="ALU",INDEX(TMP!A:A,1+BIN2DEC(MID($B529,27,2))),"")</f>
        <v/>
      </c>
      <c r="P529" s="6" t="str">
        <f t="shared" si="57"/>
        <v/>
      </c>
      <c r="Q529">
        <f t="shared" si="59"/>
        <v>11</v>
      </c>
      <c r="R529">
        <f t="shared" si="60"/>
        <v>5</v>
      </c>
      <c r="S529" t="str" cm="1">
        <f t="array" ref="S529">IF(M529="Control",INDEX(IC!A:A,1+BIN2DEC(MID($B529,21,4))),"")</f>
        <v/>
      </c>
      <c r="T529" t="str" cm="1">
        <f t="array" ref="T529">IF(M529="Control",INDEX(EC!A:A,1+BIN2DEC(MID($B529,25,3))),"")</f>
        <v/>
      </c>
      <c r="U529" t="str" cm="1">
        <f t="array" ref="U529">IF(M529="Control",INDEX(SR!A:A,1+BIN2DEC(MID($B529,28,2))),"")</f>
        <v/>
      </c>
    </row>
    <row r="530" spans="1:30" x14ac:dyDescent="0.25">
      <c r="A530" s="4" t="str">
        <f t="shared" si="58"/>
        <v>210</v>
      </c>
      <c r="B530" s="2" t="s">
        <v>368</v>
      </c>
      <c r="C530" s="2" t="s">
        <v>513</v>
      </c>
      <c r="D530" s="2" t="s">
        <v>931</v>
      </c>
      <c r="E530" s="2" t="s">
        <v>929</v>
      </c>
      <c r="F530" s="27" t="str" cm="1">
        <f t="array" ref="F530">INDEX(Sources!A:A, 1 + BIN2DEC(LEFT($B530,5)))</f>
        <v>REG</v>
      </c>
      <c r="G530" s="27" t="str" cm="1">
        <f t="array" ref="G530">INDEX(Dest1!A:A,1+BIN2DEC(MID($B530,6,5)))</f>
        <v>LC</v>
      </c>
      <c r="H530" s="27" t="str" cm="1">
        <f t="array" ref="H530">INDEX(Source2!A:A,1+BIN2DEC(MID($B530,11,4)))</f>
        <v>11</v>
      </c>
      <c r="I530" s="23" t="str" cm="1">
        <f t="array" ref="I530">INDEX('D2'!A:A,1+BIN2DEC(MID($B530,16,2)))</f>
        <v>TMPB</v>
      </c>
      <c r="J530" s="6">
        <f t="shared" si="55"/>
        <v>0</v>
      </c>
      <c r="K530" s="6">
        <f t="shared" si="51"/>
        <v>0</v>
      </c>
      <c r="L530" s="6">
        <f t="shared" si="52"/>
        <v>0</v>
      </c>
      <c r="M530" s="3" t="str" cm="1">
        <f t="array" ref="M530">INDEX(Types!A:A,1+BIN2DEC(MID($B530,20,2)))</f>
        <v>Control</v>
      </c>
      <c r="N530" s="3" t="str" cm="1">
        <f t="array" ref="N530">IF(M530="ALU",INDEX(ALUOps!A:A,1+BIN2DEC(MID($B530,22,5))),"")</f>
        <v/>
      </c>
      <c r="O530" s="3" t="str" cm="1">
        <f t="array" ref="O530">IF(M530="ALU",INDEX(TMP!A:A,1+BIN2DEC(MID($B530,27,2))),"")</f>
        <v/>
      </c>
      <c r="P530" s="6" t="str">
        <f t="shared" si="57"/>
        <v/>
      </c>
      <c r="Q530" t="str">
        <f t="shared" si="59"/>
        <v/>
      </c>
      <c r="R530" t="str">
        <f t="shared" si="60"/>
        <v/>
      </c>
      <c r="S530" cm="1">
        <f t="array" ref="S530">IF(M530="Control",INDEX(IC!A:A,1+BIN2DEC(MID($B530,21,4))),"")</f>
        <v>0</v>
      </c>
      <c r="T530" cm="1">
        <f t="array" ref="T530">IF(M530="Control",INDEX(EC!A:A,1+BIN2DEC(MID($B530,25,3))),"")</f>
        <v>0</v>
      </c>
      <c r="U530" cm="1">
        <f t="array" ref="U530">IF(M530="Control",INDEX(SR!A:A,1+BIN2DEC(MID($B530,28,2))),"")</f>
        <v>0</v>
      </c>
      <c r="AD530" s="1" t="s">
        <v>509</v>
      </c>
    </row>
    <row r="531" spans="1:30" x14ac:dyDescent="0.25">
      <c r="A531" s="4" t="str">
        <f t="shared" si="58"/>
        <v>211</v>
      </c>
      <c r="B531" s="2" t="s">
        <v>369</v>
      </c>
      <c r="C531" s="3"/>
      <c r="D531" s="3"/>
      <c r="E531" s="3"/>
      <c r="F531" s="27" t="str" cm="1">
        <f t="array" ref="F531">INDEX(Sources!A:A, 1 + BIN2DEC(LEFT($B531,5)))</f>
        <v>SIGMA</v>
      </c>
      <c r="G531" s="27" t="str" cm="1">
        <f t="array" ref="G531">INDEX(Dest1!A:A,1+BIN2DEC(MID($B531,6,5)))</f>
        <v>TMPA</v>
      </c>
      <c r="H531" s="27" t="str" cm="1">
        <f t="array" ref="H531">INDEX(Source2!A:A,1+BIN2DEC(MID($B531,11,4)))</f>
        <v>--</v>
      </c>
      <c r="I531" s="23" cm="1">
        <f t="array" ref="I531">INDEX('D2'!A:A,1+BIN2DEC(MID($B531,16,2)))</f>
        <v>0</v>
      </c>
      <c r="J531" s="6">
        <f t="shared" si="55"/>
        <v>0</v>
      </c>
      <c r="K531" s="6">
        <f t="shared" si="51"/>
        <v>0</v>
      </c>
      <c r="L531" s="6">
        <f t="shared" si="52"/>
        <v>0</v>
      </c>
      <c r="M531" s="3" t="str" cm="1">
        <f t="array" ref="M531">INDEX(Types!A:A,1+BIN2DEC(MID($B531,20,2)))</f>
        <v>ALU</v>
      </c>
      <c r="N531" s="3" cm="1">
        <f t="array" ref="N531">IF(M531="ALU",INDEX(ALUOps!A:A,1+BIN2DEC(MID($B531,22,5))),"")</f>
        <v>12</v>
      </c>
      <c r="O531" s="3" cm="1">
        <f t="array" ref="O531">IF(M531="ALU",INDEX(TMP!A:A,1+BIN2DEC(MID($B531,27,2))),"")</f>
        <v>1</v>
      </c>
      <c r="P531" s="6">
        <f t="shared" si="57"/>
        <v>0</v>
      </c>
      <c r="Q531" t="str">
        <f t="shared" si="59"/>
        <v/>
      </c>
      <c r="R531" t="str">
        <f t="shared" si="60"/>
        <v/>
      </c>
      <c r="S531" t="str" cm="1">
        <f t="array" ref="S531">IF(M531="Control",INDEX(IC!A:A,1+BIN2DEC(MID($B531,21,4))),"")</f>
        <v/>
      </c>
      <c r="T531" t="str" cm="1">
        <f t="array" ref="T531">IF(M531="Control",INDEX(EC!A:A,1+BIN2DEC(MID($B531,25,3))),"")</f>
        <v/>
      </c>
      <c r="U531" t="str" cm="1">
        <f t="array" ref="U531">IF(M531="Control",INDEX(SR!A:A,1+BIN2DEC(MID($B531,28,2))),"")</f>
        <v/>
      </c>
    </row>
    <row r="532" spans="1:30" x14ac:dyDescent="0.25">
      <c r="A532" s="4" t="str">
        <f t="shared" si="58"/>
        <v>212</v>
      </c>
      <c r="B532" s="2" t="s">
        <v>517</v>
      </c>
      <c r="C532" s="3"/>
      <c r="D532" s="3"/>
      <c r="E532" s="3"/>
      <c r="F532" s="27" t="str" cm="1">
        <f t="array" ref="F532">INDEX(Sources!A:A, 1 + BIN2DEC(LEFT($B532,5)))</f>
        <v>TMPA</v>
      </c>
      <c r="G532" s="27" t="str" cm="1">
        <f t="array" ref="G532">INDEX(Dest1!A:A,1+BIN2DEC(MID($B532,6,5)))</f>
        <v>UNK17</v>
      </c>
      <c r="H532" s="27" t="str" cm="1">
        <f t="array" ref="H532">INDEX(Source2!A:A,1+BIN2DEC(MID($B532,11,4)))</f>
        <v>--</v>
      </c>
      <c r="I532" s="23" cm="1">
        <f t="array" ref="I532">INDEX('D2'!A:A,1+BIN2DEC(MID($B532,16,2)))</f>
        <v>0</v>
      </c>
      <c r="J532" s="6">
        <f t="shared" si="55"/>
        <v>0</v>
      </c>
      <c r="K532" s="6">
        <f t="shared" si="51"/>
        <v>0</v>
      </c>
      <c r="L532" s="6">
        <f t="shared" si="52"/>
        <v>0</v>
      </c>
      <c r="M532" s="3" t="str" cm="1">
        <f t="array" ref="M532">INDEX(Types!A:A,1+BIN2DEC(MID($B532,20,2)))</f>
        <v>Jump</v>
      </c>
      <c r="N532" s="3" t="str" cm="1">
        <f t="array" ref="N532">IF(M532="ALU",INDEX(ALUOps!A:A,1+BIN2DEC(MID($B532,22,5))),"")</f>
        <v/>
      </c>
      <c r="O532" s="3" t="str" cm="1">
        <f t="array" ref="O532">IF(M532="ALU",INDEX(TMP!A:A,1+BIN2DEC(MID($B532,27,2))),"")</f>
        <v/>
      </c>
      <c r="P532" s="6" t="str">
        <f t="shared" si="57"/>
        <v/>
      </c>
      <c r="Q532">
        <f t="shared" si="59"/>
        <v>6</v>
      </c>
      <c r="R532">
        <f t="shared" si="60"/>
        <v>12</v>
      </c>
      <c r="S532" t="str" cm="1">
        <f t="array" ref="S532">IF(M532="Control",INDEX(IC!A:A,1+BIN2DEC(MID($B532,21,4))),"")</f>
        <v/>
      </c>
      <c r="T532" t="str" cm="1">
        <f t="array" ref="T532">IF(M532="Control",INDEX(EC!A:A,1+BIN2DEC(MID($B532,25,3))),"")</f>
        <v/>
      </c>
      <c r="U532" t="str" cm="1">
        <f t="array" ref="U532">IF(M532="Control",INDEX(SR!A:A,1+BIN2DEC(MID($B532,28,2))),"")</f>
        <v/>
      </c>
    </row>
    <row r="533" spans="1:30" x14ac:dyDescent="0.25">
      <c r="A533" s="4" t="str">
        <f t="shared" si="58"/>
        <v>213</v>
      </c>
      <c r="B533" s="2" t="s">
        <v>518</v>
      </c>
      <c r="C533" s="3"/>
      <c r="D533" s="3"/>
      <c r="E533" s="3"/>
      <c r="F533" s="27" t="str" cm="1">
        <f t="array" ref="F533">INDEX(Sources!A:A, 1 + BIN2DEC(LEFT($B533,5)))</f>
        <v>--</v>
      </c>
      <c r="G533" s="27" t="str" cm="1">
        <f t="array" ref="G533">INDEX(Dest1!A:A,1+BIN2DEC(MID($B533,6,5)))</f>
        <v>--</v>
      </c>
      <c r="H533" s="27" t="str" cm="1">
        <f t="array" ref="H533">INDEX(Source2!A:A,1+BIN2DEC(MID($B533,11,4)))</f>
        <v>--</v>
      </c>
      <c r="I533" s="23" cm="1">
        <f t="array" ref="I533">INDEX('D2'!A:A,1+BIN2DEC(MID($B533,16,2)))</f>
        <v>0</v>
      </c>
      <c r="J533" s="6">
        <f t="shared" si="55"/>
        <v>0</v>
      </c>
      <c r="K533" s="6">
        <f t="shared" si="51"/>
        <v>0</v>
      </c>
      <c r="L533" s="6">
        <f t="shared" si="52"/>
        <v>0</v>
      </c>
      <c r="M533" s="3" t="str" cm="1">
        <f t="array" ref="M533">INDEX(Types!A:A,1+BIN2DEC(MID($B533,20,2)))</f>
        <v>ALU</v>
      </c>
      <c r="N533" s="3" cm="1">
        <f t="array" ref="N533">IF(M533="ALU",INDEX(ALUOps!A:A,1+BIN2DEC(MID($B533,22,5))),"")</f>
        <v>4</v>
      </c>
      <c r="O533" s="3" cm="1">
        <f t="array" ref="O533">IF(M533="ALU",INDEX(TMP!A:A,1+BIN2DEC(MID($B533,27,2))),"")</f>
        <v>3</v>
      </c>
      <c r="P533" s="6">
        <f t="shared" si="57"/>
        <v>1</v>
      </c>
      <c r="Q533" t="str">
        <f t="shared" si="59"/>
        <v/>
      </c>
      <c r="R533" t="str">
        <f t="shared" si="60"/>
        <v/>
      </c>
      <c r="S533" t="str" cm="1">
        <f t="array" ref="S533">IF(M533="Control",INDEX(IC!A:A,1+BIN2DEC(MID($B533,21,4))),"")</f>
        <v/>
      </c>
      <c r="T533" t="str" cm="1">
        <f t="array" ref="T533">IF(M533="Control",INDEX(EC!A:A,1+BIN2DEC(MID($B533,25,3))),"")</f>
        <v/>
      </c>
      <c r="U533" t="str" cm="1">
        <f t="array" ref="U533">IF(M533="Control",INDEX(SR!A:A,1+BIN2DEC(MID($B533,28,2))),"")</f>
        <v/>
      </c>
    </row>
    <row r="534" spans="1:30" x14ac:dyDescent="0.25">
      <c r="A534" s="4" t="str">
        <f t="shared" si="58"/>
        <v>214</v>
      </c>
      <c r="B534" s="2" t="s">
        <v>409</v>
      </c>
      <c r="C534" s="2" t="s">
        <v>516</v>
      </c>
      <c r="D534" s="2" t="s">
        <v>931</v>
      </c>
      <c r="E534" s="2" t="s">
        <v>488</v>
      </c>
      <c r="F534" s="27" t="str" cm="1">
        <f t="array" ref="F534">INDEX(Sources!A:A, 1 + BIN2DEC(LEFT($B534,5)))</f>
        <v>SIGMA</v>
      </c>
      <c r="G534" s="27" t="str" cm="1">
        <f t="array" ref="G534">INDEX(Dest1!A:A,1+BIN2DEC(MID($B534,6,5)))</f>
        <v>TMPB</v>
      </c>
      <c r="H534" s="27" t="str" cm="1">
        <f t="array" ref="H534">INDEX(Source2!A:A,1+BIN2DEC(MID($B534,11,4)))</f>
        <v>--</v>
      </c>
      <c r="I534" s="23" cm="1">
        <f t="array" ref="I534">INDEX('D2'!A:A,1+BIN2DEC(MID($B534,16,2)))</f>
        <v>0</v>
      </c>
      <c r="J534" s="6">
        <f t="shared" si="55"/>
        <v>0</v>
      </c>
      <c r="K534" s="6">
        <f t="shared" si="51"/>
        <v>1</v>
      </c>
      <c r="L534" s="6">
        <f t="shared" si="52"/>
        <v>0</v>
      </c>
      <c r="M534" s="3" t="str" cm="1">
        <f t="array" ref="M534">INDEX(Types!A:A,1+BIN2DEC(MID($B534,20,2)))</f>
        <v>ALU</v>
      </c>
      <c r="N534" s="3" cm="1">
        <f t="array" ref="N534">IF(M534="ALU",INDEX(ALUOps!A:A,1+BIN2DEC(MID($B534,22,5))),"")</f>
        <v>4</v>
      </c>
      <c r="O534" s="3" cm="1">
        <f t="array" ref="O534">IF(M534="ALU",INDEX(TMP!A:A,1+BIN2DEC(MID($B534,27,2))),"")</f>
        <v>2</v>
      </c>
      <c r="P534" s="6">
        <f t="shared" si="57"/>
        <v>1</v>
      </c>
      <c r="Q534" t="str">
        <f t="shared" si="59"/>
        <v/>
      </c>
      <c r="R534" t="str">
        <f t="shared" si="60"/>
        <v/>
      </c>
      <c r="S534" t="str" cm="1">
        <f t="array" ref="S534">IF(M534="Control",INDEX(IC!A:A,1+BIN2DEC(MID($B534,21,4))),"")</f>
        <v/>
      </c>
      <c r="T534" t="str" cm="1">
        <f t="array" ref="T534">IF(M534="Control",INDEX(EC!A:A,1+BIN2DEC(MID($B534,25,3))),"")</f>
        <v/>
      </c>
      <c r="U534" t="str" cm="1">
        <f t="array" ref="U534">IF(M534="Control",INDEX(SR!A:A,1+BIN2DEC(MID($B534,28,2))),"")</f>
        <v/>
      </c>
      <c r="AD534" s="1" t="s">
        <v>509</v>
      </c>
    </row>
    <row r="535" spans="1:30" x14ac:dyDescent="0.25">
      <c r="A535" s="4" t="str">
        <f t="shared" si="58"/>
        <v>215</v>
      </c>
      <c r="B535" s="2" t="s">
        <v>521</v>
      </c>
      <c r="C535" s="3"/>
      <c r="D535" s="3"/>
      <c r="E535" s="3"/>
      <c r="F535" s="27" t="str" cm="1">
        <f t="array" ref="F535">INDEX(Sources!A:A, 1 + BIN2DEC(LEFT($B535,5)))</f>
        <v>--</v>
      </c>
      <c r="G535" s="27" t="str" cm="1">
        <f t="array" ref="G535">INDEX(Dest1!A:A,1+BIN2DEC(MID($B535,6,5)))</f>
        <v>--</v>
      </c>
      <c r="H535" s="27" t="str" cm="1">
        <f t="array" ref="H535">INDEX(Source2!A:A,1+BIN2DEC(MID($B535,11,4)))</f>
        <v>--</v>
      </c>
      <c r="I535" s="23" cm="1">
        <f t="array" ref="I535">INDEX('D2'!A:A,1+BIN2DEC(MID($B535,16,2)))</f>
        <v>0</v>
      </c>
      <c r="J535" s="6">
        <f t="shared" si="55"/>
        <v>0</v>
      </c>
      <c r="K535" s="6">
        <f t="shared" si="51"/>
        <v>0</v>
      </c>
      <c r="L535" s="6">
        <f t="shared" si="52"/>
        <v>0</v>
      </c>
      <c r="M535" s="3" t="str" cm="1">
        <f t="array" ref="M535">INDEX(Types!A:A,1+BIN2DEC(MID($B535,20,2)))</f>
        <v>Jump</v>
      </c>
      <c r="N535" s="3" t="str" cm="1">
        <f t="array" ref="N535">IF(M535="ALU",INDEX(ALUOps!A:A,1+BIN2DEC(MID($B535,22,5))),"")</f>
        <v/>
      </c>
      <c r="O535" s="3" t="str" cm="1">
        <f t="array" ref="O535">IF(M535="ALU",INDEX(TMP!A:A,1+BIN2DEC(MID($B535,27,2))),"")</f>
        <v/>
      </c>
      <c r="P535" s="6" t="str">
        <f t="shared" si="57"/>
        <v/>
      </c>
      <c r="Q535">
        <f t="shared" si="59"/>
        <v>14</v>
      </c>
      <c r="R535">
        <f t="shared" si="60"/>
        <v>11</v>
      </c>
      <c r="S535" t="str" cm="1">
        <f t="array" ref="S535">IF(M535="Control",INDEX(IC!A:A,1+BIN2DEC(MID($B535,21,4))),"")</f>
        <v/>
      </c>
      <c r="T535" t="str" cm="1">
        <f t="array" ref="T535">IF(M535="Control",INDEX(EC!A:A,1+BIN2DEC(MID($B535,25,3))),"")</f>
        <v/>
      </c>
      <c r="U535" t="str" cm="1">
        <f t="array" ref="U535">IF(M535="Control",INDEX(SR!A:A,1+BIN2DEC(MID($B535,28,2))),"")</f>
        <v/>
      </c>
    </row>
    <row r="536" spans="1:30" x14ac:dyDescent="0.25">
      <c r="A536" s="4" t="str">
        <f t="shared" si="58"/>
        <v>216</v>
      </c>
      <c r="B536" s="2" t="s">
        <v>411</v>
      </c>
      <c r="C536" s="3"/>
      <c r="D536" s="3"/>
      <c r="E536" s="3"/>
      <c r="F536" s="27" t="str" cm="1">
        <f t="array" ref="F536">INDEX(Sources!A:A, 1 + BIN2DEC(LEFT($B536,5)))</f>
        <v>--</v>
      </c>
      <c r="G536" s="27" t="str" cm="1">
        <f t="array" ref="G536">INDEX(Dest1!A:A,1+BIN2DEC(MID($B536,6,5)))</f>
        <v>--</v>
      </c>
      <c r="H536" s="27" t="str" cm="1">
        <f t="array" ref="H536">INDEX(Source2!A:A,1+BIN2DEC(MID($B536,11,4)))</f>
        <v>--</v>
      </c>
      <c r="I536" s="23" cm="1">
        <f t="array" ref="I536">INDEX('D2'!A:A,1+BIN2DEC(MID($B536,16,2)))</f>
        <v>0</v>
      </c>
      <c r="J536" s="6">
        <f t="shared" si="55"/>
        <v>0</v>
      </c>
      <c r="K536" s="6">
        <f t="shared" si="51"/>
        <v>0</v>
      </c>
      <c r="L536" s="6">
        <f t="shared" si="52"/>
        <v>0</v>
      </c>
      <c r="M536" s="3" t="str" cm="1">
        <f t="array" ref="M536">INDEX(Types!A:A,1+BIN2DEC(MID($B536,20,2)))</f>
        <v>ALU</v>
      </c>
      <c r="N536" s="3" cm="1">
        <f t="array" ref="N536">IF(M536="ALU",INDEX(ALUOps!A:A,1+BIN2DEC(MID($B536,22,5))),"")</f>
        <v>5</v>
      </c>
      <c r="O536" s="3" cm="1">
        <f t="array" ref="O536">IF(M536="ALU",INDEX(TMP!A:A,1+BIN2DEC(MID($B536,27,2))),"")</f>
        <v>2</v>
      </c>
      <c r="P536" s="6">
        <f t="shared" si="57"/>
        <v>1</v>
      </c>
      <c r="Q536" t="str">
        <f t="shared" si="59"/>
        <v/>
      </c>
      <c r="R536" t="str">
        <f t="shared" si="60"/>
        <v/>
      </c>
      <c r="S536" t="str" cm="1">
        <f t="array" ref="S536">IF(M536="Control",INDEX(IC!A:A,1+BIN2DEC(MID($B536,21,4))),"")</f>
        <v/>
      </c>
      <c r="T536" t="str" cm="1">
        <f t="array" ref="T536">IF(M536="Control",INDEX(EC!A:A,1+BIN2DEC(MID($B536,25,3))),"")</f>
        <v/>
      </c>
      <c r="U536" t="str" cm="1">
        <f t="array" ref="U536">IF(M536="Control",INDEX(SR!A:A,1+BIN2DEC(MID($B536,28,2))),"")</f>
        <v/>
      </c>
    </row>
    <row r="537" spans="1:30" x14ac:dyDescent="0.25">
      <c r="A537" s="4" t="str">
        <f t="shared" si="58"/>
        <v>217</v>
      </c>
      <c r="B537" s="2" t="s">
        <v>522</v>
      </c>
      <c r="C537" s="3"/>
      <c r="D537" s="3"/>
      <c r="E537" s="3"/>
      <c r="F537" s="27" t="str" cm="1">
        <f t="array" ref="F537">INDEX(Sources!A:A, 1 + BIN2DEC(LEFT($B537,5)))</f>
        <v>SIGMA</v>
      </c>
      <c r="G537" s="27" t="str" cm="1">
        <f t="array" ref="G537">INDEX(Dest1!A:A,1+BIN2DEC(MID($B537,6,5)))</f>
        <v>UNK17</v>
      </c>
      <c r="H537" s="27" t="str" cm="1">
        <f t="array" ref="H537">INDEX(Source2!A:A,1+BIN2DEC(MID($B537,11,4)))</f>
        <v>11</v>
      </c>
      <c r="I537" s="23" cm="1">
        <f t="array" ref="I537">INDEX('D2'!A:A,1+BIN2DEC(MID($B537,16,2)))</f>
        <v>0</v>
      </c>
      <c r="J537" s="6">
        <f t="shared" si="55"/>
        <v>0</v>
      </c>
      <c r="K537" s="6">
        <f t="shared" si="51"/>
        <v>0</v>
      </c>
      <c r="L537" s="6">
        <f t="shared" si="52"/>
        <v>0</v>
      </c>
      <c r="M537" s="3" t="str" cm="1">
        <f t="array" ref="M537">INDEX(Types!A:A,1+BIN2DEC(MID($B537,20,2)))</f>
        <v>Control</v>
      </c>
      <c r="N537" s="3" t="str" cm="1">
        <f t="array" ref="N537">IF(M537="ALU",INDEX(ALUOps!A:A,1+BIN2DEC(MID($B537,22,5))),"")</f>
        <v/>
      </c>
      <c r="O537" s="3" t="str" cm="1">
        <f t="array" ref="O537">IF(M537="ALU",INDEX(TMP!A:A,1+BIN2DEC(MID($B537,27,2))),"")</f>
        <v/>
      </c>
      <c r="P537" s="6" t="str">
        <f t="shared" si="57"/>
        <v/>
      </c>
      <c r="Q537" t="str">
        <f t="shared" si="59"/>
        <v/>
      </c>
      <c r="R537" t="str">
        <f t="shared" si="60"/>
        <v/>
      </c>
      <c r="S537" cm="1">
        <f t="array" ref="S537">IF(M537="Control",INDEX(IC!A:A,1+BIN2DEC(MID($B537,21,4))),"")</f>
        <v>0</v>
      </c>
      <c r="T537" cm="1">
        <f t="array" ref="T537">IF(M537="Control",INDEX(EC!A:A,1+BIN2DEC(MID($B537,25,3))),"")</f>
        <v>0</v>
      </c>
      <c r="U537" cm="1">
        <f t="array" ref="U537">IF(M537="Control",INDEX(SR!A:A,1+BIN2DEC(MID($B537,28,2))),"")</f>
        <v>0</v>
      </c>
    </row>
    <row r="538" spans="1:30" x14ac:dyDescent="0.25">
      <c r="A538" s="4" t="str">
        <f t="shared" si="58"/>
        <v>218</v>
      </c>
      <c r="B538" s="2" t="s">
        <v>523</v>
      </c>
      <c r="C538" s="2" t="s">
        <v>519</v>
      </c>
      <c r="D538" s="2" t="s">
        <v>931</v>
      </c>
      <c r="E538" s="2" t="s">
        <v>462</v>
      </c>
      <c r="F538" s="27" t="str" cm="1">
        <f t="array" ref="F538">INDEX(Sources!A:A, 1 + BIN2DEC(LEFT($B538,5)))</f>
        <v>TMPB</v>
      </c>
      <c r="G538" s="27" t="str" cm="1">
        <f t="array" ref="G538">INDEX(Dest1!A:A,1+BIN2DEC(MID($B538,6,5)))</f>
        <v>UNK23</v>
      </c>
      <c r="H538" s="27" t="str" cm="1">
        <f t="array" ref="H538">INDEX(Source2!A:A,1+BIN2DEC(MID($B538,11,4)))</f>
        <v>--</v>
      </c>
      <c r="I538" s="23" cm="1">
        <f t="array" ref="I538">INDEX('D2'!A:A,1+BIN2DEC(MID($B538,16,2)))</f>
        <v>0</v>
      </c>
      <c r="J538" s="6">
        <f t="shared" si="55"/>
        <v>0</v>
      </c>
      <c r="K538" s="6">
        <f t="shared" si="51"/>
        <v>0</v>
      </c>
      <c r="L538" s="6">
        <f t="shared" si="52"/>
        <v>0</v>
      </c>
      <c r="M538" s="3" t="str" cm="1">
        <f t="array" ref="M538">INDEX(Types!A:A,1+BIN2DEC(MID($B538,20,2)))</f>
        <v>Control</v>
      </c>
      <c r="N538" s="3" t="str" cm="1">
        <f t="array" ref="N538">IF(M538="ALU",INDEX(ALUOps!A:A,1+BIN2DEC(MID($B538,22,5))),"")</f>
        <v/>
      </c>
      <c r="O538" s="3" t="str" cm="1">
        <f t="array" ref="O538">IF(M538="ALU",INDEX(TMP!A:A,1+BIN2DEC(MID($B538,27,2))),"")</f>
        <v/>
      </c>
      <c r="P538" s="6" t="str">
        <f t="shared" si="57"/>
        <v/>
      </c>
      <c r="Q538" t="str">
        <f t="shared" si="59"/>
        <v/>
      </c>
      <c r="R538" t="str">
        <f t="shared" si="60"/>
        <v/>
      </c>
      <c r="S538" cm="1">
        <f t="array" ref="S538">IF(M538="Control",INDEX(IC!A:A,1+BIN2DEC(MID($B538,21,4))),"")</f>
        <v>1</v>
      </c>
      <c r="T538" cm="1">
        <f t="array" ref="T538">IF(M538="Control",INDEX(EC!A:A,1+BIN2DEC(MID($B538,25,3))),"")</f>
        <v>6</v>
      </c>
      <c r="U538" cm="1">
        <f t="array" ref="U538">IF(M538="Control",INDEX(SR!A:A,1+BIN2DEC(MID($B538,28,2))),"")</f>
        <v>3</v>
      </c>
      <c r="AD538" s="1" t="s">
        <v>520</v>
      </c>
    </row>
    <row r="539" spans="1:30" x14ac:dyDescent="0.25">
      <c r="A539" s="4" t="str">
        <f t="shared" si="58"/>
        <v>219</v>
      </c>
      <c r="B539" s="2" t="s">
        <v>4</v>
      </c>
      <c r="C539" s="3"/>
      <c r="D539" s="3"/>
      <c r="E539" s="3"/>
      <c r="F539" s="27" t="str" cm="1">
        <f t="array" ref="F539">INDEX(Sources!A:A, 1 + BIN2DEC(LEFT($B539,5)))</f>
        <v>--</v>
      </c>
      <c r="G539" s="27" t="str" cm="1">
        <f t="array" ref="G539">INDEX(Dest1!A:A,1+BIN2DEC(MID($B539,6,5)))</f>
        <v>--</v>
      </c>
      <c r="H539" s="27" t="str" cm="1">
        <f t="array" ref="H539">INDEX(Source2!A:A,1+BIN2DEC(MID($B539,11,4)))</f>
        <v>--</v>
      </c>
      <c r="I539" s="23" cm="1">
        <f t="array" ref="I539">INDEX('D2'!A:A,1+BIN2DEC(MID($B539,16,2)))</f>
        <v>0</v>
      </c>
      <c r="J539" s="6">
        <f t="shared" si="55"/>
        <v>0</v>
      </c>
      <c r="K539" s="6">
        <f t="shared" si="51"/>
        <v>0</v>
      </c>
      <c r="L539" s="6">
        <f t="shared" si="52"/>
        <v>0</v>
      </c>
      <c r="M539" s="3" t="str" cm="1">
        <f t="array" ref="M539">INDEX(Types!A:A,1+BIN2DEC(MID($B539,20,2)))</f>
        <v>Control</v>
      </c>
      <c r="N539" s="3" t="str" cm="1">
        <f t="array" ref="N539">IF(M539="ALU",INDEX(ALUOps!A:A,1+BIN2DEC(MID($B539,22,5))),"")</f>
        <v/>
      </c>
      <c r="O539" s="3" t="str" cm="1">
        <f t="array" ref="O539">IF(M539="ALU",INDEX(TMP!A:A,1+BIN2DEC(MID($B539,27,2))),"")</f>
        <v/>
      </c>
      <c r="P539" s="6" t="str">
        <f t="shared" si="57"/>
        <v/>
      </c>
      <c r="Q539" t="str">
        <f t="shared" si="59"/>
        <v/>
      </c>
      <c r="R539" t="str">
        <f t="shared" si="60"/>
        <v/>
      </c>
      <c r="S539" cm="1">
        <f t="array" ref="S539">IF(M539="Control",INDEX(IC!A:A,1+BIN2DEC(MID($B539,21,4))),"")</f>
        <v>0</v>
      </c>
      <c r="T539" cm="1">
        <f t="array" ref="T539">IF(M539="Control",INDEX(EC!A:A,1+BIN2DEC(MID($B539,25,3))),"")</f>
        <v>0</v>
      </c>
      <c r="U539" cm="1">
        <f t="array" ref="U539">IF(M539="Control",INDEX(SR!A:A,1+BIN2DEC(MID($B539,28,2))),"")</f>
        <v>0</v>
      </c>
    </row>
    <row r="540" spans="1:30" x14ac:dyDescent="0.25">
      <c r="A540" s="4" t="str">
        <f t="shared" si="58"/>
        <v>21A</v>
      </c>
      <c r="B540" s="2" t="s">
        <v>4</v>
      </c>
      <c r="C540" s="3"/>
      <c r="D540" s="3"/>
      <c r="E540" s="3"/>
      <c r="F540" s="27" t="str" cm="1">
        <f t="array" ref="F540">INDEX(Sources!A:A, 1 + BIN2DEC(LEFT($B540,5)))</f>
        <v>--</v>
      </c>
      <c r="G540" s="27" t="str" cm="1">
        <f t="array" ref="G540">INDEX(Dest1!A:A,1+BIN2DEC(MID($B540,6,5)))</f>
        <v>--</v>
      </c>
      <c r="H540" s="27" t="str" cm="1">
        <f t="array" ref="H540">INDEX(Source2!A:A,1+BIN2DEC(MID($B540,11,4)))</f>
        <v>--</v>
      </c>
      <c r="I540" s="23" cm="1">
        <f t="array" ref="I540">INDEX('D2'!A:A,1+BIN2DEC(MID($B540,16,2)))</f>
        <v>0</v>
      </c>
      <c r="J540" s="6">
        <f t="shared" si="55"/>
        <v>0</v>
      </c>
      <c r="K540" s="6">
        <f t="shared" si="51"/>
        <v>0</v>
      </c>
      <c r="L540" s="6">
        <f t="shared" si="52"/>
        <v>0</v>
      </c>
      <c r="M540" s="3" t="str" cm="1">
        <f t="array" ref="M540">INDEX(Types!A:A,1+BIN2DEC(MID($B540,20,2)))</f>
        <v>Control</v>
      </c>
      <c r="N540" s="3" t="str" cm="1">
        <f t="array" ref="N540">IF(M540="ALU",INDEX(ALUOps!A:A,1+BIN2DEC(MID($B540,22,5))),"")</f>
        <v/>
      </c>
      <c r="O540" s="3" t="str" cm="1">
        <f t="array" ref="O540">IF(M540="ALU",INDEX(TMP!A:A,1+BIN2DEC(MID($B540,27,2))),"")</f>
        <v/>
      </c>
      <c r="P540" s="6" t="str">
        <f t="shared" si="57"/>
        <v/>
      </c>
      <c r="Q540" t="str">
        <f t="shared" si="59"/>
        <v/>
      </c>
      <c r="R540" t="str">
        <f t="shared" si="60"/>
        <v/>
      </c>
      <c r="S540" cm="1">
        <f t="array" ref="S540">IF(M540="Control",INDEX(IC!A:A,1+BIN2DEC(MID($B540,21,4))),"")</f>
        <v>0</v>
      </c>
      <c r="T540" cm="1">
        <f t="array" ref="T540">IF(M540="Control",INDEX(EC!A:A,1+BIN2DEC(MID($B540,25,3))),"")</f>
        <v>0</v>
      </c>
      <c r="U540" cm="1">
        <f t="array" ref="U540">IF(M540="Control",INDEX(SR!A:A,1+BIN2DEC(MID($B540,28,2))),"")</f>
        <v>0</v>
      </c>
    </row>
    <row r="541" spans="1:30" x14ac:dyDescent="0.25">
      <c r="A541" s="4" t="str">
        <f t="shared" si="58"/>
        <v>21B</v>
      </c>
      <c r="B541" s="2" t="s">
        <v>4</v>
      </c>
      <c r="C541" s="3"/>
      <c r="D541" s="3"/>
      <c r="E541" s="3"/>
      <c r="F541" s="27" t="str" cm="1">
        <f t="array" ref="F541">INDEX(Sources!A:A, 1 + BIN2DEC(LEFT($B541,5)))</f>
        <v>--</v>
      </c>
      <c r="G541" s="27" t="str" cm="1">
        <f t="array" ref="G541">INDEX(Dest1!A:A,1+BIN2DEC(MID($B541,6,5)))</f>
        <v>--</v>
      </c>
      <c r="H541" s="27" t="str" cm="1">
        <f t="array" ref="H541">INDEX(Source2!A:A,1+BIN2DEC(MID($B541,11,4)))</f>
        <v>--</v>
      </c>
      <c r="I541" s="23" cm="1">
        <f t="array" ref="I541">INDEX('D2'!A:A,1+BIN2DEC(MID($B541,16,2)))</f>
        <v>0</v>
      </c>
      <c r="J541" s="6">
        <f t="shared" si="55"/>
        <v>0</v>
      </c>
      <c r="K541" s="6">
        <f t="shared" si="51"/>
        <v>0</v>
      </c>
      <c r="L541" s="6">
        <f t="shared" si="52"/>
        <v>0</v>
      </c>
      <c r="M541" s="3" t="str" cm="1">
        <f t="array" ref="M541">INDEX(Types!A:A,1+BIN2DEC(MID($B541,20,2)))</f>
        <v>Control</v>
      </c>
      <c r="N541" s="3" t="str" cm="1">
        <f t="array" ref="N541">IF(M541="ALU",INDEX(ALUOps!A:A,1+BIN2DEC(MID($B541,22,5))),"")</f>
        <v/>
      </c>
      <c r="O541" s="3" t="str" cm="1">
        <f t="array" ref="O541">IF(M541="ALU",INDEX(TMP!A:A,1+BIN2DEC(MID($B541,27,2))),"")</f>
        <v/>
      </c>
      <c r="P541" s="6" t="str">
        <f t="shared" si="57"/>
        <v/>
      </c>
      <c r="Q541" t="str">
        <f t="shared" si="59"/>
        <v/>
      </c>
      <c r="R541" t="str">
        <f t="shared" si="60"/>
        <v/>
      </c>
      <c r="S541" cm="1">
        <f t="array" ref="S541">IF(M541="Control",INDEX(IC!A:A,1+BIN2DEC(MID($B541,21,4))),"")</f>
        <v>0</v>
      </c>
      <c r="T541" cm="1">
        <f t="array" ref="T541">IF(M541="Control",INDEX(EC!A:A,1+BIN2DEC(MID($B541,25,3))),"")</f>
        <v>0</v>
      </c>
      <c r="U541" cm="1">
        <f t="array" ref="U541">IF(M541="Control",INDEX(SR!A:A,1+BIN2DEC(MID($B541,28,2))),"")</f>
        <v>0</v>
      </c>
    </row>
    <row r="542" spans="1:30" x14ac:dyDescent="0.25">
      <c r="A542" s="4" t="str">
        <f t="shared" si="58"/>
        <v>21C</v>
      </c>
      <c r="B542" s="2" t="s">
        <v>526</v>
      </c>
      <c r="C542" s="2" t="s">
        <v>524</v>
      </c>
      <c r="D542" s="2" t="s">
        <v>931</v>
      </c>
      <c r="E542" s="2" t="s">
        <v>933</v>
      </c>
      <c r="F542" s="27" t="str" cm="1">
        <f t="array" ref="F542">INDEX(Sources!A:A, 1 + BIN2DEC(LEFT($B542,5)))</f>
        <v>TMPB</v>
      </c>
      <c r="G542" s="27" t="str" cm="1">
        <f t="array" ref="G542">INDEX(Dest1!A:A,1+BIN2DEC(MID($B542,6,5)))</f>
        <v>REG</v>
      </c>
      <c r="H542" s="27" t="str" cm="1">
        <f t="array" ref="H542">INDEX(Source2!A:A,1+BIN2DEC(MID($B542,11,4)))</f>
        <v>--</v>
      </c>
      <c r="I542" s="23" cm="1">
        <f t="array" ref="I542">INDEX('D2'!A:A,1+BIN2DEC(MID($B542,16,2)))</f>
        <v>0</v>
      </c>
      <c r="J542" s="6">
        <f t="shared" si="55"/>
        <v>0</v>
      </c>
      <c r="K542" s="6">
        <f t="shared" si="51"/>
        <v>0</v>
      </c>
      <c r="L542" s="6">
        <f t="shared" si="52"/>
        <v>0</v>
      </c>
      <c r="M542" s="3" t="str" cm="1">
        <f t="array" ref="M542">INDEX(Types!A:A,1+BIN2DEC(MID($B542,20,2)))</f>
        <v>Control</v>
      </c>
      <c r="N542" s="3" t="str" cm="1">
        <f t="array" ref="N542">IF(M542="ALU",INDEX(ALUOps!A:A,1+BIN2DEC(MID($B542,22,5))),"")</f>
        <v/>
      </c>
      <c r="O542" s="3" t="str" cm="1">
        <f t="array" ref="O542">IF(M542="ALU",INDEX(TMP!A:A,1+BIN2DEC(MID($B542,27,2))),"")</f>
        <v/>
      </c>
      <c r="P542" s="6" t="str">
        <f t="shared" si="57"/>
        <v/>
      </c>
      <c r="Q542" t="str">
        <f t="shared" si="59"/>
        <v/>
      </c>
      <c r="R542" t="str">
        <f t="shared" si="60"/>
        <v/>
      </c>
      <c r="S542" cm="1">
        <f t="array" ref="S542">IF(M542="Control",INDEX(IC!A:A,1+BIN2DEC(MID($B542,21,4))),"")</f>
        <v>1</v>
      </c>
      <c r="T542" cm="1">
        <f t="array" ref="T542">IF(M542="Control",INDEX(EC!A:A,1+BIN2DEC(MID($B542,25,3))),"")</f>
        <v>6</v>
      </c>
      <c r="U542" cm="1">
        <f t="array" ref="U542">IF(M542="Control",INDEX(SR!A:A,1+BIN2DEC(MID($B542,28,2))),"")</f>
        <v>3</v>
      </c>
      <c r="AD542" s="1" t="s">
        <v>525</v>
      </c>
    </row>
    <row r="543" spans="1:30" x14ac:dyDescent="0.25">
      <c r="A543" s="4" t="str">
        <f t="shared" si="58"/>
        <v>21D</v>
      </c>
      <c r="B543" s="2" t="s">
        <v>4</v>
      </c>
      <c r="C543" s="3"/>
      <c r="D543" s="3"/>
      <c r="E543" s="3"/>
      <c r="F543" s="27" t="str" cm="1">
        <f t="array" ref="F543">INDEX(Sources!A:A, 1 + BIN2DEC(LEFT($B543,5)))</f>
        <v>--</v>
      </c>
      <c r="G543" s="27" t="str" cm="1">
        <f t="array" ref="G543">INDEX(Dest1!A:A,1+BIN2DEC(MID($B543,6,5)))</f>
        <v>--</v>
      </c>
      <c r="H543" s="27" t="str" cm="1">
        <f t="array" ref="H543">INDEX(Source2!A:A,1+BIN2DEC(MID($B543,11,4)))</f>
        <v>--</v>
      </c>
      <c r="I543" s="23" cm="1">
        <f t="array" ref="I543">INDEX('D2'!A:A,1+BIN2DEC(MID($B543,16,2)))</f>
        <v>0</v>
      </c>
      <c r="J543" s="6">
        <f t="shared" si="55"/>
        <v>0</v>
      </c>
      <c r="K543" s="6">
        <f t="shared" si="51"/>
        <v>0</v>
      </c>
      <c r="L543" s="6">
        <f t="shared" si="52"/>
        <v>0</v>
      </c>
      <c r="M543" s="3" t="str" cm="1">
        <f t="array" ref="M543">INDEX(Types!A:A,1+BIN2DEC(MID($B543,20,2)))</f>
        <v>Control</v>
      </c>
      <c r="N543" s="3" t="str" cm="1">
        <f t="array" ref="N543">IF(M543="ALU",INDEX(ALUOps!A:A,1+BIN2DEC(MID($B543,22,5))),"")</f>
        <v/>
      </c>
      <c r="O543" s="3" t="str" cm="1">
        <f t="array" ref="O543">IF(M543="ALU",INDEX(TMP!A:A,1+BIN2DEC(MID($B543,27,2))),"")</f>
        <v/>
      </c>
      <c r="P543" s="6" t="str">
        <f t="shared" si="57"/>
        <v/>
      </c>
      <c r="Q543" t="str">
        <f t="shared" si="59"/>
        <v/>
      </c>
      <c r="R543" t="str">
        <f t="shared" si="60"/>
        <v/>
      </c>
      <c r="S543" cm="1">
        <f t="array" ref="S543">IF(M543="Control",INDEX(IC!A:A,1+BIN2DEC(MID($B543,21,4))),"")</f>
        <v>0</v>
      </c>
      <c r="T543" cm="1">
        <f t="array" ref="T543">IF(M543="Control",INDEX(EC!A:A,1+BIN2DEC(MID($B543,25,3))),"")</f>
        <v>0</v>
      </c>
      <c r="U543" cm="1">
        <f t="array" ref="U543">IF(M543="Control",INDEX(SR!A:A,1+BIN2DEC(MID($B543,28,2))),"")</f>
        <v>0</v>
      </c>
    </row>
    <row r="544" spans="1:30" x14ac:dyDescent="0.25">
      <c r="A544" s="4" t="str">
        <f t="shared" si="58"/>
        <v>21E</v>
      </c>
      <c r="B544" s="2" t="s">
        <v>4</v>
      </c>
      <c r="C544" s="3"/>
      <c r="D544" s="3"/>
      <c r="E544" s="3"/>
      <c r="F544" s="27" t="str" cm="1">
        <f t="array" ref="F544">INDEX(Sources!A:A, 1 + BIN2DEC(LEFT($B544,5)))</f>
        <v>--</v>
      </c>
      <c r="G544" s="27" t="str" cm="1">
        <f t="array" ref="G544">INDEX(Dest1!A:A,1+BIN2DEC(MID($B544,6,5)))</f>
        <v>--</v>
      </c>
      <c r="H544" s="27" t="str" cm="1">
        <f t="array" ref="H544">INDEX(Source2!A:A,1+BIN2DEC(MID($B544,11,4)))</f>
        <v>--</v>
      </c>
      <c r="I544" s="23" cm="1">
        <f t="array" ref="I544">INDEX('D2'!A:A,1+BIN2DEC(MID($B544,16,2)))</f>
        <v>0</v>
      </c>
      <c r="J544" s="6">
        <f t="shared" si="55"/>
        <v>0</v>
      </c>
      <c r="K544" s="6">
        <f t="shared" si="51"/>
        <v>0</v>
      </c>
      <c r="L544" s="6">
        <f t="shared" si="52"/>
        <v>0</v>
      </c>
      <c r="M544" s="3" t="str" cm="1">
        <f t="array" ref="M544">INDEX(Types!A:A,1+BIN2DEC(MID($B544,20,2)))</f>
        <v>Control</v>
      </c>
      <c r="N544" s="3" t="str" cm="1">
        <f t="array" ref="N544">IF(M544="ALU",INDEX(ALUOps!A:A,1+BIN2DEC(MID($B544,22,5))),"")</f>
        <v/>
      </c>
      <c r="O544" s="3" t="str" cm="1">
        <f t="array" ref="O544">IF(M544="ALU",INDEX(TMP!A:A,1+BIN2DEC(MID($B544,27,2))),"")</f>
        <v/>
      </c>
      <c r="P544" s="6" t="str">
        <f t="shared" si="57"/>
        <v/>
      </c>
      <c r="Q544" t="str">
        <f t="shared" si="59"/>
        <v/>
      </c>
      <c r="R544" t="str">
        <f t="shared" si="60"/>
        <v/>
      </c>
      <c r="S544" cm="1">
        <f t="array" ref="S544">IF(M544="Control",INDEX(IC!A:A,1+BIN2DEC(MID($B544,21,4))),"")</f>
        <v>0</v>
      </c>
      <c r="T544" cm="1">
        <f t="array" ref="T544">IF(M544="Control",INDEX(EC!A:A,1+BIN2DEC(MID($B544,25,3))),"")</f>
        <v>0</v>
      </c>
      <c r="U544" cm="1">
        <f t="array" ref="U544">IF(M544="Control",INDEX(SR!A:A,1+BIN2DEC(MID($B544,28,2))),"")</f>
        <v>0</v>
      </c>
    </row>
    <row r="545" spans="1:30" x14ac:dyDescent="0.25">
      <c r="A545" s="4" t="str">
        <f t="shared" si="58"/>
        <v>21F</v>
      </c>
      <c r="B545" s="2" t="s">
        <v>4</v>
      </c>
      <c r="C545" s="3"/>
      <c r="D545" s="3"/>
      <c r="E545" s="3"/>
      <c r="F545" s="27" t="str" cm="1">
        <f t="array" ref="F545">INDEX(Sources!A:A, 1 + BIN2DEC(LEFT($B545,5)))</f>
        <v>--</v>
      </c>
      <c r="G545" s="27" t="str" cm="1">
        <f t="array" ref="G545">INDEX(Dest1!A:A,1+BIN2DEC(MID($B545,6,5)))</f>
        <v>--</v>
      </c>
      <c r="H545" s="27" t="str" cm="1">
        <f t="array" ref="H545">INDEX(Source2!A:A,1+BIN2DEC(MID($B545,11,4)))</f>
        <v>--</v>
      </c>
      <c r="I545" s="23" cm="1">
        <f t="array" ref="I545">INDEX('D2'!A:A,1+BIN2DEC(MID($B545,16,2)))</f>
        <v>0</v>
      </c>
      <c r="J545" s="6">
        <f t="shared" si="55"/>
        <v>0</v>
      </c>
      <c r="K545" s="6">
        <f t="shared" si="51"/>
        <v>0</v>
      </c>
      <c r="L545" s="6">
        <f t="shared" si="52"/>
        <v>0</v>
      </c>
      <c r="M545" s="3" t="str" cm="1">
        <f t="array" ref="M545">INDEX(Types!A:A,1+BIN2DEC(MID($B545,20,2)))</f>
        <v>Control</v>
      </c>
      <c r="N545" s="3" t="str" cm="1">
        <f t="array" ref="N545">IF(M545="ALU",INDEX(ALUOps!A:A,1+BIN2DEC(MID($B545,22,5))),"")</f>
        <v/>
      </c>
      <c r="O545" s="3" t="str" cm="1">
        <f t="array" ref="O545">IF(M545="ALU",INDEX(TMP!A:A,1+BIN2DEC(MID($B545,27,2))),"")</f>
        <v/>
      </c>
      <c r="P545" s="6" t="str">
        <f t="shared" si="57"/>
        <v/>
      </c>
      <c r="Q545" t="str">
        <f t="shared" si="59"/>
        <v/>
      </c>
      <c r="R545" t="str">
        <f t="shared" si="60"/>
        <v/>
      </c>
      <c r="S545" cm="1">
        <f t="array" ref="S545">IF(M545="Control",INDEX(IC!A:A,1+BIN2DEC(MID($B545,21,4))),"")</f>
        <v>0</v>
      </c>
      <c r="T545" cm="1">
        <f t="array" ref="T545">IF(M545="Control",INDEX(EC!A:A,1+BIN2DEC(MID($B545,25,3))),"")</f>
        <v>0</v>
      </c>
      <c r="U545" cm="1">
        <f t="array" ref="U545">IF(M545="Control",INDEX(SR!A:A,1+BIN2DEC(MID($B545,28,2))),"")</f>
        <v>0</v>
      </c>
    </row>
    <row r="546" spans="1:30" x14ac:dyDescent="0.25">
      <c r="A546" s="4" t="str">
        <f t="shared" si="58"/>
        <v>220</v>
      </c>
      <c r="B546" s="2" t="s">
        <v>529</v>
      </c>
      <c r="C546" s="2" t="s">
        <v>527</v>
      </c>
      <c r="D546" s="2" t="s">
        <v>931</v>
      </c>
      <c r="E546" s="2" t="s">
        <v>462</v>
      </c>
      <c r="F546" s="27" t="str" cm="1">
        <f t="array" ref="F546">INDEX(Sources!A:A, 1 + BIN2DEC(LEFT($B546,5)))</f>
        <v>C</v>
      </c>
      <c r="G546" s="27" t="str" cm="1">
        <f t="array" ref="G546">INDEX(Dest1!A:A,1+BIN2DEC(MID($B546,6,5)))</f>
        <v>TMPA</v>
      </c>
      <c r="H546" s="27" t="str" cm="1">
        <f t="array" ref="H546">INDEX(Source2!A:A,1+BIN2DEC(MID($B546,11,4)))</f>
        <v>--</v>
      </c>
      <c r="I546" s="23" cm="1">
        <f t="array" ref="I546">INDEX('D2'!A:A,1+BIN2DEC(MID($B546,16,2)))</f>
        <v>0</v>
      </c>
      <c r="J546" s="6">
        <f t="shared" si="55"/>
        <v>0</v>
      </c>
      <c r="K546" s="6">
        <f t="shared" si="51"/>
        <v>0</v>
      </c>
      <c r="L546" s="6">
        <f t="shared" si="52"/>
        <v>0</v>
      </c>
      <c r="M546" s="3" t="str" cm="1">
        <f t="array" ref="M546">INDEX(Types!A:A,1+BIN2DEC(MID($B546,20,2)))</f>
        <v>ALU</v>
      </c>
      <c r="N546" s="3" cm="1">
        <f t="array" ref="N546">IF(M546="ALU",INDEX(ALUOps!A:A,1+BIN2DEC(MID($B546,22,5))),"")</f>
        <v>0</v>
      </c>
      <c r="O546" s="3" cm="1">
        <f t="array" ref="O546">IF(M546="ALU",INDEX(TMP!A:A,1+BIN2DEC(MID($B546,27,2))),"")</f>
        <v>2</v>
      </c>
      <c r="P546" s="6">
        <f t="shared" si="57"/>
        <v>1</v>
      </c>
      <c r="Q546" t="str">
        <f t="shared" si="59"/>
        <v/>
      </c>
      <c r="R546" t="str">
        <f t="shared" si="60"/>
        <v/>
      </c>
      <c r="S546" t="str" cm="1">
        <f t="array" ref="S546">IF(M546="Control",INDEX(IC!A:A,1+BIN2DEC(MID($B546,21,4))),"")</f>
        <v/>
      </c>
      <c r="T546" t="str" cm="1">
        <f t="array" ref="T546">IF(M546="Control",INDEX(EC!A:A,1+BIN2DEC(MID($B546,25,3))),"")</f>
        <v/>
      </c>
      <c r="U546" t="str" cm="1">
        <f t="array" ref="U546">IF(M546="Control",INDEX(SR!A:A,1+BIN2DEC(MID($B546,28,2))),"")</f>
        <v/>
      </c>
      <c r="AD546" s="1" t="s">
        <v>528</v>
      </c>
    </row>
    <row r="547" spans="1:30" x14ac:dyDescent="0.25">
      <c r="A547" s="4" t="str">
        <f t="shared" si="58"/>
        <v>221</v>
      </c>
      <c r="B547" s="2" t="s">
        <v>531</v>
      </c>
      <c r="C547" s="3"/>
      <c r="D547" s="3"/>
      <c r="E547" s="3"/>
      <c r="F547" s="27" t="str" cm="1">
        <f t="array" ref="F547">INDEX(Sources!A:A, 1 + BIN2DEC(LEFT($B547,5)))</f>
        <v>UNK27</v>
      </c>
      <c r="G547" s="27" t="str" cm="1">
        <f t="array" ref="G547">INDEX(Dest1!A:A,1+BIN2DEC(MID($B547,6,5)))</f>
        <v>TMPA</v>
      </c>
      <c r="H547" s="27" t="str" cm="1">
        <f t="array" ref="H547">INDEX(Source2!A:A,1+BIN2DEC(MID($B547,11,4)))</f>
        <v>11</v>
      </c>
      <c r="I547" s="23" cm="1">
        <f t="array" ref="I547">INDEX('D2'!A:A,1+BIN2DEC(MID($B547,16,2)))</f>
        <v>0</v>
      </c>
      <c r="J547" s="6">
        <f t="shared" si="55"/>
        <v>0</v>
      </c>
      <c r="K547" s="6">
        <f t="shared" si="51"/>
        <v>0</v>
      </c>
      <c r="L547" s="6">
        <f t="shared" si="52"/>
        <v>0</v>
      </c>
      <c r="M547" s="3" t="str" cm="1">
        <f t="array" ref="M547">INDEX(Types!A:A,1+BIN2DEC(MID($B547,20,2)))</f>
        <v>ALU</v>
      </c>
      <c r="N547" s="3" cm="1">
        <f t="array" ref="N547">IF(M547="ALU",INDEX(ALUOps!A:A,1+BIN2DEC(MID($B547,22,5))),"")</f>
        <v>26</v>
      </c>
      <c r="O547" s="3" cm="1">
        <f t="array" ref="O547">IF(M547="ALU",INDEX(TMP!A:A,1+BIN2DEC(MID($B547,27,2))),"")</f>
        <v>3</v>
      </c>
      <c r="P547" s="6">
        <f t="shared" si="57"/>
        <v>1</v>
      </c>
      <c r="Q547" t="str">
        <f t="shared" si="59"/>
        <v/>
      </c>
      <c r="R547" t="str">
        <f t="shared" si="60"/>
        <v/>
      </c>
      <c r="S547" t="str" cm="1">
        <f t="array" ref="S547">IF(M547="Control",INDEX(IC!A:A,1+BIN2DEC(MID($B547,21,4))),"")</f>
        <v/>
      </c>
      <c r="T547" t="str" cm="1">
        <f t="array" ref="T547">IF(M547="Control",INDEX(EC!A:A,1+BIN2DEC(MID($B547,25,3))),"")</f>
        <v/>
      </c>
      <c r="U547" t="str" cm="1">
        <f t="array" ref="U547">IF(M547="Control",INDEX(SR!A:A,1+BIN2DEC(MID($B547,28,2))),"")</f>
        <v/>
      </c>
    </row>
    <row r="548" spans="1:30" x14ac:dyDescent="0.25">
      <c r="A548" s="4" t="str">
        <f t="shared" si="58"/>
        <v>222</v>
      </c>
      <c r="B548" s="2" t="s">
        <v>532</v>
      </c>
      <c r="C548" s="3"/>
      <c r="D548" s="3"/>
      <c r="E548" s="3"/>
      <c r="F548" s="27" t="str" cm="1">
        <f t="array" ref="F548">INDEX(Sources!A:A, 1 + BIN2DEC(LEFT($B548,5)))</f>
        <v>--</v>
      </c>
      <c r="G548" s="27" t="str" cm="1">
        <f t="array" ref="G548">INDEX(Dest1!A:A,1+BIN2DEC(MID($B548,6,5)))</f>
        <v>--</v>
      </c>
      <c r="H548" s="27" t="str" cm="1">
        <f t="array" ref="H548">INDEX(Source2!A:A,1+BIN2DEC(MID($B548,11,4)))</f>
        <v>--</v>
      </c>
      <c r="I548" s="23" cm="1">
        <f t="array" ref="I548">INDEX('D2'!A:A,1+BIN2DEC(MID($B548,16,2)))</f>
        <v>0</v>
      </c>
      <c r="J548" s="6">
        <f t="shared" si="55"/>
        <v>0</v>
      </c>
      <c r="K548" s="6">
        <f t="shared" si="51"/>
        <v>0</v>
      </c>
      <c r="L548" s="6">
        <f t="shared" si="52"/>
        <v>0</v>
      </c>
      <c r="M548" s="3" t="str" cm="1">
        <f t="array" ref="M548">INDEX(Types!A:A,1+BIN2DEC(MID($B548,20,2)))</f>
        <v>Jump</v>
      </c>
      <c r="N548" s="3" t="str" cm="1">
        <f t="array" ref="N548">IF(M548="ALU",INDEX(ALUOps!A:A,1+BIN2DEC(MID($B548,22,5))),"")</f>
        <v/>
      </c>
      <c r="O548" s="3" t="str" cm="1">
        <f t="array" ref="O548">IF(M548="ALU",INDEX(TMP!A:A,1+BIN2DEC(MID($B548,27,2))),"")</f>
        <v/>
      </c>
      <c r="P548" s="6" t="str">
        <f t="shared" si="57"/>
        <v/>
      </c>
      <c r="Q548">
        <f t="shared" si="59"/>
        <v>13</v>
      </c>
      <c r="R548">
        <f t="shared" si="60"/>
        <v>4</v>
      </c>
      <c r="S548" t="str" cm="1">
        <f t="array" ref="S548">IF(M548="Control",INDEX(IC!A:A,1+BIN2DEC(MID($B548,21,4))),"")</f>
        <v/>
      </c>
      <c r="T548" t="str" cm="1">
        <f t="array" ref="T548">IF(M548="Control",INDEX(EC!A:A,1+BIN2DEC(MID($B548,25,3))),"")</f>
        <v/>
      </c>
      <c r="U548" t="str" cm="1">
        <f t="array" ref="U548">IF(M548="Control",INDEX(SR!A:A,1+BIN2DEC(MID($B548,28,2))),"")</f>
        <v/>
      </c>
    </row>
    <row r="549" spans="1:30" x14ac:dyDescent="0.25">
      <c r="A549" s="4" t="str">
        <f t="shared" si="58"/>
        <v>223</v>
      </c>
      <c r="B549" s="2" t="s">
        <v>117</v>
      </c>
      <c r="C549" s="3"/>
      <c r="D549" s="3"/>
      <c r="E549" s="3"/>
      <c r="F549" s="27" t="str" cm="1">
        <f t="array" ref="F549">INDEX(Sources!A:A, 1 + BIN2DEC(LEFT($B549,5)))</f>
        <v>--</v>
      </c>
      <c r="G549" s="27" t="str" cm="1">
        <f t="array" ref="G549">INDEX(Dest1!A:A,1+BIN2DEC(MID($B549,6,5)))</f>
        <v>--</v>
      </c>
      <c r="H549" s="27" t="str" cm="1">
        <f t="array" ref="H549">INDEX(Source2!A:A,1+BIN2DEC(MID($B549,11,4)))</f>
        <v>--</v>
      </c>
      <c r="I549" s="23" cm="1">
        <f t="array" ref="I549">INDEX('D2'!A:A,1+BIN2DEC(MID($B549,16,2)))</f>
        <v>0</v>
      </c>
      <c r="J549" s="6">
        <f t="shared" si="55"/>
        <v>0</v>
      </c>
      <c r="K549" s="6">
        <f t="shared" si="51"/>
        <v>0</v>
      </c>
      <c r="L549" s="6">
        <f t="shared" si="52"/>
        <v>0</v>
      </c>
      <c r="M549" s="3" t="str" cm="1">
        <f t="array" ref="M549">INDEX(Types!A:A,1+BIN2DEC(MID($B549,20,2)))</f>
        <v>Jump</v>
      </c>
      <c r="N549" s="3" t="str" cm="1">
        <f t="array" ref="N549">IF(M549="ALU",INDEX(ALUOps!A:A,1+BIN2DEC(MID($B549,22,5))),"")</f>
        <v/>
      </c>
      <c r="O549" s="3" t="str" cm="1">
        <f t="array" ref="O549">IF(M549="ALU",INDEX(TMP!A:A,1+BIN2DEC(MID($B549,27,2))),"")</f>
        <v/>
      </c>
      <c r="P549" s="6" t="str">
        <f t="shared" si="57"/>
        <v/>
      </c>
      <c r="Q549">
        <f t="shared" si="59"/>
        <v>1</v>
      </c>
      <c r="R549">
        <f t="shared" si="60"/>
        <v>5</v>
      </c>
      <c r="S549" t="str" cm="1">
        <f t="array" ref="S549">IF(M549="Control",INDEX(IC!A:A,1+BIN2DEC(MID($B549,21,4))),"")</f>
        <v/>
      </c>
      <c r="T549" t="str" cm="1">
        <f t="array" ref="T549">IF(M549="Control",INDEX(EC!A:A,1+BIN2DEC(MID($B549,25,3))),"")</f>
        <v/>
      </c>
      <c r="U549" t="str" cm="1">
        <f t="array" ref="U549">IF(M549="Control",INDEX(SR!A:A,1+BIN2DEC(MID($B549,28,2))),"")</f>
        <v/>
      </c>
    </row>
    <row r="550" spans="1:30" x14ac:dyDescent="0.25">
      <c r="A550" s="4" t="str">
        <f t="shared" si="58"/>
        <v>224</v>
      </c>
      <c r="B550" s="2" t="s">
        <v>39</v>
      </c>
      <c r="C550" s="2" t="s">
        <v>530</v>
      </c>
      <c r="D550" s="2" t="s">
        <v>931</v>
      </c>
      <c r="E550" s="2" t="s">
        <v>929</v>
      </c>
      <c r="F550" s="27" t="str" cm="1">
        <f t="array" ref="F550">INDEX(Sources!A:A, 1 + BIN2DEC(LEFT($B550,5)))</f>
        <v>--</v>
      </c>
      <c r="G550" s="27" t="str" cm="1">
        <f t="array" ref="G550">INDEX(Dest1!A:A,1+BIN2DEC(MID($B550,6,5)))</f>
        <v>--</v>
      </c>
      <c r="H550" s="27" t="str" cm="1">
        <f t="array" ref="H550">INDEX(Source2!A:A,1+BIN2DEC(MID($B550,11,4)))</f>
        <v>--</v>
      </c>
      <c r="I550" s="23" cm="1">
        <f t="array" ref="I550">INDEX('D2'!A:A,1+BIN2DEC(MID($B550,16,2)))</f>
        <v>0</v>
      </c>
      <c r="J550" s="6">
        <f t="shared" si="55"/>
        <v>0</v>
      </c>
      <c r="K550" s="6">
        <f t="shared" si="51"/>
        <v>0</v>
      </c>
      <c r="L550" s="6">
        <f t="shared" si="52"/>
        <v>1</v>
      </c>
      <c r="M550" s="3" t="str" cm="1">
        <f t="array" ref="M550">INDEX(Types!A:A,1+BIN2DEC(MID($B550,20,2)))</f>
        <v>Control</v>
      </c>
      <c r="N550" s="3" t="str" cm="1">
        <f t="array" ref="N550">IF(M550="ALU",INDEX(ALUOps!A:A,1+BIN2DEC(MID($B550,22,5))),"")</f>
        <v/>
      </c>
      <c r="O550" s="3" t="str" cm="1">
        <f t="array" ref="O550">IF(M550="ALU",INDEX(TMP!A:A,1+BIN2DEC(MID($B550,27,2))),"")</f>
        <v/>
      </c>
      <c r="P550" s="6" t="str">
        <f t="shared" si="57"/>
        <v/>
      </c>
      <c r="Q550" t="str">
        <f t="shared" si="59"/>
        <v/>
      </c>
      <c r="R550" t="str">
        <f t="shared" si="60"/>
        <v/>
      </c>
      <c r="S550" cm="1">
        <f t="array" ref="S550">IF(M550="Control",INDEX(IC!A:A,1+BIN2DEC(MID($B550,21,4))),"")</f>
        <v>0</v>
      </c>
      <c r="T550" cm="1">
        <f t="array" ref="T550">IF(M550="Control",INDEX(EC!A:A,1+BIN2DEC(MID($B550,25,3))),"")</f>
        <v>0</v>
      </c>
      <c r="U550" cm="1">
        <f t="array" ref="U550">IF(M550="Control",INDEX(SR!A:A,1+BIN2DEC(MID($B550,28,2))),"")</f>
        <v>0</v>
      </c>
      <c r="AD550" s="1" t="s">
        <v>528</v>
      </c>
    </row>
    <row r="551" spans="1:30" x14ac:dyDescent="0.25">
      <c r="A551" s="4" t="str">
        <f t="shared" si="58"/>
        <v>225</v>
      </c>
      <c r="B551" s="2" t="s">
        <v>535</v>
      </c>
      <c r="C551" s="3"/>
      <c r="D551" s="3"/>
      <c r="E551" s="3"/>
      <c r="F551" s="27" t="str" cm="1">
        <f t="array" ref="F551">INDEX(Sources!A:A, 1 + BIN2DEC(LEFT($B551,5)))</f>
        <v>UNK21</v>
      </c>
      <c r="G551" s="27" t="str" cm="1">
        <f t="array" ref="G551">INDEX(Dest1!A:A,1+BIN2DEC(MID($B551,6,5)))</f>
        <v>TMPB</v>
      </c>
      <c r="H551" s="27" t="str" cm="1">
        <f t="array" ref="H551">INDEX(Source2!A:A,1+BIN2DEC(MID($B551,11,4)))</f>
        <v>--</v>
      </c>
      <c r="I551" s="23" cm="1">
        <f t="array" ref="I551">INDEX('D2'!A:A,1+BIN2DEC(MID($B551,16,2)))</f>
        <v>0</v>
      </c>
      <c r="J551" s="6">
        <f t="shared" si="55"/>
        <v>0</v>
      </c>
      <c r="K551" s="6">
        <f t="shared" si="51"/>
        <v>0</v>
      </c>
      <c r="L551" s="6">
        <f t="shared" si="52"/>
        <v>0</v>
      </c>
      <c r="M551" s="3" t="str" cm="1">
        <f t="array" ref="M551">INDEX(Types!A:A,1+BIN2DEC(MID($B551,20,2)))</f>
        <v>Control</v>
      </c>
      <c r="N551" s="3" t="str" cm="1">
        <f t="array" ref="N551">IF(M551="ALU",INDEX(ALUOps!A:A,1+BIN2DEC(MID($B551,22,5))),"")</f>
        <v/>
      </c>
      <c r="O551" s="3" t="str" cm="1">
        <f t="array" ref="O551">IF(M551="ALU",INDEX(TMP!A:A,1+BIN2DEC(MID($B551,27,2))),"")</f>
        <v/>
      </c>
      <c r="P551" s="6" t="str">
        <f t="shared" si="57"/>
        <v/>
      </c>
      <c r="Q551" t="str">
        <f t="shared" si="59"/>
        <v/>
      </c>
      <c r="R551" t="str">
        <f t="shared" si="60"/>
        <v/>
      </c>
      <c r="S551" cm="1">
        <f t="array" ref="S551">IF(M551="Control",INDEX(IC!A:A,1+BIN2DEC(MID($B551,21,4))),"")</f>
        <v>0</v>
      </c>
      <c r="T551" cm="1">
        <f t="array" ref="T551">IF(M551="Control",INDEX(EC!A:A,1+BIN2DEC(MID($B551,25,3))),"")</f>
        <v>0</v>
      </c>
      <c r="U551" cm="1">
        <f t="array" ref="U551">IF(M551="Control",INDEX(SR!A:A,1+BIN2DEC(MID($B551,28,2))),"")</f>
        <v>0</v>
      </c>
    </row>
    <row r="552" spans="1:30" x14ac:dyDescent="0.25">
      <c r="A552" s="4" t="str">
        <f t="shared" si="58"/>
        <v>226</v>
      </c>
      <c r="B552" s="2" t="s">
        <v>536</v>
      </c>
      <c r="C552" s="3"/>
      <c r="D552" s="3"/>
      <c r="E552" s="3"/>
      <c r="F552" s="27" t="str" cm="1">
        <f t="array" ref="F552">INDEX(Sources!A:A, 1 + BIN2DEC(LEFT($B552,5)))</f>
        <v>SIGMA</v>
      </c>
      <c r="G552" s="27" t="str" cm="1">
        <f t="array" ref="G552">INDEX(Dest1!A:A,1+BIN2DEC(MID($B552,6,5)))</f>
        <v>TMPA</v>
      </c>
      <c r="H552" s="27" t="str" cm="1">
        <f t="array" ref="H552">INDEX(Source2!A:A,1+BIN2DEC(MID($B552,11,4)))</f>
        <v>--</v>
      </c>
      <c r="I552" s="23" cm="1">
        <f t="array" ref="I552">INDEX('D2'!A:A,1+BIN2DEC(MID($B552,16,2)))</f>
        <v>0</v>
      </c>
      <c r="J552" s="6">
        <f t="shared" si="55"/>
        <v>0</v>
      </c>
      <c r="K552" s="6">
        <f t="shared" si="51"/>
        <v>0</v>
      </c>
      <c r="L552" s="6">
        <f t="shared" si="52"/>
        <v>0</v>
      </c>
      <c r="M552" s="3" t="str" cm="1">
        <f t="array" ref="M552">INDEX(Types!A:A,1+BIN2DEC(MID($B552,20,2)))</f>
        <v>ALU</v>
      </c>
      <c r="N552" s="3" cm="1">
        <f t="array" ref="N552">IF(M552="ALU",INDEX(ALUOps!A:A,1+BIN2DEC(MID($B552,22,5))),"")</f>
        <v>6</v>
      </c>
      <c r="O552" s="3" cm="1">
        <f t="array" ref="O552">IF(M552="ALU",INDEX(TMP!A:A,1+BIN2DEC(MID($B552,27,2))),"")</f>
        <v>2</v>
      </c>
      <c r="P552" s="6">
        <f t="shared" si="57"/>
        <v>1</v>
      </c>
      <c r="Q552" t="str">
        <f t="shared" si="59"/>
        <v/>
      </c>
      <c r="R552" t="str">
        <f t="shared" si="60"/>
        <v/>
      </c>
      <c r="S552" t="str" cm="1">
        <f t="array" ref="S552">IF(M552="Control",INDEX(IC!A:A,1+BIN2DEC(MID($B552,21,4))),"")</f>
        <v/>
      </c>
      <c r="T552" t="str" cm="1">
        <f t="array" ref="T552">IF(M552="Control",INDEX(EC!A:A,1+BIN2DEC(MID($B552,25,3))),"")</f>
        <v/>
      </c>
      <c r="U552" t="str" cm="1">
        <f t="array" ref="U552">IF(M552="Control",INDEX(SR!A:A,1+BIN2DEC(MID($B552,28,2))),"")</f>
        <v/>
      </c>
    </row>
    <row r="553" spans="1:30" x14ac:dyDescent="0.25">
      <c r="A553" s="4" t="str">
        <f t="shared" si="58"/>
        <v>227</v>
      </c>
      <c r="B553" s="2" t="s">
        <v>62</v>
      </c>
      <c r="C553" s="3"/>
      <c r="D553" s="3"/>
      <c r="E553" s="3"/>
      <c r="F553" s="27" t="str" cm="1">
        <f t="array" ref="F553">INDEX(Sources!A:A, 1 + BIN2DEC(LEFT($B553,5)))</f>
        <v>SIGMA</v>
      </c>
      <c r="G553" s="27" t="str" cm="1">
        <f t="array" ref="G553">INDEX(Dest1!A:A,1+BIN2DEC(MID($B553,6,5)))</f>
        <v>PC</v>
      </c>
      <c r="H553" s="27" t="str" cm="1">
        <f t="array" ref="H553">INDEX(Source2!A:A,1+BIN2DEC(MID($B553,11,4)))</f>
        <v>--</v>
      </c>
      <c r="I553" s="23" cm="1">
        <f t="array" ref="I553">INDEX('D2'!A:A,1+BIN2DEC(MID($B553,16,2)))</f>
        <v>0</v>
      </c>
      <c r="J553" s="6">
        <f t="shared" si="55"/>
        <v>0</v>
      </c>
      <c r="K553" s="6">
        <f t="shared" si="51"/>
        <v>0</v>
      </c>
      <c r="L553" s="6">
        <f t="shared" si="52"/>
        <v>1</v>
      </c>
      <c r="M553" s="3" t="str" cm="1">
        <f t="array" ref="M553">INDEX(Types!A:A,1+BIN2DEC(MID($B553,20,2)))</f>
        <v>Control</v>
      </c>
      <c r="N553" s="3" t="str" cm="1">
        <f t="array" ref="N553">IF(M553="ALU",INDEX(ALUOps!A:A,1+BIN2DEC(MID($B553,22,5))),"")</f>
        <v/>
      </c>
      <c r="O553" s="3" t="str" cm="1">
        <f t="array" ref="O553">IF(M553="ALU",INDEX(TMP!A:A,1+BIN2DEC(MID($B553,27,2))),"")</f>
        <v/>
      </c>
      <c r="P553" s="6" t="str">
        <f t="shared" si="57"/>
        <v/>
      </c>
      <c r="Q553" t="str">
        <f t="shared" si="59"/>
        <v/>
      </c>
      <c r="R553" t="str">
        <f t="shared" si="60"/>
        <v/>
      </c>
      <c r="S553" cm="1">
        <f t="array" ref="S553">IF(M553="Control",INDEX(IC!A:A,1+BIN2DEC(MID($B553,21,4))),"")</f>
        <v>6</v>
      </c>
      <c r="T553" cm="1">
        <f t="array" ref="T553">IF(M553="Control",INDEX(EC!A:A,1+BIN2DEC(MID($B553,25,3))),"")</f>
        <v>0</v>
      </c>
      <c r="U553" cm="1">
        <f t="array" ref="U553">IF(M553="Control",INDEX(SR!A:A,1+BIN2DEC(MID($B553,28,2))),"")</f>
        <v>0</v>
      </c>
    </row>
    <row r="554" spans="1:30" x14ac:dyDescent="0.25">
      <c r="A554" s="4" t="str">
        <f t="shared" si="58"/>
        <v>228</v>
      </c>
      <c r="B554" s="2" t="s">
        <v>510</v>
      </c>
      <c r="C554" s="2" t="s">
        <v>533</v>
      </c>
      <c r="D554" s="2" t="s">
        <v>931</v>
      </c>
      <c r="E554" s="2" t="s">
        <v>462</v>
      </c>
      <c r="F554" s="27" t="str" cm="1">
        <f t="array" ref="F554">INDEX(Sources!A:A, 1 + BIN2DEC(LEFT($B554,5)))</f>
        <v>--</v>
      </c>
      <c r="G554" s="27" t="str" cm="1">
        <f t="array" ref="G554">INDEX(Dest1!A:A,1+BIN2DEC(MID($B554,6,5)))</f>
        <v>--</v>
      </c>
      <c r="H554" s="27" t="str" cm="1">
        <f t="array" ref="H554">INDEX(Source2!A:A,1+BIN2DEC(MID($B554,11,4)))</f>
        <v>--</v>
      </c>
      <c r="I554" s="23" cm="1">
        <f t="array" ref="I554">INDEX('D2'!A:A,1+BIN2DEC(MID($B554,16,2)))</f>
        <v>0</v>
      </c>
      <c r="J554" s="6">
        <f t="shared" si="55"/>
        <v>0</v>
      </c>
      <c r="K554" s="6">
        <f t="shared" si="51"/>
        <v>0</v>
      </c>
      <c r="L554" s="6">
        <f t="shared" si="52"/>
        <v>0</v>
      </c>
      <c r="M554" s="3" t="str" cm="1">
        <f t="array" ref="M554">INDEX(Types!A:A,1+BIN2DEC(MID($B554,20,2)))</f>
        <v>Jump</v>
      </c>
      <c r="N554" s="3" t="str" cm="1">
        <f t="array" ref="N554">IF(M554="ALU",INDEX(ALUOps!A:A,1+BIN2DEC(MID($B554,22,5))),"")</f>
        <v/>
      </c>
      <c r="O554" s="3" t="str" cm="1">
        <f t="array" ref="O554">IF(M554="ALU",INDEX(TMP!A:A,1+BIN2DEC(MID($B554,27,2))),"")</f>
        <v/>
      </c>
      <c r="P554" s="6" t="str">
        <f t="shared" si="57"/>
        <v/>
      </c>
      <c r="Q554">
        <f t="shared" si="59"/>
        <v>13</v>
      </c>
      <c r="R554">
        <f t="shared" si="60"/>
        <v>3</v>
      </c>
      <c r="S554" t="str" cm="1">
        <f t="array" ref="S554">IF(M554="Control",INDEX(IC!A:A,1+BIN2DEC(MID($B554,21,4))),"")</f>
        <v/>
      </c>
      <c r="T554" t="str" cm="1">
        <f t="array" ref="T554">IF(M554="Control",INDEX(EC!A:A,1+BIN2DEC(MID($B554,25,3))),"")</f>
        <v/>
      </c>
      <c r="U554" t="str" cm="1">
        <f t="array" ref="U554">IF(M554="Control",INDEX(SR!A:A,1+BIN2DEC(MID($B554,28,2))),"")</f>
        <v/>
      </c>
      <c r="AD554" s="1" t="s">
        <v>534</v>
      </c>
    </row>
    <row r="555" spans="1:30" x14ac:dyDescent="0.25">
      <c r="A555" s="4" t="str">
        <f t="shared" si="58"/>
        <v>229</v>
      </c>
      <c r="B555" s="2" t="s">
        <v>270</v>
      </c>
      <c r="C555" s="3"/>
      <c r="D555" s="3"/>
      <c r="E555" s="3"/>
      <c r="F555" s="27" t="str" cm="1">
        <f t="array" ref="F555">INDEX(Sources!A:A, 1 + BIN2DEC(LEFT($B555,5)))</f>
        <v>SIGMA</v>
      </c>
      <c r="G555" s="27" t="str" cm="1">
        <f t="array" ref="G555">INDEX(Dest1!A:A,1+BIN2DEC(MID($B555,6,5)))</f>
        <v>TMPA</v>
      </c>
      <c r="H555" s="27" t="str" cm="1">
        <f t="array" ref="H555">INDEX(Source2!A:A,1+BIN2DEC(MID($B555,11,4)))</f>
        <v>--</v>
      </c>
      <c r="I555" s="23" cm="1">
        <f t="array" ref="I555">INDEX('D2'!A:A,1+BIN2DEC(MID($B555,16,2)))</f>
        <v>0</v>
      </c>
      <c r="J555" s="6">
        <f t="shared" si="55"/>
        <v>0</v>
      </c>
      <c r="K555" s="6">
        <f t="shared" si="51"/>
        <v>1</v>
      </c>
      <c r="L555" s="6">
        <f t="shared" si="52"/>
        <v>0</v>
      </c>
      <c r="M555" s="3" t="str" cm="1">
        <f t="array" ref="M555">INDEX(Types!A:A,1+BIN2DEC(MID($B555,20,2)))</f>
        <v>ALU</v>
      </c>
      <c r="N555" s="3" cm="1">
        <f t="array" ref="N555">IF(M555="ALU",INDEX(ALUOps!A:A,1+BIN2DEC(MID($B555,22,5))),"")</f>
        <v>9</v>
      </c>
      <c r="O555" s="3" cm="1">
        <f t="array" ref="O555">IF(M555="ALU",INDEX(TMP!A:A,1+BIN2DEC(MID($B555,27,2))),"")</f>
        <v>2</v>
      </c>
      <c r="P555" s="6">
        <f t="shared" si="57"/>
        <v>0</v>
      </c>
      <c r="Q555" t="str">
        <f t="shared" si="59"/>
        <v/>
      </c>
      <c r="R555" t="str">
        <f t="shared" si="60"/>
        <v/>
      </c>
      <c r="S555" t="str" cm="1">
        <f t="array" ref="S555">IF(M555="Control",INDEX(IC!A:A,1+BIN2DEC(MID($B555,21,4))),"")</f>
        <v/>
      </c>
      <c r="T555" t="str" cm="1">
        <f t="array" ref="T555">IF(M555="Control",INDEX(EC!A:A,1+BIN2DEC(MID($B555,25,3))),"")</f>
        <v/>
      </c>
      <c r="U555" t="str" cm="1">
        <f t="array" ref="U555">IF(M555="Control",INDEX(SR!A:A,1+BIN2DEC(MID($B555,28,2))),"")</f>
        <v/>
      </c>
    </row>
    <row r="556" spans="1:30" x14ac:dyDescent="0.25">
      <c r="A556" s="4" t="str">
        <f t="shared" si="58"/>
        <v>22A</v>
      </c>
      <c r="B556" s="2" t="s">
        <v>539</v>
      </c>
      <c r="C556" s="3"/>
      <c r="D556" s="3"/>
      <c r="E556" s="3"/>
      <c r="F556" s="27" t="str" cm="1">
        <f t="array" ref="F556">INDEX(Sources!A:A, 1 + BIN2DEC(LEFT($B556,5)))</f>
        <v>SIGMA</v>
      </c>
      <c r="G556" s="27" t="str" cm="1">
        <f t="array" ref="G556">INDEX(Dest1!A:A,1+BIN2DEC(MID($B556,6,5)))</f>
        <v>OPR</v>
      </c>
      <c r="H556" s="27" t="str" cm="1">
        <f t="array" ref="H556">INDEX(Source2!A:A,1+BIN2DEC(MID($B556,11,4)))</f>
        <v>--</v>
      </c>
      <c r="I556" s="23" cm="1">
        <f t="array" ref="I556">INDEX('D2'!A:A,1+BIN2DEC(MID($B556,16,2)))</f>
        <v>0</v>
      </c>
      <c r="J556" s="6">
        <f t="shared" si="55"/>
        <v>0</v>
      </c>
      <c r="K556" s="6">
        <f t="shared" si="51"/>
        <v>0</v>
      </c>
      <c r="L556" s="6">
        <f t="shared" si="52"/>
        <v>0</v>
      </c>
      <c r="M556" s="3" t="str" cm="1">
        <f t="array" ref="M556">INDEX(Types!A:A,1+BIN2DEC(MID($B556,20,2)))</f>
        <v>Control</v>
      </c>
      <c r="N556" s="3" t="str" cm="1">
        <f t="array" ref="N556">IF(M556="ALU",INDEX(ALUOps!A:A,1+BIN2DEC(MID($B556,22,5))),"")</f>
        <v/>
      </c>
      <c r="O556" s="3" t="str" cm="1">
        <f t="array" ref="O556">IF(M556="ALU",INDEX(TMP!A:A,1+BIN2DEC(MID($B556,27,2))),"")</f>
        <v/>
      </c>
      <c r="P556" s="6" t="str">
        <f t="shared" si="57"/>
        <v/>
      </c>
      <c r="Q556" t="str">
        <f t="shared" si="59"/>
        <v/>
      </c>
      <c r="R556" t="str">
        <f t="shared" si="60"/>
        <v/>
      </c>
      <c r="S556" cm="1">
        <f t="array" ref="S556">IF(M556="Control",INDEX(IC!A:A,1+BIN2DEC(MID($B556,21,4))),"")</f>
        <v>0</v>
      </c>
      <c r="T556" cm="1">
        <f t="array" ref="T556">IF(M556="Control",INDEX(EC!A:A,1+BIN2DEC(MID($B556,25,3))),"")</f>
        <v>1</v>
      </c>
      <c r="U556" cm="1">
        <f t="array" ref="U556">IF(M556="Control",INDEX(SR!A:A,1+BIN2DEC(MID($B556,28,2))),"")</f>
        <v>0</v>
      </c>
    </row>
    <row r="557" spans="1:30" x14ac:dyDescent="0.25">
      <c r="A557" s="4" t="str">
        <f t="shared" si="58"/>
        <v>22B</v>
      </c>
      <c r="B557" s="2" t="s">
        <v>39</v>
      </c>
      <c r="C557" s="3"/>
      <c r="D557" s="3"/>
      <c r="E557" s="3"/>
      <c r="F557" s="27" t="str" cm="1">
        <f t="array" ref="F557">INDEX(Sources!A:A, 1 + BIN2DEC(LEFT($B557,5)))</f>
        <v>--</v>
      </c>
      <c r="G557" s="27" t="str" cm="1">
        <f t="array" ref="G557">INDEX(Dest1!A:A,1+BIN2DEC(MID($B557,6,5)))</f>
        <v>--</v>
      </c>
      <c r="H557" s="27" t="str" cm="1">
        <f t="array" ref="H557">INDEX(Source2!A:A,1+BIN2DEC(MID($B557,11,4)))</f>
        <v>--</v>
      </c>
      <c r="I557" s="23" cm="1">
        <f t="array" ref="I557">INDEX('D2'!A:A,1+BIN2DEC(MID($B557,16,2)))</f>
        <v>0</v>
      </c>
      <c r="J557" s="6">
        <f t="shared" si="55"/>
        <v>0</v>
      </c>
      <c r="K557" s="6">
        <f t="shared" si="51"/>
        <v>0</v>
      </c>
      <c r="L557" s="6">
        <f t="shared" si="52"/>
        <v>1</v>
      </c>
      <c r="M557" s="3" t="str" cm="1">
        <f t="array" ref="M557">INDEX(Types!A:A,1+BIN2DEC(MID($B557,20,2)))</f>
        <v>Control</v>
      </c>
      <c r="N557" s="3" t="str" cm="1">
        <f t="array" ref="N557">IF(M557="ALU",INDEX(ALUOps!A:A,1+BIN2DEC(MID($B557,22,5))),"")</f>
        <v/>
      </c>
      <c r="O557" s="3" t="str" cm="1">
        <f t="array" ref="O557">IF(M557="ALU",INDEX(TMP!A:A,1+BIN2DEC(MID($B557,27,2))),"")</f>
        <v/>
      </c>
      <c r="P557" s="6" t="str">
        <f t="shared" si="57"/>
        <v/>
      </c>
      <c r="Q557" t="str">
        <f t="shared" si="59"/>
        <v/>
      </c>
      <c r="R557" t="str">
        <f t="shared" si="60"/>
        <v/>
      </c>
      <c r="S557" cm="1">
        <f t="array" ref="S557">IF(M557="Control",INDEX(IC!A:A,1+BIN2DEC(MID($B557,21,4))),"")</f>
        <v>0</v>
      </c>
      <c r="T557" cm="1">
        <f t="array" ref="T557">IF(M557="Control",INDEX(EC!A:A,1+BIN2DEC(MID($B557,25,3))),"")</f>
        <v>0</v>
      </c>
      <c r="U557" cm="1">
        <f t="array" ref="U557">IF(M557="Control",INDEX(SR!A:A,1+BIN2DEC(MID($B557,28,2))),"")</f>
        <v>0</v>
      </c>
    </row>
    <row r="558" spans="1:30" x14ac:dyDescent="0.25">
      <c r="A558" s="4" t="str">
        <f t="shared" si="58"/>
        <v>22C</v>
      </c>
      <c r="B558" s="2" t="s">
        <v>540</v>
      </c>
      <c r="C558" s="2" t="s">
        <v>537</v>
      </c>
      <c r="D558" s="2" t="s">
        <v>931</v>
      </c>
      <c r="E558" s="2" t="s">
        <v>462</v>
      </c>
      <c r="F558" s="27" t="str" cm="1">
        <f t="array" ref="F558">INDEX(Sources!A:A, 1 + BIN2DEC(LEFT($B558,5)))</f>
        <v>TMPA</v>
      </c>
      <c r="G558" s="27" t="str" cm="1">
        <f t="array" ref="G558">INDEX(Dest1!A:A,1+BIN2DEC(MID($B558,6,5)))</f>
        <v>UNK17</v>
      </c>
      <c r="H558" s="27" t="str" cm="1">
        <f t="array" ref="H558">INDEX(Source2!A:A,1+BIN2DEC(MID($B558,11,4)))</f>
        <v>3</v>
      </c>
      <c r="I558" s="23" cm="1">
        <f t="array" ref="I558">INDEX('D2'!A:A,1+BIN2DEC(MID($B558,16,2)))</f>
        <v>0</v>
      </c>
      <c r="J558" s="6">
        <f t="shared" si="55"/>
        <v>0</v>
      </c>
      <c r="K558" s="6">
        <f t="shared" si="51"/>
        <v>0</v>
      </c>
      <c r="L558" s="6">
        <f t="shared" si="52"/>
        <v>0</v>
      </c>
      <c r="M558" s="3" t="str" cm="1">
        <f t="array" ref="M558">INDEX(Types!A:A,1+BIN2DEC(MID($B558,20,2)))</f>
        <v>Control</v>
      </c>
      <c r="N558" s="3" t="str" cm="1">
        <f t="array" ref="N558">IF(M558="ALU",INDEX(ALUOps!A:A,1+BIN2DEC(MID($B558,22,5))),"")</f>
        <v/>
      </c>
      <c r="O558" s="3" t="str" cm="1">
        <f t="array" ref="O558">IF(M558="ALU",INDEX(TMP!A:A,1+BIN2DEC(MID($B558,27,2))),"")</f>
        <v/>
      </c>
      <c r="P558" s="6" t="str">
        <f t="shared" si="57"/>
        <v/>
      </c>
      <c r="Q558" t="str">
        <f t="shared" si="59"/>
        <v/>
      </c>
      <c r="R558" t="str">
        <f t="shared" si="60"/>
        <v/>
      </c>
      <c r="S558" cm="1">
        <f t="array" ref="S558">IF(M558="Control",INDEX(IC!A:A,1+BIN2DEC(MID($B558,21,4))),"")</f>
        <v>7</v>
      </c>
      <c r="T558" cm="1">
        <f t="array" ref="T558">IF(M558="Control",INDEX(EC!A:A,1+BIN2DEC(MID($B558,25,3))),"")</f>
        <v>0</v>
      </c>
      <c r="U558" cm="1">
        <f t="array" ref="U558">IF(M558="Control",INDEX(SR!A:A,1+BIN2DEC(MID($B558,28,2))),"")</f>
        <v>0</v>
      </c>
      <c r="AD558" s="1" t="s">
        <v>538</v>
      </c>
    </row>
    <row r="559" spans="1:30" x14ac:dyDescent="0.25">
      <c r="A559" s="4" t="str">
        <f t="shared" si="58"/>
        <v>22D</v>
      </c>
      <c r="B559" s="2" t="s">
        <v>542</v>
      </c>
      <c r="C559" s="3"/>
      <c r="D559" s="3"/>
      <c r="E559" s="3"/>
      <c r="F559" s="27" t="str" cm="1">
        <f t="array" ref="F559">INDEX(Sources!A:A, 1 + BIN2DEC(LEFT($B559,5)))</f>
        <v>UNK30</v>
      </c>
      <c r="G559" s="27" t="str" cm="1">
        <f t="array" ref="G559">INDEX(Dest1!A:A,1+BIN2DEC(MID($B559,6,5)))</f>
        <v>OUT</v>
      </c>
      <c r="H559" s="27" t="str" cm="1">
        <f t="array" ref="H559">INDEX(Source2!A:A,1+BIN2DEC(MID($B559,11,4)))</f>
        <v>--</v>
      </c>
      <c r="I559" s="23" cm="1">
        <f t="array" ref="I559">INDEX('D2'!A:A,1+BIN2DEC(MID($B559,16,2)))</f>
        <v>1</v>
      </c>
      <c r="J559" s="6">
        <f t="shared" si="55"/>
        <v>1</v>
      </c>
      <c r="K559" s="6">
        <f t="shared" si="51"/>
        <v>0</v>
      </c>
      <c r="L559" s="6">
        <f t="shared" si="52"/>
        <v>0</v>
      </c>
      <c r="M559" s="3" t="str" cm="1">
        <f t="array" ref="M559">INDEX(Types!A:A,1+BIN2DEC(MID($B559,20,2)))</f>
        <v>ALU</v>
      </c>
      <c r="N559" s="3" cm="1">
        <f t="array" ref="N559">IF(M559="ALU",INDEX(ALUOps!A:A,1+BIN2DEC(MID($B559,22,5))),"")</f>
        <v>2</v>
      </c>
      <c r="O559" s="3" cm="1">
        <f t="array" ref="O559">IF(M559="ALU",INDEX(TMP!A:A,1+BIN2DEC(MID($B559,27,2))),"")</f>
        <v>2</v>
      </c>
      <c r="P559" s="6">
        <f t="shared" si="57"/>
        <v>1</v>
      </c>
      <c r="Q559" t="str">
        <f t="shared" si="59"/>
        <v/>
      </c>
      <c r="R559" t="str">
        <f t="shared" si="60"/>
        <v/>
      </c>
      <c r="S559" t="str" cm="1">
        <f t="array" ref="S559">IF(M559="Control",INDEX(IC!A:A,1+BIN2DEC(MID($B559,21,4))),"")</f>
        <v/>
      </c>
      <c r="T559" t="str" cm="1">
        <f t="array" ref="T559">IF(M559="Control",INDEX(EC!A:A,1+BIN2DEC(MID($B559,25,3))),"")</f>
        <v/>
      </c>
      <c r="U559" t="str" cm="1">
        <f t="array" ref="U559">IF(M559="Control",INDEX(SR!A:A,1+BIN2DEC(MID($B559,28,2))),"")</f>
        <v/>
      </c>
    </row>
    <row r="560" spans="1:30" x14ac:dyDescent="0.25">
      <c r="A560" s="4" t="str">
        <f t="shared" si="58"/>
        <v>22E</v>
      </c>
      <c r="B560" s="2" t="s">
        <v>543</v>
      </c>
      <c r="C560" s="3"/>
      <c r="D560" s="3"/>
      <c r="E560" s="3"/>
      <c r="F560" s="27" t="str" cm="1">
        <f t="array" ref="F560">INDEX(Sources!A:A, 1 + BIN2DEC(LEFT($B560,5)))</f>
        <v>SIGMA</v>
      </c>
      <c r="G560" s="27" t="str" cm="1">
        <f t="array" ref="G560">INDEX(Dest1!A:A,1+BIN2DEC(MID($B560,6,5)))</f>
        <v>UNK26</v>
      </c>
      <c r="H560" s="27" t="str" cm="1">
        <f t="array" ref="H560">INDEX(Source2!A:A,1+BIN2DEC(MID($B560,11,4)))</f>
        <v>--</v>
      </c>
      <c r="I560" s="23" cm="1">
        <f t="array" ref="I560">INDEX('D2'!A:A,1+BIN2DEC(MID($B560,16,2)))</f>
        <v>0</v>
      </c>
      <c r="J560" s="6">
        <f t="shared" si="55"/>
        <v>0</v>
      </c>
      <c r="K560" s="6">
        <f t="shared" si="51"/>
        <v>0</v>
      </c>
      <c r="L560" s="6">
        <f t="shared" si="52"/>
        <v>0</v>
      </c>
      <c r="M560" s="3" t="str" cm="1">
        <f t="array" ref="M560">INDEX(Types!A:A,1+BIN2DEC(MID($B560,20,2)))</f>
        <v>Control</v>
      </c>
      <c r="N560" s="3" t="str" cm="1">
        <f t="array" ref="N560">IF(M560="ALU",INDEX(ALUOps!A:A,1+BIN2DEC(MID($B560,22,5))),"")</f>
        <v/>
      </c>
      <c r="O560" s="3" t="str" cm="1">
        <f t="array" ref="O560">IF(M560="ALU",INDEX(TMP!A:A,1+BIN2DEC(MID($B560,27,2))),"")</f>
        <v/>
      </c>
      <c r="P560" s="6" t="str">
        <f t="shared" si="57"/>
        <v/>
      </c>
      <c r="Q560" t="str">
        <f t="shared" si="59"/>
        <v/>
      </c>
      <c r="R560" t="str">
        <f t="shared" si="60"/>
        <v/>
      </c>
      <c r="S560" cm="1">
        <f t="array" ref="S560">IF(M560="Control",INDEX(IC!A:A,1+BIN2DEC(MID($B560,21,4))),"")</f>
        <v>0</v>
      </c>
      <c r="T560" cm="1">
        <f t="array" ref="T560">IF(M560="Control",INDEX(EC!A:A,1+BIN2DEC(MID($B560,25,3))),"")</f>
        <v>5</v>
      </c>
      <c r="U560" cm="1">
        <f t="array" ref="U560">IF(M560="Control",INDEX(SR!A:A,1+BIN2DEC(MID($B560,28,2))),"")</f>
        <v>1</v>
      </c>
    </row>
    <row r="561" spans="1:30" x14ac:dyDescent="0.25">
      <c r="A561" s="4" t="str">
        <f t="shared" si="58"/>
        <v>22F</v>
      </c>
      <c r="B561" s="2" t="s">
        <v>544</v>
      </c>
      <c r="C561" s="3"/>
      <c r="D561" s="3"/>
      <c r="E561" s="3"/>
      <c r="F561" s="27" t="str" cm="1">
        <f t="array" ref="F561">INDEX(Sources!A:A, 1 + BIN2DEC(LEFT($B561,5)))</f>
        <v>UNK27</v>
      </c>
      <c r="G561" s="27" t="str" cm="1">
        <f t="array" ref="G561">INDEX(Dest1!A:A,1+BIN2DEC(MID($B561,6,5)))</f>
        <v>OUT</v>
      </c>
      <c r="H561" s="27" t="str" cm="1">
        <f t="array" ref="H561">INDEX(Source2!A:A,1+BIN2DEC(MID($B561,11,4)))</f>
        <v>11</v>
      </c>
      <c r="I561" s="23" cm="1">
        <f t="array" ref="I561">INDEX('D2'!A:A,1+BIN2DEC(MID($B561,16,2)))</f>
        <v>1</v>
      </c>
      <c r="J561" s="6">
        <f t="shared" si="55"/>
        <v>1</v>
      </c>
      <c r="K561" s="6">
        <f t="shared" si="51"/>
        <v>0</v>
      </c>
      <c r="L561" s="6">
        <f t="shared" si="52"/>
        <v>0</v>
      </c>
      <c r="M561" s="3" t="str" cm="1">
        <f t="array" ref="M561">INDEX(Types!A:A,1+BIN2DEC(MID($B561,20,2)))</f>
        <v>Control</v>
      </c>
      <c r="N561" s="3" t="str" cm="1">
        <f t="array" ref="N561">IF(M561="ALU",INDEX(ALUOps!A:A,1+BIN2DEC(MID($B561,22,5))),"")</f>
        <v/>
      </c>
      <c r="O561" s="3" t="str" cm="1">
        <f t="array" ref="O561">IF(M561="ALU",INDEX(TMP!A:A,1+BIN2DEC(MID($B561,27,2))),"")</f>
        <v/>
      </c>
      <c r="P561" s="6" t="str">
        <f t="shared" si="57"/>
        <v/>
      </c>
      <c r="Q561" t="str">
        <f t="shared" si="59"/>
        <v/>
      </c>
      <c r="R561" t="str">
        <f t="shared" si="60"/>
        <v/>
      </c>
      <c r="S561" cm="1">
        <f t="array" ref="S561">IF(M561="Control",INDEX(IC!A:A,1+BIN2DEC(MID($B561,21,4))),"")</f>
        <v>0</v>
      </c>
      <c r="T561" cm="1">
        <f t="array" ref="T561">IF(M561="Control",INDEX(EC!A:A,1+BIN2DEC(MID($B561,25,3))),"")</f>
        <v>0</v>
      </c>
      <c r="U561" cm="1">
        <f t="array" ref="U561">IF(M561="Control",INDEX(SR!A:A,1+BIN2DEC(MID($B561,28,2))),"")</f>
        <v>0</v>
      </c>
    </row>
    <row r="562" spans="1:30" x14ac:dyDescent="0.25">
      <c r="A562" s="4" t="str">
        <f t="shared" si="58"/>
        <v>230</v>
      </c>
      <c r="B562" s="2" t="s">
        <v>545</v>
      </c>
      <c r="C562" s="2" t="s">
        <v>541</v>
      </c>
      <c r="D562" s="2" t="s">
        <v>931</v>
      </c>
      <c r="E562" s="2" t="s">
        <v>929</v>
      </c>
      <c r="F562" s="27" t="str" cm="1">
        <f t="array" ref="F562">INDEX(Sources!A:A, 1 + BIN2DEC(LEFT($B562,5)))</f>
        <v>UNK17</v>
      </c>
      <c r="G562" s="27" t="str" cm="1">
        <f t="array" ref="G562">INDEX(Dest1!A:A,1+BIN2DEC(MID($B562,6,5)))</f>
        <v>CS</v>
      </c>
      <c r="H562" s="27" t="str" cm="1">
        <f t="array" ref="H562">INDEX(Source2!A:A,1+BIN2DEC(MID($B562,11,4)))</f>
        <v>11</v>
      </c>
      <c r="I562" s="23" t="str" cm="1">
        <f t="array" ref="I562">INDEX('D2'!A:A,1+BIN2DEC(MID($B562,16,2)))</f>
        <v>TMPB</v>
      </c>
      <c r="J562" s="6">
        <f t="shared" si="55"/>
        <v>0</v>
      </c>
      <c r="K562" s="6">
        <f t="shared" si="51"/>
        <v>0</v>
      </c>
      <c r="L562" s="6">
        <f t="shared" si="52"/>
        <v>0</v>
      </c>
      <c r="M562" s="3" t="str" cm="1">
        <f t="array" ref="M562">INDEX(Types!A:A,1+BIN2DEC(MID($B562,20,2)))</f>
        <v>Control</v>
      </c>
      <c r="N562" s="3" t="str" cm="1">
        <f t="array" ref="N562">IF(M562="ALU",INDEX(ALUOps!A:A,1+BIN2DEC(MID($B562,22,5))),"")</f>
        <v/>
      </c>
      <c r="O562" s="3" t="str" cm="1">
        <f t="array" ref="O562">IF(M562="ALU",INDEX(TMP!A:A,1+BIN2DEC(MID($B562,27,2))),"")</f>
        <v/>
      </c>
      <c r="P562" s="6" t="str">
        <f t="shared" si="57"/>
        <v/>
      </c>
      <c r="Q562" t="str">
        <f t="shared" si="59"/>
        <v/>
      </c>
      <c r="R562" t="str">
        <f t="shared" si="60"/>
        <v/>
      </c>
      <c r="S562" cm="1">
        <f t="array" ref="S562">IF(M562="Control",INDEX(IC!A:A,1+BIN2DEC(MID($B562,21,4))),"")</f>
        <v>0</v>
      </c>
      <c r="T562" cm="1">
        <f t="array" ref="T562">IF(M562="Control",INDEX(EC!A:A,1+BIN2DEC(MID($B562,25,3))),"")</f>
        <v>5</v>
      </c>
      <c r="U562" cm="1">
        <f t="array" ref="U562">IF(M562="Control",INDEX(SR!A:A,1+BIN2DEC(MID($B562,28,2))),"")</f>
        <v>1</v>
      </c>
      <c r="AD562" s="1" t="s">
        <v>538</v>
      </c>
    </row>
    <row r="563" spans="1:30" x14ac:dyDescent="0.25">
      <c r="A563" s="4" t="str">
        <f t="shared" si="58"/>
        <v>231</v>
      </c>
      <c r="B563" s="2" t="s">
        <v>548</v>
      </c>
      <c r="C563" s="3"/>
      <c r="D563" s="3"/>
      <c r="E563" s="3"/>
      <c r="F563" s="27" t="str" cm="1">
        <f t="array" ref="F563">INDEX(Sources!A:A, 1 + BIN2DEC(LEFT($B563,5)))</f>
        <v>TMPB</v>
      </c>
      <c r="G563" s="27" t="str" cm="1">
        <f t="array" ref="G563">INDEX(Dest1!A:A,1+BIN2DEC(MID($B563,6,5)))</f>
        <v>PC</v>
      </c>
      <c r="H563" s="27" t="str" cm="1">
        <f t="array" ref="H563">INDEX(Source2!A:A,1+BIN2DEC(MID($B563,11,4)))</f>
        <v>--</v>
      </c>
      <c r="I563" s="23" cm="1">
        <f t="array" ref="I563">INDEX('D2'!A:A,1+BIN2DEC(MID($B563,16,2)))</f>
        <v>0</v>
      </c>
      <c r="J563" s="6">
        <f t="shared" si="55"/>
        <v>0</v>
      </c>
      <c r="K563" s="6">
        <f t="shared" si="51"/>
        <v>0</v>
      </c>
      <c r="L563" s="6">
        <f t="shared" si="52"/>
        <v>1</v>
      </c>
      <c r="M563" s="3" t="str" cm="1">
        <f t="array" ref="M563">INDEX(Types!A:A,1+BIN2DEC(MID($B563,20,2)))</f>
        <v>Control</v>
      </c>
      <c r="N563" s="3" t="str" cm="1">
        <f t="array" ref="N563">IF(M563="ALU",INDEX(ALUOps!A:A,1+BIN2DEC(MID($B563,22,5))),"")</f>
        <v/>
      </c>
      <c r="O563" s="3" t="str" cm="1">
        <f t="array" ref="O563">IF(M563="ALU",INDEX(TMP!A:A,1+BIN2DEC(MID($B563,27,2))),"")</f>
        <v/>
      </c>
      <c r="P563" s="6" t="str">
        <f t="shared" si="57"/>
        <v/>
      </c>
      <c r="Q563" t="str">
        <f t="shared" si="59"/>
        <v/>
      </c>
      <c r="R563" t="str">
        <f t="shared" si="60"/>
        <v/>
      </c>
      <c r="S563" cm="1">
        <f t="array" ref="S563">IF(M563="Control",INDEX(IC!A:A,1+BIN2DEC(MID($B563,21,4))),"")</f>
        <v>6</v>
      </c>
      <c r="T563" cm="1">
        <f t="array" ref="T563">IF(M563="Control",INDEX(EC!A:A,1+BIN2DEC(MID($B563,25,3))),"")</f>
        <v>0</v>
      </c>
      <c r="U563" cm="1">
        <f t="array" ref="U563">IF(M563="Control",INDEX(SR!A:A,1+BIN2DEC(MID($B563,28,2))),"")</f>
        <v>0</v>
      </c>
    </row>
    <row r="564" spans="1:30" x14ac:dyDescent="0.25">
      <c r="A564" s="4" t="str">
        <f t="shared" si="58"/>
        <v>232</v>
      </c>
      <c r="B564" s="2" t="s">
        <v>15</v>
      </c>
      <c r="C564" s="3"/>
      <c r="D564" s="3"/>
      <c r="E564" s="3"/>
      <c r="F564" s="27" t="str" cm="1">
        <f t="array" ref="F564">INDEX(Sources!A:A, 1 + BIN2DEC(LEFT($B564,5)))</f>
        <v>SIGMA</v>
      </c>
      <c r="G564" s="27" t="str" cm="1">
        <f t="array" ref="G564">INDEX(Dest1!A:A,1+BIN2DEC(MID($B564,6,5)))</f>
        <v>SP</v>
      </c>
      <c r="H564" s="27" t="str" cm="1">
        <f t="array" ref="H564">INDEX(Source2!A:A,1+BIN2DEC(MID($B564,11,4)))</f>
        <v>--</v>
      </c>
      <c r="I564" s="23" cm="1">
        <f t="array" ref="I564">INDEX('D2'!A:A,1+BIN2DEC(MID($B564,16,2)))</f>
        <v>0</v>
      </c>
      <c r="J564" s="6">
        <f t="shared" si="55"/>
        <v>0</v>
      </c>
      <c r="K564" s="6">
        <f t="shared" si="51"/>
        <v>0</v>
      </c>
      <c r="L564" s="6">
        <f t="shared" si="52"/>
        <v>0</v>
      </c>
      <c r="M564" s="3" t="str" cm="1">
        <f t="array" ref="M564">INDEX(Types!A:A,1+BIN2DEC(MID($B564,20,2)))</f>
        <v>Control</v>
      </c>
      <c r="N564" s="3" t="str" cm="1">
        <f t="array" ref="N564">IF(M564="ALU",INDEX(ALUOps!A:A,1+BIN2DEC(MID($B564,22,5))),"")</f>
        <v/>
      </c>
      <c r="O564" s="3" t="str" cm="1">
        <f t="array" ref="O564">IF(M564="ALU",INDEX(TMP!A:A,1+BIN2DEC(MID($B564,27,2))),"")</f>
        <v/>
      </c>
      <c r="P564" s="6" t="str">
        <f t="shared" si="57"/>
        <v/>
      </c>
      <c r="Q564" t="str">
        <f t="shared" si="59"/>
        <v/>
      </c>
      <c r="R564" t="str">
        <f t="shared" si="60"/>
        <v/>
      </c>
      <c r="S564" cm="1">
        <f t="array" ref="S564">IF(M564="Control",INDEX(IC!A:A,1+BIN2DEC(MID($B564,21,4))),"")</f>
        <v>0</v>
      </c>
      <c r="T564" cm="1">
        <f t="array" ref="T564">IF(M564="Control",INDEX(EC!A:A,1+BIN2DEC(MID($B564,25,3))),"")</f>
        <v>0</v>
      </c>
      <c r="U564" cm="1">
        <f t="array" ref="U564">IF(M564="Control",INDEX(SR!A:A,1+BIN2DEC(MID($B564,28,2))),"")</f>
        <v>0</v>
      </c>
    </row>
    <row r="565" spans="1:30" x14ac:dyDescent="0.25">
      <c r="A565" s="4" t="str">
        <f t="shared" si="58"/>
        <v>233</v>
      </c>
      <c r="B565" s="2" t="s">
        <v>4</v>
      </c>
      <c r="C565" s="3"/>
      <c r="D565" s="3"/>
      <c r="E565" s="3"/>
      <c r="F565" s="27" t="str" cm="1">
        <f t="array" ref="F565">INDEX(Sources!A:A, 1 + BIN2DEC(LEFT($B565,5)))</f>
        <v>--</v>
      </c>
      <c r="G565" s="27" t="str" cm="1">
        <f t="array" ref="G565">INDEX(Dest1!A:A,1+BIN2DEC(MID($B565,6,5)))</f>
        <v>--</v>
      </c>
      <c r="H565" s="27" t="str" cm="1">
        <f t="array" ref="H565">INDEX(Source2!A:A,1+BIN2DEC(MID($B565,11,4)))</f>
        <v>--</v>
      </c>
      <c r="I565" s="23" cm="1">
        <f t="array" ref="I565">INDEX('D2'!A:A,1+BIN2DEC(MID($B565,16,2)))</f>
        <v>0</v>
      </c>
      <c r="J565" s="6">
        <f t="shared" si="55"/>
        <v>0</v>
      </c>
      <c r="K565" s="6">
        <f t="shared" si="51"/>
        <v>0</v>
      </c>
      <c r="L565" s="6">
        <f t="shared" si="52"/>
        <v>0</v>
      </c>
      <c r="M565" s="3" t="str" cm="1">
        <f t="array" ref="M565">INDEX(Types!A:A,1+BIN2DEC(MID($B565,20,2)))</f>
        <v>Control</v>
      </c>
      <c r="N565" s="3" t="str" cm="1">
        <f t="array" ref="N565">IF(M565="ALU",INDEX(ALUOps!A:A,1+BIN2DEC(MID($B565,22,5))),"")</f>
        <v/>
      </c>
      <c r="O565" s="3" t="str" cm="1">
        <f t="array" ref="O565">IF(M565="ALU",INDEX(TMP!A:A,1+BIN2DEC(MID($B565,27,2))),"")</f>
        <v/>
      </c>
      <c r="P565" s="6" t="str">
        <f t="shared" si="57"/>
        <v/>
      </c>
      <c r="Q565" t="str">
        <f t="shared" si="59"/>
        <v/>
      </c>
      <c r="R565" t="str">
        <f t="shared" si="60"/>
        <v/>
      </c>
      <c r="S565" cm="1">
        <f t="array" ref="S565">IF(M565="Control",INDEX(IC!A:A,1+BIN2DEC(MID($B565,21,4))),"")</f>
        <v>0</v>
      </c>
      <c r="T565" cm="1">
        <f t="array" ref="T565">IF(M565="Control",INDEX(EC!A:A,1+BIN2DEC(MID($B565,25,3))),"")</f>
        <v>0</v>
      </c>
      <c r="U565" cm="1">
        <f t="array" ref="U565">IF(M565="Control",INDEX(SR!A:A,1+BIN2DEC(MID($B565,28,2))),"")</f>
        <v>0</v>
      </c>
    </row>
    <row r="566" spans="1:30" x14ac:dyDescent="0.25">
      <c r="A566" s="4" t="str">
        <f t="shared" si="58"/>
        <v>234</v>
      </c>
      <c r="B566" s="2" t="s">
        <v>549</v>
      </c>
      <c r="C566" s="2" t="s">
        <v>546</v>
      </c>
      <c r="D566" s="2" t="s">
        <v>931</v>
      </c>
      <c r="E566" s="2" t="s">
        <v>462</v>
      </c>
      <c r="F566" s="27" t="str" cm="1">
        <f t="array" ref="F566">INDEX(Sources!A:A, 1 + BIN2DEC(LEFT($B566,5)))</f>
        <v>OUT</v>
      </c>
      <c r="G566" s="27" t="str" cm="1">
        <f t="array" ref="G566">INDEX(Dest1!A:A,1+BIN2DEC(MID($B566,6,5)))</f>
        <v>UNK17</v>
      </c>
      <c r="H566" s="27" t="str" cm="1">
        <f t="array" ref="H566">INDEX(Source2!A:A,1+BIN2DEC(MID($B566,11,4)))</f>
        <v>--</v>
      </c>
      <c r="I566" s="23" cm="1">
        <f t="array" ref="I566">INDEX('D2'!A:A,1+BIN2DEC(MID($B566,16,2)))</f>
        <v>1</v>
      </c>
      <c r="J566" s="6">
        <f t="shared" si="55"/>
        <v>1</v>
      </c>
      <c r="K566" s="6">
        <f t="shared" si="51"/>
        <v>0</v>
      </c>
      <c r="L566" s="6">
        <f t="shared" si="52"/>
        <v>0</v>
      </c>
      <c r="M566" s="3" t="str" cm="1">
        <f t="array" ref="M566">INDEX(Types!A:A,1+BIN2DEC(MID($B566,20,2)))</f>
        <v>ALU</v>
      </c>
      <c r="N566" s="3" cm="1">
        <f t="array" ref="N566">IF(M566="ALU",INDEX(ALUOps!A:A,1+BIN2DEC(MID($B566,22,5))),"")</f>
        <v>31</v>
      </c>
      <c r="O566" s="3" cm="1">
        <f t="array" ref="O566">IF(M566="ALU",INDEX(TMP!A:A,1+BIN2DEC(MID($B566,27,2))),"")</f>
        <v>3</v>
      </c>
      <c r="P566" s="6">
        <f t="shared" si="57"/>
        <v>1</v>
      </c>
      <c r="Q566" t="str">
        <f t="shared" si="59"/>
        <v/>
      </c>
      <c r="R566" t="str">
        <f t="shared" si="60"/>
        <v/>
      </c>
      <c r="S566" t="str" cm="1">
        <f t="array" ref="S566">IF(M566="Control",INDEX(IC!A:A,1+BIN2DEC(MID($B566,21,4))),"")</f>
        <v/>
      </c>
      <c r="T566" t="str" cm="1">
        <f t="array" ref="T566">IF(M566="Control",INDEX(EC!A:A,1+BIN2DEC(MID($B566,25,3))),"")</f>
        <v/>
      </c>
      <c r="U566" t="str" cm="1">
        <f t="array" ref="U566">IF(M566="Control",INDEX(SR!A:A,1+BIN2DEC(MID($B566,28,2))),"")</f>
        <v/>
      </c>
      <c r="AD566" s="1" t="s">
        <v>547</v>
      </c>
    </row>
    <row r="567" spans="1:30" x14ac:dyDescent="0.25">
      <c r="A567" s="4" t="str">
        <f t="shared" si="58"/>
        <v>235</v>
      </c>
      <c r="B567" s="2" t="s">
        <v>15</v>
      </c>
      <c r="C567" s="3"/>
      <c r="D567" s="3"/>
      <c r="E567" s="3"/>
      <c r="F567" s="27" t="str" cm="1">
        <f t="array" ref="F567">INDEX(Sources!A:A, 1 + BIN2DEC(LEFT($B567,5)))</f>
        <v>SIGMA</v>
      </c>
      <c r="G567" s="27" t="str" cm="1">
        <f t="array" ref="G567">INDEX(Dest1!A:A,1+BIN2DEC(MID($B567,6,5)))</f>
        <v>SP</v>
      </c>
      <c r="H567" s="27" t="str" cm="1">
        <f t="array" ref="H567">INDEX(Source2!A:A,1+BIN2DEC(MID($B567,11,4)))</f>
        <v>--</v>
      </c>
      <c r="I567" s="23" cm="1">
        <f t="array" ref="I567">INDEX('D2'!A:A,1+BIN2DEC(MID($B567,16,2)))</f>
        <v>0</v>
      </c>
      <c r="J567" s="6">
        <f t="shared" si="55"/>
        <v>0</v>
      </c>
      <c r="K567" s="6">
        <f t="shared" si="51"/>
        <v>0</v>
      </c>
      <c r="L567" s="6">
        <f t="shared" si="52"/>
        <v>0</v>
      </c>
      <c r="M567" s="3" t="str" cm="1">
        <f t="array" ref="M567">INDEX(Types!A:A,1+BIN2DEC(MID($B567,20,2)))</f>
        <v>Control</v>
      </c>
      <c r="N567" s="3" t="str" cm="1">
        <f t="array" ref="N567">IF(M567="ALU",INDEX(ALUOps!A:A,1+BIN2DEC(MID($B567,22,5))),"")</f>
        <v/>
      </c>
      <c r="O567" s="3" t="str" cm="1">
        <f t="array" ref="O567">IF(M567="ALU",INDEX(TMP!A:A,1+BIN2DEC(MID($B567,27,2))),"")</f>
        <v/>
      </c>
      <c r="P567" s="6" t="str">
        <f t="shared" si="57"/>
        <v/>
      </c>
      <c r="Q567" t="str">
        <f t="shared" si="59"/>
        <v/>
      </c>
      <c r="R567" t="str">
        <f t="shared" si="60"/>
        <v/>
      </c>
      <c r="S567" cm="1">
        <f t="array" ref="S567">IF(M567="Control",INDEX(IC!A:A,1+BIN2DEC(MID($B567,21,4))),"")</f>
        <v>0</v>
      </c>
      <c r="T567" cm="1">
        <f t="array" ref="T567">IF(M567="Control",INDEX(EC!A:A,1+BIN2DEC(MID($B567,25,3))),"")</f>
        <v>0</v>
      </c>
      <c r="U567" cm="1">
        <f t="array" ref="U567">IF(M567="Control",INDEX(SR!A:A,1+BIN2DEC(MID($B567,28,2))),"")</f>
        <v>0</v>
      </c>
    </row>
    <row r="568" spans="1:30" x14ac:dyDescent="0.25">
      <c r="A568" s="4" t="str">
        <f t="shared" si="58"/>
        <v>236</v>
      </c>
      <c r="B568" s="2" t="s">
        <v>447</v>
      </c>
      <c r="C568" s="3"/>
      <c r="D568" s="3"/>
      <c r="E568" s="3"/>
      <c r="F568" s="27" t="str" cm="1">
        <f t="array" ref="F568">INDEX(Sources!A:A, 1 + BIN2DEC(LEFT($B568,5)))</f>
        <v>OUT</v>
      </c>
      <c r="G568" s="27" t="str" cm="1">
        <f t="array" ref="G568">INDEX(Dest1!A:A,1+BIN2DEC(MID($B568,6,5)))</f>
        <v>CS</v>
      </c>
      <c r="H568" s="27" t="str" cm="1">
        <f t="array" ref="H568">INDEX(Source2!A:A,1+BIN2DEC(MID($B568,11,4)))</f>
        <v>--</v>
      </c>
      <c r="I568" s="23" cm="1">
        <f t="array" ref="I568">INDEX('D2'!A:A,1+BIN2DEC(MID($B568,16,2)))</f>
        <v>1</v>
      </c>
      <c r="J568" s="6">
        <f t="shared" si="55"/>
        <v>1</v>
      </c>
      <c r="K568" s="6">
        <f t="shared" si="51"/>
        <v>0</v>
      </c>
      <c r="L568" s="6">
        <f t="shared" si="52"/>
        <v>0</v>
      </c>
      <c r="M568" s="3" t="str" cm="1">
        <f t="array" ref="M568">INDEX(Types!A:A,1+BIN2DEC(MID($B568,20,2)))</f>
        <v>Control</v>
      </c>
      <c r="N568" s="3" t="str" cm="1">
        <f t="array" ref="N568">IF(M568="ALU",INDEX(ALUOps!A:A,1+BIN2DEC(MID($B568,22,5))),"")</f>
        <v/>
      </c>
      <c r="O568" s="3" t="str" cm="1">
        <f t="array" ref="O568">IF(M568="ALU",INDEX(TMP!A:A,1+BIN2DEC(MID($B568,27,2))),"")</f>
        <v/>
      </c>
      <c r="P568" s="6" t="str">
        <f t="shared" si="57"/>
        <v/>
      </c>
      <c r="Q568" t="str">
        <f t="shared" si="59"/>
        <v/>
      </c>
      <c r="R568" t="str">
        <f t="shared" si="60"/>
        <v/>
      </c>
      <c r="S568" cm="1">
        <f t="array" ref="S568">IF(M568="Control",INDEX(IC!A:A,1+BIN2DEC(MID($B568,21,4))),"")</f>
        <v>0</v>
      </c>
      <c r="T568" cm="1">
        <f t="array" ref="T568">IF(M568="Control",INDEX(EC!A:A,1+BIN2DEC(MID($B568,25,3))),"")</f>
        <v>0</v>
      </c>
      <c r="U568" cm="1">
        <f t="array" ref="U568">IF(M568="Control",INDEX(SR!A:A,1+BIN2DEC(MID($B568,28,2))),"")</f>
        <v>0</v>
      </c>
    </row>
    <row r="569" spans="1:30" x14ac:dyDescent="0.25">
      <c r="A569" s="4" t="str">
        <f t="shared" si="58"/>
        <v>237</v>
      </c>
      <c r="B569" s="2" t="s">
        <v>552</v>
      </c>
      <c r="C569" s="3"/>
      <c r="D569" s="3"/>
      <c r="E569" s="3"/>
      <c r="F569" s="27" t="str" cm="1">
        <f t="array" ref="F569">INDEX(Sources!A:A, 1 + BIN2DEC(LEFT($B569,5)))</f>
        <v>UNK17</v>
      </c>
      <c r="G569" s="27" t="str" cm="1">
        <f t="array" ref="G569">INDEX(Dest1!A:A,1+BIN2DEC(MID($B569,6,5)))</f>
        <v>PC</v>
      </c>
      <c r="H569" s="27" t="str" cm="1">
        <f t="array" ref="H569">INDEX(Source2!A:A,1+BIN2DEC(MID($B569,11,4)))</f>
        <v>--</v>
      </c>
      <c r="I569" s="23" cm="1">
        <f t="array" ref="I569">INDEX('D2'!A:A,1+BIN2DEC(MID($B569,16,2)))</f>
        <v>0</v>
      </c>
      <c r="J569" s="6">
        <f t="shared" si="55"/>
        <v>0</v>
      </c>
      <c r="K569" s="6">
        <f t="shared" si="51"/>
        <v>0</v>
      </c>
      <c r="L569" s="6">
        <f t="shared" si="52"/>
        <v>1</v>
      </c>
      <c r="M569" s="3" t="str" cm="1">
        <f t="array" ref="M569">INDEX(Types!A:A,1+BIN2DEC(MID($B569,20,2)))</f>
        <v>Control</v>
      </c>
      <c r="N569" s="3" t="str" cm="1">
        <f t="array" ref="N569">IF(M569="ALU",INDEX(ALUOps!A:A,1+BIN2DEC(MID($B569,22,5))),"")</f>
        <v/>
      </c>
      <c r="O569" s="3" t="str" cm="1">
        <f t="array" ref="O569">IF(M569="ALU",INDEX(TMP!A:A,1+BIN2DEC(MID($B569,27,2))),"")</f>
        <v/>
      </c>
      <c r="P569" s="6" t="str">
        <f t="shared" si="57"/>
        <v/>
      </c>
      <c r="Q569" t="str">
        <f t="shared" si="59"/>
        <v/>
      </c>
      <c r="R569" t="str">
        <f t="shared" si="60"/>
        <v/>
      </c>
      <c r="S569" cm="1">
        <f t="array" ref="S569">IF(M569="Control",INDEX(IC!A:A,1+BIN2DEC(MID($B569,21,4))),"")</f>
        <v>6</v>
      </c>
      <c r="T569" cm="1">
        <f t="array" ref="T569">IF(M569="Control",INDEX(EC!A:A,1+BIN2DEC(MID($B569,25,3))),"")</f>
        <v>0</v>
      </c>
      <c r="U569" cm="1">
        <f t="array" ref="U569">IF(M569="Control",INDEX(SR!A:A,1+BIN2DEC(MID($B569,28,2))),"")</f>
        <v>0</v>
      </c>
    </row>
    <row r="570" spans="1:30" x14ac:dyDescent="0.25">
      <c r="A570" s="4" t="str">
        <f t="shared" si="58"/>
        <v>238</v>
      </c>
      <c r="B570" s="2" t="s">
        <v>17</v>
      </c>
      <c r="C570" s="2" t="s">
        <v>550</v>
      </c>
      <c r="D570" s="2" t="s">
        <v>928</v>
      </c>
      <c r="E570" s="2" t="s">
        <v>462</v>
      </c>
      <c r="F570" s="27" t="str" cm="1">
        <f t="array" ref="F570">INDEX(Sources!A:A, 1 + BIN2DEC(LEFT($B570,5)))</f>
        <v>SP</v>
      </c>
      <c r="G570" s="27" t="str" cm="1">
        <f t="array" ref="G570">INDEX(Dest1!A:A,1+BIN2DEC(MID($B570,6,5)))</f>
        <v>TMPA</v>
      </c>
      <c r="H570" s="27" t="str" cm="1">
        <f t="array" ref="H570">INDEX(Source2!A:A,1+BIN2DEC(MID($B570,11,4)))</f>
        <v>--</v>
      </c>
      <c r="I570" s="23" cm="1">
        <f t="array" ref="I570">INDEX('D2'!A:A,1+BIN2DEC(MID($B570,16,2)))</f>
        <v>0</v>
      </c>
      <c r="J570" s="6">
        <f t="shared" si="55"/>
        <v>0</v>
      </c>
      <c r="K570" s="6">
        <f t="shared" si="51"/>
        <v>0</v>
      </c>
      <c r="L570" s="6">
        <f t="shared" si="52"/>
        <v>0</v>
      </c>
      <c r="M570" s="3" t="str" cm="1">
        <f t="array" ref="M570">INDEX(Types!A:A,1+BIN2DEC(MID($B570,20,2)))</f>
        <v>ALU</v>
      </c>
      <c r="N570" s="3" cm="1">
        <f t="array" ref="N570">IF(M570="ALU",INDEX(ALUOps!A:A,1+BIN2DEC(MID($B570,22,5))),"")</f>
        <v>2</v>
      </c>
      <c r="O570" s="3" cm="1">
        <f t="array" ref="O570">IF(M570="ALU",INDEX(TMP!A:A,1+BIN2DEC(MID($B570,27,2))),"")</f>
        <v>2</v>
      </c>
      <c r="P570" s="6">
        <f t="shared" si="57"/>
        <v>1</v>
      </c>
      <c r="Q570" t="str">
        <f t="shared" si="59"/>
        <v/>
      </c>
      <c r="R570" t="str">
        <f t="shared" si="60"/>
        <v/>
      </c>
      <c r="S570" t="str" cm="1">
        <f t="array" ref="S570">IF(M570="Control",INDEX(IC!A:A,1+BIN2DEC(MID($B570,21,4))),"")</f>
        <v/>
      </c>
      <c r="T570" t="str" cm="1">
        <f t="array" ref="T570">IF(M570="Control",INDEX(EC!A:A,1+BIN2DEC(MID($B570,25,3))),"")</f>
        <v/>
      </c>
      <c r="U570" t="str" cm="1">
        <f t="array" ref="U570">IF(M570="Control",INDEX(SR!A:A,1+BIN2DEC(MID($B570,28,2))),"")</f>
        <v/>
      </c>
      <c r="AD570" s="1" t="s">
        <v>551</v>
      </c>
    </row>
    <row r="571" spans="1:30" x14ac:dyDescent="0.25">
      <c r="A571" s="4" t="str">
        <f t="shared" si="58"/>
        <v>239</v>
      </c>
      <c r="B571" s="2" t="s">
        <v>555</v>
      </c>
      <c r="C571" s="3"/>
      <c r="D571" s="3"/>
      <c r="E571" s="3"/>
      <c r="F571" s="27" t="str" cm="1">
        <f t="array" ref="F571">INDEX(Sources!A:A, 1 + BIN2DEC(LEFT($B571,5)))</f>
        <v>A</v>
      </c>
      <c r="G571" s="27" t="str" cm="1">
        <f t="array" ref="G571">INDEX(Dest1!A:A,1+BIN2DEC(MID($B571,6,5)))</f>
        <v>OUT</v>
      </c>
      <c r="H571" s="27" t="str" cm="1">
        <f t="array" ref="H571">INDEX(Source2!A:A,1+BIN2DEC(MID($B571,11,4)))</f>
        <v>11</v>
      </c>
      <c r="I571" s="23" cm="1">
        <f t="array" ref="I571">INDEX('D2'!A:A,1+BIN2DEC(MID($B571,16,2)))</f>
        <v>3</v>
      </c>
      <c r="J571" s="6">
        <f t="shared" si="55"/>
        <v>1</v>
      </c>
      <c r="K571" s="6">
        <f t="shared" si="51"/>
        <v>0</v>
      </c>
      <c r="L571" s="6">
        <f t="shared" si="52"/>
        <v>0</v>
      </c>
      <c r="M571" s="3" t="str" cm="1">
        <f t="array" ref="M571">INDEX(Types!A:A,1+BIN2DEC(MID($B571,20,2)))</f>
        <v>Control</v>
      </c>
      <c r="N571" s="3" t="str" cm="1">
        <f t="array" ref="N571">IF(M571="ALU",INDEX(ALUOps!A:A,1+BIN2DEC(MID($B571,22,5))),"")</f>
        <v/>
      </c>
      <c r="O571" s="3" t="str" cm="1">
        <f t="array" ref="O571">IF(M571="ALU",INDEX(TMP!A:A,1+BIN2DEC(MID($B571,27,2))),"")</f>
        <v/>
      </c>
      <c r="P571" s="6" t="str">
        <f t="shared" si="57"/>
        <v/>
      </c>
      <c r="Q571" t="str">
        <f t="shared" si="59"/>
        <v/>
      </c>
      <c r="R571" t="str">
        <f t="shared" si="60"/>
        <v/>
      </c>
      <c r="S571" cm="1">
        <f t="array" ref="S571">IF(M571="Control",INDEX(IC!A:A,1+BIN2DEC(MID($B571,21,4))),"")</f>
        <v>0</v>
      </c>
      <c r="T571" cm="1">
        <f t="array" ref="T571">IF(M571="Control",INDEX(EC!A:A,1+BIN2DEC(MID($B571,25,3))),"")</f>
        <v>0</v>
      </c>
      <c r="U571" cm="1">
        <f t="array" ref="U571">IF(M571="Control",INDEX(SR!A:A,1+BIN2DEC(MID($B571,28,2))),"")</f>
        <v>0</v>
      </c>
    </row>
    <row r="572" spans="1:30" x14ac:dyDescent="0.25">
      <c r="A572" s="4" t="str">
        <f t="shared" si="58"/>
        <v>23A</v>
      </c>
      <c r="B572" s="2" t="s">
        <v>556</v>
      </c>
      <c r="C572" s="3"/>
      <c r="D572" s="3"/>
      <c r="E572" s="3"/>
      <c r="F572" s="27" t="str" cm="1">
        <f t="array" ref="F572">INDEX(Sources!A:A, 1 + BIN2DEC(LEFT($B572,5)))</f>
        <v>SIGMA</v>
      </c>
      <c r="G572" s="27" t="str" cm="1">
        <f t="array" ref="G572">INDEX(Dest1!A:A,1+BIN2DEC(MID($B572,6,5)))</f>
        <v>TMPA</v>
      </c>
      <c r="H572" s="27" t="str" cm="1">
        <f t="array" ref="H572">INDEX(Source2!A:A,1+BIN2DEC(MID($B572,11,4)))</f>
        <v>--</v>
      </c>
      <c r="I572" s="23" cm="1">
        <f t="array" ref="I572">INDEX('D2'!A:A,1+BIN2DEC(MID($B572,16,2)))</f>
        <v>0</v>
      </c>
      <c r="J572" s="6">
        <f t="shared" si="55"/>
        <v>0</v>
      </c>
      <c r="K572" s="6">
        <f t="shared" si="51"/>
        <v>0</v>
      </c>
      <c r="L572" s="6">
        <f t="shared" si="52"/>
        <v>0</v>
      </c>
      <c r="M572" s="3" t="str" cm="1">
        <f t="array" ref="M572">INDEX(Types!A:A,1+BIN2DEC(MID($B572,20,2)))</f>
        <v>Control</v>
      </c>
      <c r="N572" s="3" t="str" cm="1">
        <f t="array" ref="N572">IF(M572="ALU",INDEX(ALUOps!A:A,1+BIN2DEC(MID($B572,22,5))),"")</f>
        <v/>
      </c>
      <c r="O572" s="3" t="str" cm="1">
        <f t="array" ref="O572">IF(M572="ALU",INDEX(TMP!A:A,1+BIN2DEC(MID($B572,27,2))),"")</f>
        <v/>
      </c>
      <c r="P572" s="6" t="str">
        <f t="shared" si="57"/>
        <v/>
      </c>
      <c r="Q572" t="str">
        <f t="shared" si="59"/>
        <v/>
      </c>
      <c r="R572" t="str">
        <f t="shared" si="60"/>
        <v/>
      </c>
      <c r="S572" cm="1">
        <f t="array" ref="S572">IF(M572="Control",INDEX(IC!A:A,1+BIN2DEC(MID($B572,21,4))),"")</f>
        <v>0</v>
      </c>
      <c r="T572" cm="1">
        <f t="array" ref="T572">IF(M572="Control",INDEX(EC!A:A,1+BIN2DEC(MID($B572,25,3))),"")</f>
        <v>5</v>
      </c>
      <c r="U572" cm="1">
        <f t="array" ref="U572">IF(M572="Control",INDEX(SR!A:A,1+BIN2DEC(MID($B572,28,2))),"")</f>
        <v>1</v>
      </c>
    </row>
    <row r="573" spans="1:30" x14ac:dyDescent="0.25">
      <c r="A573" s="4" t="str">
        <f t="shared" si="58"/>
        <v>23B</v>
      </c>
      <c r="B573" s="2" t="s">
        <v>557</v>
      </c>
      <c r="C573" s="3"/>
      <c r="D573" s="3"/>
      <c r="E573" s="3"/>
      <c r="F573" s="27" t="str" cm="1">
        <f t="array" ref="F573">INDEX(Sources!A:A, 1 + BIN2DEC(LEFT($B573,5)))</f>
        <v>C</v>
      </c>
      <c r="G573" s="27" t="str" cm="1">
        <f t="array" ref="G573">INDEX(Dest1!A:A,1+BIN2DEC(MID($B573,6,5)))</f>
        <v>OUT</v>
      </c>
      <c r="H573" s="27" t="str" cm="1">
        <f t="array" ref="H573">INDEX(Source2!A:A,1+BIN2DEC(MID($B573,11,4)))</f>
        <v>--</v>
      </c>
      <c r="I573" s="23" cm="1">
        <f t="array" ref="I573">INDEX('D2'!A:A,1+BIN2DEC(MID($B573,16,2)))</f>
        <v>1</v>
      </c>
      <c r="J573" s="6">
        <f t="shared" si="55"/>
        <v>1</v>
      </c>
      <c r="K573" s="6">
        <f t="shared" si="51"/>
        <v>0</v>
      </c>
      <c r="L573" s="6">
        <f t="shared" si="52"/>
        <v>0</v>
      </c>
      <c r="M573" s="3" t="str" cm="1">
        <f t="array" ref="M573">INDEX(Types!A:A,1+BIN2DEC(MID($B573,20,2)))</f>
        <v>Control</v>
      </c>
      <c r="N573" s="3" t="str" cm="1">
        <f t="array" ref="N573">IF(M573="ALU",INDEX(ALUOps!A:A,1+BIN2DEC(MID($B573,22,5))),"")</f>
        <v/>
      </c>
      <c r="O573" s="3" t="str" cm="1">
        <f t="array" ref="O573">IF(M573="ALU",INDEX(TMP!A:A,1+BIN2DEC(MID($B573,27,2))),"")</f>
        <v/>
      </c>
      <c r="P573" s="6" t="str">
        <f t="shared" si="57"/>
        <v/>
      </c>
      <c r="Q573" t="str">
        <f t="shared" si="59"/>
        <v/>
      </c>
      <c r="R573" t="str">
        <f t="shared" si="60"/>
        <v/>
      </c>
      <c r="S573" cm="1">
        <f t="array" ref="S573">IF(M573="Control",INDEX(IC!A:A,1+BIN2DEC(MID($B573,21,4))),"")</f>
        <v>1</v>
      </c>
      <c r="T573" cm="1">
        <f t="array" ref="T573">IF(M573="Control",INDEX(EC!A:A,1+BIN2DEC(MID($B573,25,3))),"")</f>
        <v>5</v>
      </c>
      <c r="U573" cm="1">
        <f t="array" ref="U573">IF(M573="Control",INDEX(SR!A:A,1+BIN2DEC(MID($B573,28,2))),"")</f>
        <v>0</v>
      </c>
    </row>
    <row r="574" spans="1:30" x14ac:dyDescent="0.25">
      <c r="A574" s="4" t="str">
        <f t="shared" si="58"/>
        <v>23C</v>
      </c>
      <c r="B574" s="2" t="s">
        <v>558</v>
      </c>
      <c r="C574" s="2" t="s">
        <v>553</v>
      </c>
      <c r="D574" s="2" t="s">
        <v>931</v>
      </c>
      <c r="E574" s="2" t="s">
        <v>462</v>
      </c>
      <c r="F574" s="27" t="str" cm="1">
        <f t="array" ref="F574">INDEX(Sources!A:A, 1 + BIN2DEC(LEFT($B574,5)))</f>
        <v>SIGMA</v>
      </c>
      <c r="G574" s="27" t="str" cm="1">
        <f t="array" ref="G574">INDEX(Dest1!A:A,1+BIN2DEC(MID($B574,6,5)))</f>
        <v>TMPA</v>
      </c>
      <c r="H574" s="27" t="str" cm="1">
        <f t="array" ref="H574">INDEX(Source2!A:A,1+BIN2DEC(MID($B574,11,4)))</f>
        <v>11</v>
      </c>
      <c r="I574" s="23" t="str" cm="1">
        <f t="array" ref="I574">INDEX('D2'!A:A,1+BIN2DEC(MID($B574,16,2)))</f>
        <v>TMPB</v>
      </c>
      <c r="J574" s="6">
        <f t="shared" si="55"/>
        <v>0</v>
      </c>
      <c r="K574" s="6">
        <f t="shared" si="51"/>
        <v>0</v>
      </c>
      <c r="L574" s="6">
        <f t="shared" si="52"/>
        <v>0</v>
      </c>
      <c r="M574" s="3" t="str" cm="1">
        <f t="array" ref="M574">INDEX(Types!A:A,1+BIN2DEC(MID($B574,20,2)))</f>
        <v>Control</v>
      </c>
      <c r="N574" s="3" t="str" cm="1">
        <f t="array" ref="N574">IF(M574="ALU",INDEX(ALUOps!A:A,1+BIN2DEC(MID($B574,22,5))),"")</f>
        <v/>
      </c>
      <c r="O574" s="3" t="str" cm="1">
        <f t="array" ref="O574">IF(M574="ALU",INDEX(TMP!A:A,1+BIN2DEC(MID($B574,27,2))),"")</f>
        <v/>
      </c>
      <c r="P574" s="6" t="str">
        <f t="shared" si="57"/>
        <v/>
      </c>
      <c r="Q574" t="str">
        <f t="shared" si="59"/>
        <v/>
      </c>
      <c r="R574" t="str">
        <f t="shared" si="60"/>
        <v/>
      </c>
      <c r="S574" cm="1">
        <f t="array" ref="S574">IF(M574="Control",INDEX(IC!A:A,1+BIN2DEC(MID($B574,21,4))),"")</f>
        <v>0</v>
      </c>
      <c r="T574" cm="1">
        <f t="array" ref="T574">IF(M574="Control",INDEX(EC!A:A,1+BIN2DEC(MID($B574,25,3))),"")</f>
        <v>5</v>
      </c>
      <c r="U574" cm="1">
        <f t="array" ref="U574">IF(M574="Control",INDEX(SR!A:A,1+BIN2DEC(MID($B574,28,2))),"")</f>
        <v>1</v>
      </c>
      <c r="AD574" s="1" t="s">
        <v>554</v>
      </c>
    </row>
    <row r="575" spans="1:30" x14ac:dyDescent="0.25">
      <c r="A575" s="4" t="str">
        <f t="shared" si="58"/>
        <v>23D</v>
      </c>
      <c r="B575" s="2" t="s">
        <v>560</v>
      </c>
      <c r="C575" s="3"/>
      <c r="D575" s="3"/>
      <c r="E575" s="3"/>
      <c r="F575" s="27" t="str" cm="1">
        <f t="array" ref="F575">INDEX(Sources!A:A, 1 + BIN2DEC(LEFT($B575,5)))</f>
        <v>UNK5</v>
      </c>
      <c r="G575" s="27" t="str" cm="1">
        <f t="array" ref="G575">INDEX(Dest1!A:A,1+BIN2DEC(MID($B575,6,5)))</f>
        <v>OUT</v>
      </c>
      <c r="H575" s="27" t="str" cm="1">
        <f t="array" ref="H575">INDEX(Source2!A:A,1+BIN2DEC(MID($B575,11,4)))</f>
        <v>--</v>
      </c>
      <c r="I575" s="23" cm="1">
        <f t="array" ref="I575">INDEX('D2'!A:A,1+BIN2DEC(MID($B575,16,2)))</f>
        <v>1</v>
      </c>
      <c r="J575" s="6">
        <f t="shared" si="55"/>
        <v>1</v>
      </c>
      <c r="K575" s="6">
        <f t="shared" si="51"/>
        <v>0</v>
      </c>
      <c r="L575" s="6">
        <f t="shared" si="52"/>
        <v>0</v>
      </c>
      <c r="M575" s="3" t="str" cm="1">
        <f t="array" ref="M575">INDEX(Types!A:A,1+BIN2DEC(MID($B575,20,2)))</f>
        <v>Control</v>
      </c>
      <c r="N575" s="3" t="str" cm="1">
        <f t="array" ref="N575">IF(M575="ALU",INDEX(ALUOps!A:A,1+BIN2DEC(MID($B575,22,5))),"")</f>
        <v/>
      </c>
      <c r="O575" s="3" t="str" cm="1">
        <f t="array" ref="O575">IF(M575="ALU",INDEX(TMP!A:A,1+BIN2DEC(MID($B575,27,2))),"")</f>
        <v/>
      </c>
      <c r="P575" s="6" t="str">
        <f t="shared" si="57"/>
        <v/>
      </c>
      <c r="Q575" t="str">
        <f t="shared" si="59"/>
        <v/>
      </c>
      <c r="R575" t="str">
        <f t="shared" si="60"/>
        <v/>
      </c>
      <c r="S575" cm="1">
        <f t="array" ref="S575">IF(M575="Control",INDEX(IC!A:A,1+BIN2DEC(MID($B575,21,4))),"")</f>
        <v>0</v>
      </c>
      <c r="T575" cm="1">
        <f t="array" ref="T575">IF(M575="Control",INDEX(EC!A:A,1+BIN2DEC(MID($B575,25,3))),"")</f>
        <v>0</v>
      </c>
      <c r="U575" cm="1">
        <f t="array" ref="U575">IF(M575="Control",INDEX(SR!A:A,1+BIN2DEC(MID($B575,28,2))),"")</f>
        <v>0</v>
      </c>
    </row>
    <row r="576" spans="1:30" x14ac:dyDescent="0.25">
      <c r="A576" s="4" t="str">
        <f t="shared" si="58"/>
        <v>23E</v>
      </c>
      <c r="B576" s="2" t="s">
        <v>558</v>
      </c>
      <c r="C576" s="3"/>
      <c r="D576" s="3"/>
      <c r="E576" s="3"/>
      <c r="F576" s="27" t="str" cm="1">
        <f t="array" ref="F576">INDEX(Sources!A:A, 1 + BIN2DEC(LEFT($B576,5)))</f>
        <v>SIGMA</v>
      </c>
      <c r="G576" s="27" t="str" cm="1">
        <f t="array" ref="G576">INDEX(Dest1!A:A,1+BIN2DEC(MID($B576,6,5)))</f>
        <v>TMPA</v>
      </c>
      <c r="H576" s="27" t="str" cm="1">
        <f t="array" ref="H576">INDEX(Source2!A:A,1+BIN2DEC(MID($B576,11,4)))</f>
        <v>11</v>
      </c>
      <c r="I576" s="23" t="str" cm="1">
        <f t="array" ref="I576">INDEX('D2'!A:A,1+BIN2DEC(MID($B576,16,2)))</f>
        <v>TMPB</v>
      </c>
      <c r="J576" s="6">
        <f t="shared" si="55"/>
        <v>0</v>
      </c>
      <c r="K576" s="6">
        <f t="shared" si="51"/>
        <v>0</v>
      </c>
      <c r="L576" s="6">
        <f t="shared" si="52"/>
        <v>0</v>
      </c>
      <c r="M576" s="3" t="str" cm="1">
        <f t="array" ref="M576">INDEX(Types!A:A,1+BIN2DEC(MID($B576,20,2)))</f>
        <v>Control</v>
      </c>
      <c r="N576" s="3" t="str" cm="1">
        <f t="array" ref="N576">IF(M576="ALU",INDEX(ALUOps!A:A,1+BIN2DEC(MID($B576,22,5))),"")</f>
        <v/>
      </c>
      <c r="O576" s="3" t="str" cm="1">
        <f t="array" ref="O576">IF(M576="ALU",INDEX(TMP!A:A,1+BIN2DEC(MID($B576,27,2))),"")</f>
        <v/>
      </c>
      <c r="P576" s="6" t="str">
        <f t="shared" si="57"/>
        <v/>
      </c>
      <c r="Q576" t="str">
        <f t="shared" si="59"/>
        <v/>
      </c>
      <c r="R576" t="str">
        <f t="shared" si="60"/>
        <v/>
      </c>
      <c r="S576" cm="1">
        <f t="array" ref="S576">IF(M576="Control",INDEX(IC!A:A,1+BIN2DEC(MID($B576,21,4))),"")</f>
        <v>0</v>
      </c>
      <c r="T576" cm="1">
        <f t="array" ref="T576">IF(M576="Control",INDEX(EC!A:A,1+BIN2DEC(MID($B576,25,3))),"")</f>
        <v>5</v>
      </c>
      <c r="U576" cm="1">
        <f t="array" ref="U576">IF(M576="Control",INDEX(SR!A:A,1+BIN2DEC(MID($B576,28,2))),"")</f>
        <v>1</v>
      </c>
    </row>
    <row r="577" spans="1:30" x14ac:dyDescent="0.25">
      <c r="A577" s="4" t="str">
        <f t="shared" si="58"/>
        <v>23F</v>
      </c>
      <c r="B577" s="2" t="s">
        <v>561</v>
      </c>
      <c r="C577" s="3"/>
      <c r="D577" s="3"/>
      <c r="E577" s="3"/>
      <c r="F577" s="27" t="str" cm="1">
        <f t="array" ref="F577">INDEX(Sources!A:A, 1 + BIN2DEC(LEFT($B577,5)))</f>
        <v>UNK4</v>
      </c>
      <c r="G577" s="27" t="str" cm="1">
        <f t="array" ref="G577">INDEX(Dest1!A:A,1+BIN2DEC(MID($B577,6,5)))</f>
        <v>OUT</v>
      </c>
      <c r="H577" s="27" t="str" cm="1">
        <f t="array" ref="H577">INDEX(Source2!A:A,1+BIN2DEC(MID($B577,11,4)))</f>
        <v>--</v>
      </c>
      <c r="I577" s="23" cm="1">
        <f t="array" ref="I577">INDEX('D2'!A:A,1+BIN2DEC(MID($B577,16,2)))</f>
        <v>1</v>
      </c>
      <c r="J577" s="6">
        <f t="shared" si="55"/>
        <v>1</v>
      </c>
      <c r="K577" s="6">
        <f t="shared" si="51"/>
        <v>0</v>
      </c>
      <c r="L577" s="6">
        <f t="shared" si="52"/>
        <v>0</v>
      </c>
      <c r="M577" s="3" t="str" cm="1">
        <f t="array" ref="M577">INDEX(Types!A:A,1+BIN2DEC(MID($B577,20,2)))</f>
        <v>Control</v>
      </c>
      <c r="N577" s="3" t="str" cm="1">
        <f t="array" ref="N577">IF(M577="ALU",INDEX(ALUOps!A:A,1+BIN2DEC(MID($B577,22,5))),"")</f>
        <v/>
      </c>
      <c r="O577" s="3" t="str" cm="1">
        <f t="array" ref="O577">IF(M577="ALU",INDEX(TMP!A:A,1+BIN2DEC(MID($B577,27,2))),"")</f>
        <v/>
      </c>
      <c r="P577" s="6" t="str">
        <f t="shared" si="57"/>
        <v/>
      </c>
      <c r="Q577" t="str">
        <f t="shared" si="59"/>
        <v/>
      </c>
      <c r="R577" t="str">
        <f t="shared" si="60"/>
        <v/>
      </c>
      <c r="S577" cm="1">
        <f t="array" ref="S577">IF(M577="Control",INDEX(IC!A:A,1+BIN2DEC(MID($B577,21,4))),"")</f>
        <v>0</v>
      </c>
      <c r="T577" cm="1">
        <f t="array" ref="T577">IF(M577="Control",INDEX(EC!A:A,1+BIN2DEC(MID($B577,25,3))),"")</f>
        <v>0</v>
      </c>
      <c r="U577" cm="1">
        <f t="array" ref="U577">IF(M577="Control",INDEX(SR!A:A,1+BIN2DEC(MID($B577,28,2))),"")</f>
        <v>0</v>
      </c>
    </row>
    <row r="578" spans="1:30" x14ac:dyDescent="0.25">
      <c r="A578" s="4" t="str">
        <f t="shared" si="58"/>
        <v>240</v>
      </c>
      <c r="B578" s="2" t="s">
        <v>558</v>
      </c>
      <c r="C578" s="2" t="s">
        <v>559</v>
      </c>
      <c r="D578" s="2" t="s">
        <v>931</v>
      </c>
      <c r="E578" s="2" t="s">
        <v>929</v>
      </c>
      <c r="F578" s="27" t="str" cm="1">
        <f t="array" ref="F578">INDEX(Sources!A:A, 1 + BIN2DEC(LEFT($B578,5)))</f>
        <v>SIGMA</v>
      </c>
      <c r="G578" s="27" t="str" cm="1">
        <f t="array" ref="G578">INDEX(Dest1!A:A,1+BIN2DEC(MID($B578,6,5)))</f>
        <v>TMPA</v>
      </c>
      <c r="H578" s="27" t="str" cm="1">
        <f t="array" ref="H578">INDEX(Source2!A:A,1+BIN2DEC(MID($B578,11,4)))</f>
        <v>11</v>
      </c>
      <c r="I578" s="23" t="str" cm="1">
        <f t="array" ref="I578">INDEX('D2'!A:A,1+BIN2DEC(MID($B578,16,2)))</f>
        <v>TMPB</v>
      </c>
      <c r="J578" s="6">
        <f t="shared" si="55"/>
        <v>0</v>
      </c>
      <c r="K578" s="6">
        <f t="shared" si="51"/>
        <v>0</v>
      </c>
      <c r="L578" s="6">
        <f t="shared" si="52"/>
        <v>0</v>
      </c>
      <c r="M578" s="3" t="str" cm="1">
        <f t="array" ref="M578">INDEX(Types!A:A,1+BIN2DEC(MID($B578,20,2)))</f>
        <v>Control</v>
      </c>
      <c r="N578" s="3" t="str" cm="1">
        <f t="array" ref="N578">IF(M578="ALU",INDEX(ALUOps!A:A,1+BIN2DEC(MID($B578,22,5))),"")</f>
        <v/>
      </c>
      <c r="O578" s="3" t="str" cm="1">
        <f t="array" ref="O578">IF(M578="ALU",INDEX(TMP!A:A,1+BIN2DEC(MID($B578,27,2))),"")</f>
        <v/>
      </c>
      <c r="P578" s="6" t="str">
        <f t="shared" ref="P578:P641" si="61">IF(M578="ALU",BIN2DEC(MID($B578,29,1)),"")</f>
        <v/>
      </c>
      <c r="Q578" t="str">
        <f t="shared" si="59"/>
        <v/>
      </c>
      <c r="R578" t="str">
        <f t="shared" si="60"/>
        <v/>
      </c>
      <c r="S578" cm="1">
        <f t="array" ref="S578">IF(M578="Control",INDEX(IC!A:A,1+BIN2DEC(MID($B578,21,4))),"")</f>
        <v>0</v>
      </c>
      <c r="T578" cm="1">
        <f t="array" ref="T578">IF(M578="Control",INDEX(EC!A:A,1+BIN2DEC(MID($B578,25,3))),"")</f>
        <v>5</v>
      </c>
      <c r="U578" cm="1">
        <f t="array" ref="U578">IF(M578="Control",INDEX(SR!A:A,1+BIN2DEC(MID($B578,28,2))),"")</f>
        <v>1</v>
      </c>
      <c r="AD578" s="1" t="s">
        <v>554</v>
      </c>
    </row>
    <row r="579" spans="1:30" x14ac:dyDescent="0.25">
      <c r="A579" s="4" t="str">
        <f t="shared" ref="A579:A642" si="62">DEC2HEX(ROW(A578)-ROW($A$1),3)</f>
        <v>241</v>
      </c>
      <c r="B579" s="2" t="s">
        <v>563</v>
      </c>
      <c r="C579" s="3"/>
      <c r="D579" s="3"/>
      <c r="E579" s="3"/>
      <c r="F579" s="27" t="str" cm="1">
        <f t="array" ref="F579">INDEX(Sources!A:A, 1 + BIN2DEC(LEFT($B579,5)))</f>
        <v>SP</v>
      </c>
      <c r="G579" s="27" t="str" cm="1">
        <f t="array" ref="G579">INDEX(Dest1!A:A,1+BIN2DEC(MID($B579,6,5)))</f>
        <v>OUT</v>
      </c>
      <c r="H579" s="27" t="str" cm="1">
        <f t="array" ref="H579">INDEX(Source2!A:A,1+BIN2DEC(MID($B579,11,4)))</f>
        <v>--</v>
      </c>
      <c r="I579" s="23" cm="1">
        <f t="array" ref="I579">INDEX('D2'!A:A,1+BIN2DEC(MID($B579,16,2)))</f>
        <v>1</v>
      </c>
      <c r="J579" s="6">
        <f t="shared" si="55"/>
        <v>1</v>
      </c>
      <c r="K579" s="6">
        <f t="shared" si="51"/>
        <v>0</v>
      </c>
      <c r="L579" s="6">
        <f t="shared" si="52"/>
        <v>0</v>
      </c>
      <c r="M579" s="3" t="str" cm="1">
        <f t="array" ref="M579">INDEX(Types!A:A,1+BIN2DEC(MID($B579,20,2)))</f>
        <v>Control</v>
      </c>
      <c r="N579" s="3" t="str" cm="1">
        <f t="array" ref="N579">IF(M579="ALU",INDEX(ALUOps!A:A,1+BIN2DEC(MID($B579,22,5))),"")</f>
        <v/>
      </c>
      <c r="O579" s="3" t="str" cm="1">
        <f t="array" ref="O579">IF(M579="ALU",INDEX(TMP!A:A,1+BIN2DEC(MID($B579,27,2))),"")</f>
        <v/>
      </c>
      <c r="P579" s="6" t="str">
        <f t="shared" si="61"/>
        <v/>
      </c>
      <c r="Q579" t="str">
        <f t="shared" ref="Q579:Q642" si="63">IF(M579="Jump",BIN2DEC(MID($B579,22,4)),"")</f>
        <v/>
      </c>
      <c r="R579" t="str">
        <f t="shared" si="60"/>
        <v/>
      </c>
      <c r="S579" cm="1">
        <f t="array" ref="S579">IF(M579="Control",INDEX(IC!A:A,1+BIN2DEC(MID($B579,21,4))),"")</f>
        <v>0</v>
      </c>
      <c r="T579" cm="1">
        <f t="array" ref="T579">IF(M579="Control",INDEX(EC!A:A,1+BIN2DEC(MID($B579,25,3))),"")</f>
        <v>0</v>
      </c>
      <c r="U579" cm="1">
        <f t="array" ref="U579">IF(M579="Control",INDEX(SR!A:A,1+BIN2DEC(MID($B579,28,2))),"")</f>
        <v>0</v>
      </c>
    </row>
    <row r="580" spans="1:30" x14ac:dyDescent="0.25">
      <c r="A580" s="4" t="str">
        <f t="shared" si="62"/>
        <v>242</v>
      </c>
      <c r="B580" s="2" t="s">
        <v>558</v>
      </c>
      <c r="C580" s="3"/>
      <c r="D580" s="3"/>
      <c r="E580" s="3"/>
      <c r="F580" s="27" t="str" cm="1">
        <f t="array" ref="F580">INDEX(Sources!A:A, 1 + BIN2DEC(LEFT($B580,5)))</f>
        <v>SIGMA</v>
      </c>
      <c r="G580" s="27" t="str" cm="1">
        <f t="array" ref="G580">INDEX(Dest1!A:A,1+BIN2DEC(MID($B580,6,5)))</f>
        <v>TMPA</v>
      </c>
      <c r="H580" s="27" t="str" cm="1">
        <f t="array" ref="H580">INDEX(Source2!A:A,1+BIN2DEC(MID($B580,11,4)))</f>
        <v>11</v>
      </c>
      <c r="I580" s="23" t="str" cm="1">
        <f t="array" ref="I580">INDEX('D2'!A:A,1+BIN2DEC(MID($B580,16,2)))</f>
        <v>TMPB</v>
      </c>
      <c r="J580" s="6">
        <f t="shared" si="55"/>
        <v>0</v>
      </c>
      <c r="K580" s="6">
        <f t="shared" si="51"/>
        <v>0</v>
      </c>
      <c r="L580" s="6">
        <f t="shared" si="52"/>
        <v>0</v>
      </c>
      <c r="M580" s="3" t="str" cm="1">
        <f t="array" ref="M580">INDEX(Types!A:A,1+BIN2DEC(MID($B580,20,2)))</f>
        <v>Control</v>
      </c>
      <c r="N580" s="3" t="str" cm="1">
        <f t="array" ref="N580">IF(M580="ALU",INDEX(ALUOps!A:A,1+BIN2DEC(MID($B580,22,5))),"")</f>
        <v/>
      </c>
      <c r="O580" s="3" t="str" cm="1">
        <f t="array" ref="O580">IF(M580="ALU",INDEX(TMP!A:A,1+BIN2DEC(MID($B580,27,2))),"")</f>
        <v/>
      </c>
      <c r="P580" s="6" t="str">
        <f t="shared" si="61"/>
        <v/>
      </c>
      <c r="Q580" t="str">
        <f t="shared" si="63"/>
        <v/>
      </c>
      <c r="R580" t="str">
        <f t="shared" si="60"/>
        <v/>
      </c>
      <c r="S580" cm="1">
        <f t="array" ref="S580">IF(M580="Control",INDEX(IC!A:A,1+BIN2DEC(MID($B580,21,4))),"")</f>
        <v>0</v>
      </c>
      <c r="T580" cm="1">
        <f t="array" ref="T580">IF(M580="Control",INDEX(EC!A:A,1+BIN2DEC(MID($B580,25,3))),"")</f>
        <v>5</v>
      </c>
      <c r="U580" cm="1">
        <f t="array" ref="U580">IF(M580="Control",INDEX(SR!A:A,1+BIN2DEC(MID($B580,28,2))),"")</f>
        <v>1</v>
      </c>
    </row>
    <row r="581" spans="1:30" x14ac:dyDescent="0.25">
      <c r="A581" s="4" t="str">
        <f t="shared" si="62"/>
        <v>243</v>
      </c>
      <c r="B581" s="2" t="s">
        <v>564</v>
      </c>
      <c r="C581" s="3"/>
      <c r="D581" s="3"/>
      <c r="E581" s="3"/>
      <c r="F581" s="27" t="str" cm="1">
        <f t="array" ref="F581">INDEX(Sources!A:A, 1 + BIN2DEC(LEFT($B581,5)))</f>
        <v>UNK2</v>
      </c>
      <c r="G581" s="27" t="str" cm="1">
        <f t="array" ref="G581">INDEX(Dest1!A:A,1+BIN2DEC(MID($B581,6,5)))</f>
        <v>OUT</v>
      </c>
      <c r="H581" s="27" t="str" cm="1">
        <f t="array" ref="H581">INDEX(Source2!A:A,1+BIN2DEC(MID($B581,11,4)))</f>
        <v>--</v>
      </c>
      <c r="I581" s="23" cm="1">
        <f t="array" ref="I581">INDEX('D2'!A:A,1+BIN2DEC(MID($B581,16,2)))</f>
        <v>1</v>
      </c>
      <c r="J581" s="6">
        <f t="shared" si="55"/>
        <v>1</v>
      </c>
      <c r="K581" s="6">
        <f t="shared" si="51"/>
        <v>0</v>
      </c>
      <c r="L581" s="6">
        <f t="shared" si="52"/>
        <v>0</v>
      </c>
      <c r="M581" s="3" t="str" cm="1">
        <f t="array" ref="M581">INDEX(Types!A:A,1+BIN2DEC(MID($B581,20,2)))</f>
        <v>Control</v>
      </c>
      <c r="N581" s="3" t="str" cm="1">
        <f t="array" ref="N581">IF(M581="ALU",INDEX(ALUOps!A:A,1+BIN2DEC(MID($B581,22,5))),"")</f>
        <v/>
      </c>
      <c r="O581" s="3" t="str" cm="1">
        <f t="array" ref="O581">IF(M581="ALU",INDEX(TMP!A:A,1+BIN2DEC(MID($B581,27,2))),"")</f>
        <v/>
      </c>
      <c r="P581" s="6" t="str">
        <f t="shared" si="61"/>
        <v/>
      </c>
      <c r="Q581" t="str">
        <f t="shared" si="63"/>
        <v/>
      </c>
      <c r="R581" t="str">
        <f t="shared" si="60"/>
        <v/>
      </c>
      <c r="S581" cm="1">
        <f t="array" ref="S581">IF(M581="Control",INDEX(IC!A:A,1+BIN2DEC(MID($B581,21,4))),"")</f>
        <v>0</v>
      </c>
      <c r="T581" cm="1">
        <f t="array" ref="T581">IF(M581="Control",INDEX(EC!A:A,1+BIN2DEC(MID($B581,25,3))),"")</f>
        <v>0</v>
      </c>
      <c r="U581" cm="1">
        <f t="array" ref="U581">IF(M581="Control",INDEX(SR!A:A,1+BIN2DEC(MID($B581,28,2))),"")</f>
        <v>0</v>
      </c>
    </row>
    <row r="582" spans="1:30" x14ac:dyDescent="0.25">
      <c r="A582" s="4" t="str">
        <f t="shared" si="62"/>
        <v>244</v>
      </c>
      <c r="B582" s="2" t="s">
        <v>558</v>
      </c>
      <c r="C582" s="2" t="s">
        <v>562</v>
      </c>
      <c r="D582" s="2" t="s">
        <v>931</v>
      </c>
      <c r="E582" s="2" t="s">
        <v>488</v>
      </c>
      <c r="F582" s="27" t="str" cm="1">
        <f t="array" ref="F582">INDEX(Sources!A:A, 1 + BIN2DEC(LEFT($B582,5)))</f>
        <v>SIGMA</v>
      </c>
      <c r="G582" s="27" t="str" cm="1">
        <f t="array" ref="G582">INDEX(Dest1!A:A,1+BIN2DEC(MID($B582,6,5)))</f>
        <v>TMPA</v>
      </c>
      <c r="H582" s="27" t="str" cm="1">
        <f t="array" ref="H582">INDEX(Source2!A:A,1+BIN2DEC(MID($B582,11,4)))</f>
        <v>11</v>
      </c>
      <c r="I582" s="23" t="str" cm="1">
        <f t="array" ref="I582">INDEX('D2'!A:A,1+BIN2DEC(MID($B582,16,2)))</f>
        <v>TMPB</v>
      </c>
      <c r="J582" s="6">
        <f t="shared" si="55"/>
        <v>0</v>
      </c>
      <c r="K582" s="6">
        <f t="shared" si="51"/>
        <v>0</v>
      </c>
      <c r="L582" s="6">
        <f t="shared" si="52"/>
        <v>0</v>
      </c>
      <c r="M582" s="3" t="str" cm="1">
        <f t="array" ref="M582">INDEX(Types!A:A,1+BIN2DEC(MID($B582,20,2)))</f>
        <v>Control</v>
      </c>
      <c r="N582" s="3" t="str" cm="1">
        <f t="array" ref="N582">IF(M582="ALU",INDEX(ALUOps!A:A,1+BIN2DEC(MID($B582,22,5))),"")</f>
        <v/>
      </c>
      <c r="O582" s="3" t="str" cm="1">
        <f t="array" ref="O582">IF(M582="ALU",INDEX(TMP!A:A,1+BIN2DEC(MID($B582,27,2))),"")</f>
        <v/>
      </c>
      <c r="P582" s="6" t="str">
        <f t="shared" si="61"/>
        <v/>
      </c>
      <c r="Q582" t="str">
        <f t="shared" si="63"/>
        <v/>
      </c>
      <c r="R582" t="str">
        <f t="shared" si="60"/>
        <v/>
      </c>
      <c r="S582" cm="1">
        <f t="array" ref="S582">IF(M582="Control",INDEX(IC!A:A,1+BIN2DEC(MID($B582,21,4))),"")</f>
        <v>0</v>
      </c>
      <c r="T582" cm="1">
        <f t="array" ref="T582">IF(M582="Control",INDEX(EC!A:A,1+BIN2DEC(MID($B582,25,3))),"")</f>
        <v>5</v>
      </c>
      <c r="U582" cm="1">
        <f t="array" ref="U582">IF(M582="Control",INDEX(SR!A:A,1+BIN2DEC(MID($B582,28,2))),"")</f>
        <v>1</v>
      </c>
      <c r="AD582" s="1" t="s">
        <v>554</v>
      </c>
    </row>
    <row r="583" spans="1:30" x14ac:dyDescent="0.25">
      <c r="A583" s="4" t="str">
        <f t="shared" si="62"/>
        <v>245</v>
      </c>
      <c r="B583" s="2" t="s">
        <v>566</v>
      </c>
      <c r="C583" s="3"/>
      <c r="D583" s="3"/>
      <c r="E583" s="3"/>
      <c r="F583" s="27" t="str" cm="1">
        <f t="array" ref="F583">INDEX(Sources!A:A, 1 + BIN2DEC(LEFT($B583,5)))</f>
        <v>UNK1</v>
      </c>
      <c r="G583" s="27" t="str" cm="1">
        <f t="array" ref="G583">INDEX(Dest1!A:A,1+BIN2DEC(MID($B583,6,5)))</f>
        <v>OUT</v>
      </c>
      <c r="H583" s="27" t="str" cm="1">
        <f t="array" ref="H583">INDEX(Source2!A:A,1+BIN2DEC(MID($B583,11,4)))</f>
        <v>--</v>
      </c>
      <c r="I583" s="23" cm="1">
        <f t="array" ref="I583">INDEX('D2'!A:A,1+BIN2DEC(MID($B583,16,2)))</f>
        <v>1</v>
      </c>
      <c r="J583" s="6">
        <f t="shared" si="55"/>
        <v>1</v>
      </c>
      <c r="K583" s="6">
        <f t="shared" si="51"/>
        <v>0</v>
      </c>
      <c r="L583" s="6">
        <f t="shared" si="52"/>
        <v>0</v>
      </c>
      <c r="M583" s="3" t="str" cm="1">
        <f t="array" ref="M583">INDEX(Types!A:A,1+BIN2DEC(MID($B583,20,2)))</f>
        <v>Control</v>
      </c>
      <c r="N583" s="3" t="str" cm="1">
        <f t="array" ref="N583">IF(M583="ALU",INDEX(ALUOps!A:A,1+BIN2DEC(MID($B583,22,5))),"")</f>
        <v/>
      </c>
      <c r="O583" s="3" t="str" cm="1">
        <f t="array" ref="O583">IF(M583="ALU",INDEX(TMP!A:A,1+BIN2DEC(MID($B583,27,2))),"")</f>
        <v/>
      </c>
      <c r="P583" s="6" t="str">
        <f t="shared" si="61"/>
        <v/>
      </c>
      <c r="Q583" t="str">
        <f t="shared" si="63"/>
        <v/>
      </c>
      <c r="R583" t="str">
        <f t="shared" ref="R583:R646" si="64">IF(M583="Jump",15-BIN2DEC(MID($B583,26,4)),"")</f>
        <v/>
      </c>
      <c r="S583" cm="1">
        <f t="array" ref="S583">IF(M583="Control",INDEX(IC!A:A,1+BIN2DEC(MID($B583,21,4))),"")</f>
        <v>0</v>
      </c>
      <c r="T583" cm="1">
        <f t="array" ref="T583">IF(M583="Control",INDEX(EC!A:A,1+BIN2DEC(MID($B583,25,3))),"")</f>
        <v>0</v>
      </c>
      <c r="U583" cm="1">
        <f t="array" ref="U583">IF(M583="Control",INDEX(SR!A:A,1+BIN2DEC(MID($B583,28,2))),"")</f>
        <v>0</v>
      </c>
    </row>
    <row r="584" spans="1:30" x14ac:dyDescent="0.25">
      <c r="A584" s="4" t="str">
        <f t="shared" si="62"/>
        <v>246</v>
      </c>
      <c r="B584" s="2" t="s">
        <v>558</v>
      </c>
      <c r="C584" s="3"/>
      <c r="D584" s="3"/>
      <c r="E584" s="3"/>
      <c r="F584" s="27" t="str" cm="1">
        <f t="array" ref="F584">INDEX(Sources!A:A, 1 + BIN2DEC(LEFT($B584,5)))</f>
        <v>SIGMA</v>
      </c>
      <c r="G584" s="27" t="str" cm="1">
        <f t="array" ref="G584">INDEX(Dest1!A:A,1+BIN2DEC(MID($B584,6,5)))</f>
        <v>TMPA</v>
      </c>
      <c r="H584" s="27" t="str" cm="1">
        <f t="array" ref="H584">INDEX(Source2!A:A,1+BIN2DEC(MID($B584,11,4)))</f>
        <v>11</v>
      </c>
      <c r="I584" s="23" t="str" cm="1">
        <f t="array" ref="I584">INDEX('D2'!A:A,1+BIN2DEC(MID($B584,16,2)))</f>
        <v>TMPB</v>
      </c>
      <c r="J584" s="6">
        <f t="shared" si="55"/>
        <v>0</v>
      </c>
      <c r="K584" s="6">
        <f t="shared" si="51"/>
        <v>0</v>
      </c>
      <c r="L584" s="6">
        <f t="shared" si="52"/>
        <v>0</v>
      </c>
      <c r="M584" s="3" t="str" cm="1">
        <f t="array" ref="M584">INDEX(Types!A:A,1+BIN2DEC(MID($B584,20,2)))</f>
        <v>Control</v>
      </c>
      <c r="N584" s="3" t="str" cm="1">
        <f t="array" ref="N584">IF(M584="ALU",INDEX(ALUOps!A:A,1+BIN2DEC(MID($B584,22,5))),"")</f>
        <v/>
      </c>
      <c r="O584" s="3" t="str" cm="1">
        <f t="array" ref="O584">IF(M584="ALU",INDEX(TMP!A:A,1+BIN2DEC(MID($B584,27,2))),"")</f>
        <v/>
      </c>
      <c r="P584" s="6" t="str">
        <f t="shared" si="61"/>
        <v/>
      </c>
      <c r="Q584" t="str">
        <f t="shared" si="63"/>
        <v/>
      </c>
      <c r="R584" t="str">
        <f t="shared" si="64"/>
        <v/>
      </c>
      <c r="S584" cm="1">
        <f t="array" ref="S584">IF(M584="Control",INDEX(IC!A:A,1+BIN2DEC(MID($B584,21,4))),"")</f>
        <v>0</v>
      </c>
      <c r="T584" cm="1">
        <f t="array" ref="T584">IF(M584="Control",INDEX(EC!A:A,1+BIN2DEC(MID($B584,25,3))),"")</f>
        <v>5</v>
      </c>
      <c r="U584" cm="1">
        <f t="array" ref="U584">IF(M584="Control",INDEX(SR!A:A,1+BIN2DEC(MID($B584,28,2))),"")</f>
        <v>1</v>
      </c>
    </row>
    <row r="585" spans="1:30" x14ac:dyDescent="0.25">
      <c r="A585" s="4" t="str">
        <f t="shared" si="62"/>
        <v>247</v>
      </c>
      <c r="B585" s="2" t="s">
        <v>567</v>
      </c>
      <c r="C585" s="3"/>
      <c r="D585" s="3"/>
      <c r="E585" s="3"/>
      <c r="F585" s="27" t="str" cm="1">
        <f t="array" ref="F585">INDEX(Sources!A:A, 1 + BIN2DEC(LEFT($B585,5)))</f>
        <v>--</v>
      </c>
      <c r="G585" s="27" t="str" cm="1">
        <f t="array" ref="G585">INDEX(Dest1!A:A,1+BIN2DEC(MID($B585,6,5)))</f>
        <v>OUT</v>
      </c>
      <c r="H585" s="27" t="str" cm="1">
        <f t="array" ref="H585">INDEX(Source2!A:A,1+BIN2DEC(MID($B585,11,4)))</f>
        <v>--</v>
      </c>
      <c r="I585" s="23" cm="1">
        <f t="array" ref="I585">INDEX('D2'!A:A,1+BIN2DEC(MID($B585,16,2)))</f>
        <v>1</v>
      </c>
      <c r="J585" s="6">
        <f t="shared" si="55"/>
        <v>1</v>
      </c>
      <c r="K585" s="6">
        <f t="shared" si="51"/>
        <v>0</v>
      </c>
      <c r="L585" s="6">
        <f t="shared" si="52"/>
        <v>0</v>
      </c>
      <c r="M585" s="3" t="str" cm="1">
        <f t="array" ref="M585">INDEX(Types!A:A,1+BIN2DEC(MID($B585,20,2)))</f>
        <v>Control</v>
      </c>
      <c r="N585" s="3" t="str" cm="1">
        <f t="array" ref="N585">IF(M585="ALU",INDEX(ALUOps!A:A,1+BIN2DEC(MID($B585,22,5))),"")</f>
        <v/>
      </c>
      <c r="O585" s="3" t="str" cm="1">
        <f t="array" ref="O585">IF(M585="ALU",INDEX(TMP!A:A,1+BIN2DEC(MID($B585,27,2))),"")</f>
        <v/>
      </c>
      <c r="P585" s="6" t="str">
        <f t="shared" si="61"/>
        <v/>
      </c>
      <c r="Q585" t="str">
        <f t="shared" si="63"/>
        <v/>
      </c>
      <c r="R585" t="str">
        <f t="shared" si="64"/>
        <v/>
      </c>
      <c r="S585" cm="1">
        <f t="array" ref="S585">IF(M585="Control",INDEX(IC!A:A,1+BIN2DEC(MID($B585,21,4))),"")</f>
        <v>0</v>
      </c>
      <c r="T585" cm="1">
        <f t="array" ref="T585">IF(M585="Control",INDEX(EC!A:A,1+BIN2DEC(MID($B585,25,3))),"")</f>
        <v>0</v>
      </c>
      <c r="U585" cm="1">
        <f t="array" ref="U585">IF(M585="Control",INDEX(SR!A:A,1+BIN2DEC(MID($B585,28,2))),"")</f>
        <v>0</v>
      </c>
    </row>
    <row r="586" spans="1:30" x14ac:dyDescent="0.25">
      <c r="A586" s="4" t="str">
        <f t="shared" si="62"/>
        <v>248</v>
      </c>
      <c r="B586" s="2" t="s">
        <v>49</v>
      </c>
      <c r="C586" s="2" t="s">
        <v>565</v>
      </c>
      <c r="D586" s="2" t="s">
        <v>931</v>
      </c>
      <c r="E586" s="2" t="s">
        <v>933</v>
      </c>
      <c r="F586" s="27" t="str" cm="1">
        <f t="array" ref="F586">INDEX(Sources!A:A, 1 + BIN2DEC(LEFT($B586,5)))</f>
        <v>SIGMA</v>
      </c>
      <c r="G586" s="27" t="str" cm="1">
        <f t="array" ref="G586">INDEX(Dest1!A:A,1+BIN2DEC(MID($B586,6,5)))</f>
        <v>SP</v>
      </c>
      <c r="H586" s="27" t="str" cm="1">
        <f t="array" ref="H586">INDEX(Source2!A:A,1+BIN2DEC(MID($B586,11,4)))</f>
        <v>11</v>
      </c>
      <c r="I586" s="23" t="str" cm="1">
        <f t="array" ref="I586">INDEX('D2'!A:A,1+BIN2DEC(MID($B586,16,2)))</f>
        <v>TMPB</v>
      </c>
      <c r="J586" s="6">
        <f t="shared" si="55"/>
        <v>0</v>
      </c>
      <c r="K586" s="6">
        <f t="shared" si="51"/>
        <v>0</v>
      </c>
      <c r="L586" s="6">
        <f t="shared" si="52"/>
        <v>1</v>
      </c>
      <c r="M586" s="3" t="str" cm="1">
        <f t="array" ref="M586">INDEX(Types!A:A,1+BIN2DEC(MID($B586,20,2)))</f>
        <v>Control</v>
      </c>
      <c r="N586" s="3" t="str" cm="1">
        <f t="array" ref="N586">IF(M586="ALU",INDEX(ALUOps!A:A,1+BIN2DEC(MID($B586,22,5))),"")</f>
        <v/>
      </c>
      <c r="O586" s="3" t="str" cm="1">
        <f t="array" ref="O586">IF(M586="ALU",INDEX(TMP!A:A,1+BIN2DEC(MID($B586,27,2))),"")</f>
        <v/>
      </c>
      <c r="P586" s="6" t="str">
        <f t="shared" si="61"/>
        <v/>
      </c>
      <c r="Q586" t="str">
        <f t="shared" si="63"/>
        <v/>
      </c>
      <c r="R586" t="str">
        <f t="shared" si="64"/>
        <v/>
      </c>
      <c r="S586" cm="1">
        <f t="array" ref="S586">IF(M586="Control",INDEX(IC!A:A,1+BIN2DEC(MID($B586,21,4))),"")</f>
        <v>0</v>
      </c>
      <c r="T586" cm="1">
        <f t="array" ref="T586">IF(M586="Control",INDEX(EC!A:A,1+BIN2DEC(MID($B586,25,3))),"")</f>
        <v>5</v>
      </c>
      <c r="U586" cm="1">
        <f t="array" ref="U586">IF(M586="Control",INDEX(SR!A:A,1+BIN2DEC(MID($B586,28,2))),"")</f>
        <v>1</v>
      </c>
      <c r="AD586" s="1" t="s">
        <v>554</v>
      </c>
    </row>
    <row r="587" spans="1:30" x14ac:dyDescent="0.25">
      <c r="A587" s="4" t="str">
        <f t="shared" si="62"/>
        <v>249</v>
      </c>
      <c r="B587" s="2" t="s">
        <v>4</v>
      </c>
      <c r="C587" s="3"/>
      <c r="D587" s="3"/>
      <c r="E587" s="3"/>
      <c r="F587" s="27" t="str" cm="1">
        <f t="array" ref="F587">INDEX(Sources!A:A, 1 + BIN2DEC(LEFT($B587,5)))</f>
        <v>--</v>
      </c>
      <c r="G587" s="27" t="str" cm="1">
        <f t="array" ref="G587">INDEX(Dest1!A:A,1+BIN2DEC(MID($B587,6,5)))</f>
        <v>--</v>
      </c>
      <c r="H587" s="27" t="str" cm="1">
        <f t="array" ref="H587">INDEX(Source2!A:A,1+BIN2DEC(MID($B587,11,4)))</f>
        <v>--</v>
      </c>
      <c r="I587" s="23" cm="1">
        <f t="array" ref="I587">INDEX('D2'!A:A,1+BIN2DEC(MID($B587,16,2)))</f>
        <v>0</v>
      </c>
      <c r="J587" s="6">
        <f t="shared" si="55"/>
        <v>0</v>
      </c>
      <c r="K587" s="6">
        <f t="shared" si="51"/>
        <v>0</v>
      </c>
      <c r="L587" s="6">
        <f t="shared" si="52"/>
        <v>0</v>
      </c>
      <c r="M587" s="3" t="str" cm="1">
        <f t="array" ref="M587">INDEX(Types!A:A,1+BIN2DEC(MID($B587,20,2)))</f>
        <v>Control</v>
      </c>
      <c r="N587" s="3" t="str" cm="1">
        <f t="array" ref="N587">IF(M587="ALU",INDEX(ALUOps!A:A,1+BIN2DEC(MID($B587,22,5))),"")</f>
        <v/>
      </c>
      <c r="O587" s="3" t="str" cm="1">
        <f t="array" ref="O587">IF(M587="ALU",INDEX(TMP!A:A,1+BIN2DEC(MID($B587,27,2))),"")</f>
        <v/>
      </c>
      <c r="P587" s="6" t="str">
        <f t="shared" si="61"/>
        <v/>
      </c>
      <c r="Q587" t="str">
        <f t="shared" si="63"/>
        <v/>
      </c>
      <c r="R587" t="str">
        <f t="shared" si="64"/>
        <v/>
      </c>
      <c r="S587" cm="1">
        <f t="array" ref="S587">IF(M587="Control",INDEX(IC!A:A,1+BIN2DEC(MID($B587,21,4))),"")</f>
        <v>0</v>
      </c>
      <c r="T587" cm="1">
        <f t="array" ref="T587">IF(M587="Control",INDEX(EC!A:A,1+BIN2DEC(MID($B587,25,3))),"")</f>
        <v>0</v>
      </c>
      <c r="U587" cm="1">
        <f t="array" ref="U587">IF(M587="Control",INDEX(SR!A:A,1+BIN2DEC(MID($B587,28,2))),"")</f>
        <v>0</v>
      </c>
    </row>
    <row r="588" spans="1:30" x14ac:dyDescent="0.25">
      <c r="A588" s="4" t="str">
        <f t="shared" si="62"/>
        <v>24A</v>
      </c>
      <c r="B588" s="2" t="s">
        <v>4</v>
      </c>
      <c r="C588" s="3"/>
      <c r="D588" s="3"/>
      <c r="E588" s="3"/>
      <c r="F588" s="27" t="str" cm="1">
        <f t="array" ref="F588">INDEX(Sources!A:A, 1 + BIN2DEC(LEFT($B588,5)))</f>
        <v>--</v>
      </c>
      <c r="G588" s="27" t="str" cm="1">
        <f t="array" ref="G588">INDEX(Dest1!A:A,1+BIN2DEC(MID($B588,6,5)))</f>
        <v>--</v>
      </c>
      <c r="H588" s="27" t="str" cm="1">
        <f t="array" ref="H588">INDEX(Source2!A:A,1+BIN2DEC(MID($B588,11,4)))</f>
        <v>--</v>
      </c>
      <c r="I588" s="23" cm="1">
        <f t="array" ref="I588">INDEX('D2'!A:A,1+BIN2DEC(MID($B588,16,2)))</f>
        <v>0</v>
      </c>
      <c r="J588" s="6">
        <f t="shared" si="55"/>
        <v>0</v>
      </c>
      <c r="K588" s="6">
        <f t="shared" si="51"/>
        <v>0</v>
      </c>
      <c r="L588" s="6">
        <f t="shared" si="52"/>
        <v>0</v>
      </c>
      <c r="M588" s="3" t="str" cm="1">
        <f t="array" ref="M588">INDEX(Types!A:A,1+BIN2DEC(MID($B588,20,2)))</f>
        <v>Control</v>
      </c>
      <c r="N588" s="3" t="str" cm="1">
        <f t="array" ref="N588">IF(M588="ALU",INDEX(ALUOps!A:A,1+BIN2DEC(MID($B588,22,5))),"")</f>
        <v/>
      </c>
      <c r="O588" s="3" t="str" cm="1">
        <f t="array" ref="O588">IF(M588="ALU",INDEX(TMP!A:A,1+BIN2DEC(MID($B588,27,2))),"")</f>
        <v/>
      </c>
      <c r="P588" s="6" t="str">
        <f t="shared" si="61"/>
        <v/>
      </c>
      <c r="Q588" t="str">
        <f t="shared" si="63"/>
        <v/>
      </c>
      <c r="R588" t="str">
        <f t="shared" si="64"/>
        <v/>
      </c>
      <c r="S588" cm="1">
        <f t="array" ref="S588">IF(M588="Control",INDEX(IC!A:A,1+BIN2DEC(MID($B588,21,4))),"")</f>
        <v>0</v>
      </c>
      <c r="T588" cm="1">
        <f t="array" ref="T588">IF(M588="Control",INDEX(EC!A:A,1+BIN2DEC(MID($B588,25,3))),"")</f>
        <v>0</v>
      </c>
      <c r="U588" cm="1">
        <f t="array" ref="U588">IF(M588="Control",INDEX(SR!A:A,1+BIN2DEC(MID($B588,28,2))),"")</f>
        <v>0</v>
      </c>
    </row>
    <row r="589" spans="1:30" x14ac:dyDescent="0.25">
      <c r="A589" s="4" t="str">
        <f t="shared" si="62"/>
        <v>24B</v>
      </c>
      <c r="B589" s="2" t="s">
        <v>4</v>
      </c>
      <c r="C589" s="3"/>
      <c r="D589" s="3"/>
      <c r="E589" s="3"/>
      <c r="F589" s="27" t="str" cm="1">
        <f t="array" ref="F589">INDEX(Sources!A:A, 1 + BIN2DEC(LEFT($B589,5)))</f>
        <v>--</v>
      </c>
      <c r="G589" s="27" t="str" cm="1">
        <f t="array" ref="G589">INDEX(Dest1!A:A,1+BIN2DEC(MID($B589,6,5)))</f>
        <v>--</v>
      </c>
      <c r="H589" s="27" t="str" cm="1">
        <f t="array" ref="H589">INDEX(Source2!A:A,1+BIN2DEC(MID($B589,11,4)))</f>
        <v>--</v>
      </c>
      <c r="I589" s="23" cm="1">
        <f t="array" ref="I589">INDEX('D2'!A:A,1+BIN2DEC(MID($B589,16,2)))</f>
        <v>0</v>
      </c>
      <c r="J589" s="6">
        <f t="shared" si="55"/>
        <v>0</v>
      </c>
      <c r="K589" s="6">
        <f t="shared" si="51"/>
        <v>0</v>
      </c>
      <c r="L589" s="6">
        <f t="shared" si="52"/>
        <v>0</v>
      </c>
      <c r="M589" s="3" t="str" cm="1">
        <f t="array" ref="M589">INDEX(Types!A:A,1+BIN2DEC(MID($B589,20,2)))</f>
        <v>Control</v>
      </c>
      <c r="N589" s="3" t="str" cm="1">
        <f t="array" ref="N589">IF(M589="ALU",INDEX(ALUOps!A:A,1+BIN2DEC(MID($B589,22,5))),"")</f>
        <v/>
      </c>
      <c r="O589" s="3" t="str" cm="1">
        <f t="array" ref="O589">IF(M589="ALU",INDEX(TMP!A:A,1+BIN2DEC(MID($B589,27,2))),"")</f>
        <v/>
      </c>
      <c r="P589" s="6" t="str">
        <f t="shared" si="61"/>
        <v/>
      </c>
      <c r="Q589" t="str">
        <f t="shared" si="63"/>
        <v/>
      </c>
      <c r="R589" t="str">
        <f t="shared" si="64"/>
        <v/>
      </c>
      <c r="S589" cm="1">
        <f t="array" ref="S589">IF(M589="Control",INDEX(IC!A:A,1+BIN2DEC(MID($B589,21,4))),"")</f>
        <v>0</v>
      </c>
      <c r="T589" cm="1">
        <f t="array" ref="T589">IF(M589="Control",INDEX(EC!A:A,1+BIN2DEC(MID($B589,25,3))),"")</f>
        <v>0</v>
      </c>
      <c r="U589" cm="1">
        <f t="array" ref="U589">IF(M589="Control",INDEX(SR!A:A,1+BIN2DEC(MID($B589,28,2))),"")</f>
        <v>0</v>
      </c>
    </row>
    <row r="590" spans="1:30" x14ac:dyDescent="0.25">
      <c r="A590" s="4" t="str">
        <f t="shared" si="62"/>
        <v>24C</v>
      </c>
      <c r="B590" s="2" t="s">
        <v>92</v>
      </c>
      <c r="C590" s="2" t="s">
        <v>568</v>
      </c>
      <c r="D590" s="2" t="s">
        <v>928</v>
      </c>
      <c r="E590" s="2" t="s">
        <v>462</v>
      </c>
      <c r="F590" s="27" t="str" cm="1">
        <f t="array" ref="F590">INDEX(Sources!A:A, 1 + BIN2DEC(LEFT($B590,5)))</f>
        <v>SP</v>
      </c>
      <c r="G590" s="27" t="str" cm="1">
        <f t="array" ref="G590">INDEX(Dest1!A:A,1+BIN2DEC(MID($B590,6,5)))</f>
        <v>UNK26</v>
      </c>
      <c r="H590" s="27" t="str" cm="1">
        <f t="array" ref="H590">INDEX(Source2!A:A,1+BIN2DEC(MID($B590,11,4)))</f>
        <v>3</v>
      </c>
      <c r="I590" s="23" cm="1">
        <f t="array" ref="I590">INDEX('D2'!A:A,1+BIN2DEC(MID($B590,16,2)))</f>
        <v>0</v>
      </c>
      <c r="J590" s="6">
        <f t="shared" si="55"/>
        <v>0</v>
      </c>
      <c r="K590" s="6">
        <f t="shared" si="51"/>
        <v>0</v>
      </c>
      <c r="L590" s="6">
        <f t="shared" si="52"/>
        <v>0</v>
      </c>
      <c r="M590" s="3" t="str" cm="1">
        <f t="array" ref="M590">INDEX(Types!A:A,1+BIN2DEC(MID($B590,20,2)))</f>
        <v>Control</v>
      </c>
      <c r="N590" s="3" t="str" cm="1">
        <f t="array" ref="N590">IF(M590="ALU",INDEX(ALUOps!A:A,1+BIN2DEC(MID($B590,22,5))),"")</f>
        <v/>
      </c>
      <c r="O590" s="3" t="str" cm="1">
        <f t="array" ref="O590">IF(M590="ALU",INDEX(TMP!A:A,1+BIN2DEC(MID($B590,27,2))),"")</f>
        <v/>
      </c>
      <c r="P590" s="6" t="str">
        <f t="shared" si="61"/>
        <v/>
      </c>
      <c r="Q590" t="str">
        <f t="shared" si="63"/>
        <v/>
      </c>
      <c r="R590" t="str">
        <f t="shared" si="64"/>
        <v/>
      </c>
      <c r="S590" cm="1">
        <f t="array" ref="S590">IF(M590="Control",INDEX(IC!A:A,1+BIN2DEC(MID($B590,21,4))),"")</f>
        <v>0</v>
      </c>
      <c r="T590" cm="1">
        <f t="array" ref="T590">IF(M590="Control",INDEX(EC!A:A,1+BIN2DEC(MID($B590,25,3))),"")</f>
        <v>6</v>
      </c>
      <c r="U590" cm="1">
        <f t="array" ref="U590">IF(M590="Control",INDEX(SR!A:A,1+BIN2DEC(MID($B590,28,2))),"")</f>
        <v>1</v>
      </c>
      <c r="AD590" s="1" t="s">
        <v>569</v>
      </c>
    </row>
    <row r="591" spans="1:30" x14ac:dyDescent="0.25">
      <c r="A591" s="4" t="str">
        <f t="shared" si="62"/>
        <v>24D</v>
      </c>
      <c r="B591" s="2" t="s">
        <v>571</v>
      </c>
      <c r="C591" s="3"/>
      <c r="D591" s="3"/>
      <c r="E591" s="3"/>
      <c r="F591" s="27" t="str" cm="1">
        <f t="array" ref="F591">INDEX(Sources!A:A, 1 + BIN2DEC(LEFT($B591,5)))</f>
        <v>--</v>
      </c>
      <c r="G591" s="27" t="str" cm="1">
        <f t="array" ref="G591">INDEX(Dest1!A:A,1+BIN2DEC(MID($B591,6,5)))</f>
        <v>--</v>
      </c>
      <c r="H591" s="27" t="str" cm="1">
        <f t="array" ref="H591">INDEX(Source2!A:A,1+BIN2DEC(MID($B591,11,4)))</f>
        <v>--</v>
      </c>
      <c r="I591" s="23" cm="1">
        <f t="array" ref="I591">INDEX('D2'!A:A,1+BIN2DEC(MID($B591,16,2)))</f>
        <v>0</v>
      </c>
      <c r="J591" s="6">
        <f t="shared" si="55"/>
        <v>0</v>
      </c>
      <c r="K591" s="6">
        <f t="shared" si="51"/>
        <v>0</v>
      </c>
      <c r="L591" s="6">
        <f t="shared" si="52"/>
        <v>0</v>
      </c>
      <c r="M591" s="3" t="str" cm="1">
        <f t="array" ref="M591">INDEX(Types!A:A,1+BIN2DEC(MID($B591,20,2)))</f>
        <v>ALU</v>
      </c>
      <c r="N591" s="3" cm="1">
        <f t="array" ref="N591">IF(M591="ALU",INDEX(ALUOps!A:A,1+BIN2DEC(MID($B591,22,5))),"")</f>
        <v>3</v>
      </c>
      <c r="O591" s="3" cm="1">
        <f t="array" ref="O591">IF(M591="ALU",INDEX(TMP!A:A,1+BIN2DEC(MID($B591,27,2))),"")</f>
        <v>2</v>
      </c>
      <c r="P591" s="6">
        <f t="shared" si="61"/>
        <v>1</v>
      </c>
      <c r="Q591" t="str">
        <f t="shared" si="63"/>
        <v/>
      </c>
      <c r="R591" t="str">
        <f t="shared" si="64"/>
        <v/>
      </c>
      <c r="S591" t="str" cm="1">
        <f t="array" ref="S591">IF(M591="Control",INDEX(IC!A:A,1+BIN2DEC(MID($B591,21,4))),"")</f>
        <v/>
      </c>
      <c r="T591" t="str" cm="1">
        <f t="array" ref="T591">IF(M591="Control",INDEX(EC!A:A,1+BIN2DEC(MID($B591,25,3))),"")</f>
        <v/>
      </c>
      <c r="U591" t="str" cm="1">
        <f t="array" ref="U591">IF(M591="Control",INDEX(SR!A:A,1+BIN2DEC(MID($B591,28,2))),"")</f>
        <v/>
      </c>
    </row>
    <row r="592" spans="1:30" x14ac:dyDescent="0.25">
      <c r="A592" s="4" t="str">
        <f t="shared" si="62"/>
        <v>24E</v>
      </c>
      <c r="B592" s="2" t="s">
        <v>572</v>
      </c>
      <c r="C592" s="3"/>
      <c r="D592" s="3"/>
      <c r="E592" s="3"/>
      <c r="F592" s="27" t="str" cm="1">
        <f t="array" ref="F592">INDEX(Sources!A:A, 1 + BIN2DEC(LEFT($B592,5)))</f>
        <v>SIGMA</v>
      </c>
      <c r="G592" s="27" t="str" cm="1">
        <f t="array" ref="G592">INDEX(Dest1!A:A,1+BIN2DEC(MID($B592,6,5)))</f>
        <v>TMPA</v>
      </c>
      <c r="H592" s="27" t="str" cm="1">
        <f t="array" ref="H592">INDEX(Source2!A:A,1+BIN2DEC(MID($B592,11,4)))</f>
        <v>11</v>
      </c>
      <c r="I592" s="23" t="str" cm="1">
        <f t="array" ref="I592">INDEX('D2'!A:A,1+BIN2DEC(MID($B592,16,2)))</f>
        <v>TMPB</v>
      </c>
      <c r="J592" s="6">
        <f t="shared" si="55"/>
        <v>0</v>
      </c>
      <c r="K592" s="6">
        <f t="shared" si="51"/>
        <v>0</v>
      </c>
      <c r="L592" s="6">
        <f t="shared" si="52"/>
        <v>0</v>
      </c>
      <c r="M592" s="3" t="str" cm="1">
        <f t="array" ref="M592">INDEX(Types!A:A,1+BIN2DEC(MID($B592,20,2)))</f>
        <v>Control</v>
      </c>
      <c r="N592" s="3" t="str" cm="1">
        <f t="array" ref="N592">IF(M592="ALU",INDEX(ALUOps!A:A,1+BIN2DEC(MID($B592,22,5))),"")</f>
        <v/>
      </c>
      <c r="O592" s="3" t="str" cm="1">
        <f t="array" ref="O592">IF(M592="ALU",INDEX(TMP!A:A,1+BIN2DEC(MID($B592,27,2))),"")</f>
        <v/>
      </c>
      <c r="P592" s="6" t="str">
        <f t="shared" si="61"/>
        <v/>
      </c>
      <c r="Q592" t="str">
        <f t="shared" si="63"/>
        <v/>
      </c>
      <c r="R592" t="str">
        <f t="shared" si="64"/>
        <v/>
      </c>
      <c r="S592" cm="1">
        <f t="array" ref="S592">IF(M592="Control",INDEX(IC!A:A,1+BIN2DEC(MID($B592,21,4))),"")</f>
        <v>0</v>
      </c>
      <c r="T592" cm="1">
        <f t="array" ref="T592">IF(M592="Control",INDEX(EC!A:A,1+BIN2DEC(MID($B592,25,3))),"")</f>
        <v>6</v>
      </c>
      <c r="U592" cm="1">
        <f t="array" ref="U592">IF(M592="Control",INDEX(SR!A:A,1+BIN2DEC(MID($B592,28,2))),"")</f>
        <v>1</v>
      </c>
    </row>
    <row r="593" spans="1:30" x14ac:dyDescent="0.25">
      <c r="A593" s="4" t="str">
        <f t="shared" si="62"/>
        <v>24F</v>
      </c>
      <c r="B593" s="2" t="s">
        <v>573</v>
      </c>
      <c r="C593" s="3"/>
      <c r="D593" s="3"/>
      <c r="E593" s="3"/>
      <c r="F593" s="27" t="str" cm="1">
        <f t="array" ref="F593">INDEX(Sources!A:A, 1 + BIN2DEC(LEFT($B593,5)))</f>
        <v>OUT</v>
      </c>
      <c r="G593" s="27" t="str" cm="1">
        <f t="array" ref="G593">INDEX(Dest1!A:A,1+BIN2DEC(MID($B593,6,5)))</f>
        <v>--</v>
      </c>
      <c r="H593" s="27" t="str" cm="1">
        <f t="array" ref="H593">INDEX(Source2!A:A,1+BIN2DEC(MID($B593,11,4)))</f>
        <v>--</v>
      </c>
      <c r="I593" s="23" cm="1">
        <f t="array" ref="I593">INDEX('D2'!A:A,1+BIN2DEC(MID($B593,16,2)))</f>
        <v>1</v>
      </c>
      <c r="J593" s="6">
        <f t="shared" si="55"/>
        <v>1</v>
      </c>
      <c r="K593" s="6">
        <f t="shared" si="51"/>
        <v>0</v>
      </c>
      <c r="L593" s="6">
        <f t="shared" si="52"/>
        <v>0</v>
      </c>
      <c r="M593" s="3" t="str" cm="1">
        <f t="array" ref="M593">INDEX(Types!A:A,1+BIN2DEC(MID($B593,20,2)))</f>
        <v>Control</v>
      </c>
      <c r="N593" s="3" t="str" cm="1">
        <f t="array" ref="N593">IF(M593="ALU",INDEX(ALUOps!A:A,1+BIN2DEC(MID($B593,22,5))),"")</f>
        <v/>
      </c>
      <c r="O593" s="3" t="str" cm="1">
        <f t="array" ref="O593">IF(M593="ALU",INDEX(TMP!A:A,1+BIN2DEC(MID($B593,27,2))),"")</f>
        <v/>
      </c>
      <c r="P593" s="6" t="str">
        <f t="shared" si="61"/>
        <v/>
      </c>
      <c r="Q593" t="str">
        <f t="shared" si="63"/>
        <v/>
      </c>
      <c r="R593" t="str">
        <f t="shared" si="64"/>
        <v/>
      </c>
      <c r="S593" cm="1">
        <f t="array" ref="S593">IF(M593="Control",INDEX(IC!A:A,1+BIN2DEC(MID($B593,21,4))),"")</f>
        <v>1</v>
      </c>
      <c r="T593" cm="1">
        <f t="array" ref="T593">IF(M593="Control",INDEX(EC!A:A,1+BIN2DEC(MID($B593,25,3))),"")</f>
        <v>4</v>
      </c>
      <c r="U593" cm="1">
        <f t="array" ref="U593">IF(M593="Control",INDEX(SR!A:A,1+BIN2DEC(MID($B593,28,2))),"")</f>
        <v>3</v>
      </c>
    </row>
    <row r="594" spans="1:30" x14ac:dyDescent="0.25">
      <c r="A594" s="4" t="str">
        <f t="shared" si="62"/>
        <v>250</v>
      </c>
      <c r="B594" s="2" t="s">
        <v>572</v>
      </c>
      <c r="C594" s="2" t="s">
        <v>570</v>
      </c>
      <c r="D594" s="2" t="s">
        <v>931</v>
      </c>
      <c r="E594" s="2" t="s">
        <v>462</v>
      </c>
      <c r="F594" s="27" t="str" cm="1">
        <f t="array" ref="F594">INDEX(Sources!A:A, 1 + BIN2DEC(LEFT($B594,5)))</f>
        <v>SIGMA</v>
      </c>
      <c r="G594" s="27" t="str" cm="1">
        <f t="array" ref="G594">INDEX(Dest1!A:A,1+BIN2DEC(MID($B594,6,5)))</f>
        <v>TMPA</v>
      </c>
      <c r="H594" s="27" t="str" cm="1">
        <f t="array" ref="H594">INDEX(Source2!A:A,1+BIN2DEC(MID($B594,11,4)))</f>
        <v>11</v>
      </c>
      <c r="I594" s="23" t="str" cm="1">
        <f t="array" ref="I594">INDEX('D2'!A:A,1+BIN2DEC(MID($B594,16,2)))</f>
        <v>TMPB</v>
      </c>
      <c r="J594" s="6">
        <f t="shared" si="55"/>
        <v>0</v>
      </c>
      <c r="K594" s="6">
        <f t="shared" si="51"/>
        <v>0</v>
      </c>
      <c r="L594" s="6">
        <f t="shared" si="52"/>
        <v>0</v>
      </c>
      <c r="M594" s="3" t="str" cm="1">
        <f t="array" ref="M594">INDEX(Types!A:A,1+BIN2DEC(MID($B594,20,2)))</f>
        <v>Control</v>
      </c>
      <c r="N594" s="3" t="str" cm="1">
        <f t="array" ref="N594">IF(M594="ALU",INDEX(ALUOps!A:A,1+BIN2DEC(MID($B594,22,5))),"")</f>
        <v/>
      </c>
      <c r="O594" s="3" t="str" cm="1">
        <f t="array" ref="O594">IF(M594="ALU",INDEX(TMP!A:A,1+BIN2DEC(MID($B594,27,2))),"")</f>
        <v/>
      </c>
      <c r="P594" s="6" t="str">
        <f t="shared" si="61"/>
        <v/>
      </c>
      <c r="Q594" t="str">
        <f t="shared" si="63"/>
        <v/>
      </c>
      <c r="R594" t="str">
        <f t="shared" si="64"/>
        <v/>
      </c>
      <c r="S594" cm="1">
        <f t="array" ref="S594">IF(M594="Control",INDEX(IC!A:A,1+BIN2DEC(MID($B594,21,4))),"")</f>
        <v>0</v>
      </c>
      <c r="T594" cm="1">
        <f t="array" ref="T594">IF(M594="Control",INDEX(EC!A:A,1+BIN2DEC(MID($B594,25,3))),"")</f>
        <v>6</v>
      </c>
      <c r="U594" cm="1">
        <f t="array" ref="U594">IF(M594="Control",INDEX(SR!A:A,1+BIN2DEC(MID($B594,28,2))),"")</f>
        <v>1</v>
      </c>
      <c r="AD594" s="1" t="s">
        <v>551</v>
      </c>
    </row>
    <row r="595" spans="1:30" x14ac:dyDescent="0.25">
      <c r="A595" s="4" t="str">
        <f t="shared" si="62"/>
        <v>251</v>
      </c>
      <c r="B595" s="2" t="s">
        <v>292</v>
      </c>
      <c r="C595" s="3"/>
      <c r="D595" s="3"/>
      <c r="E595" s="3"/>
      <c r="F595" s="27" t="str" cm="1">
        <f t="array" ref="F595">INDEX(Sources!A:A, 1 + BIN2DEC(LEFT($B595,5)))</f>
        <v>SIGMA</v>
      </c>
      <c r="G595" s="27" t="str" cm="1">
        <f t="array" ref="G595">INDEX(Dest1!A:A,1+BIN2DEC(MID($B595,6,5)))</f>
        <v>TMPA</v>
      </c>
      <c r="H595" s="27" t="str" cm="1">
        <f t="array" ref="H595">INDEX(Source2!A:A,1+BIN2DEC(MID($B595,11,4)))</f>
        <v>--</v>
      </c>
      <c r="I595" s="23" cm="1">
        <f t="array" ref="I595">INDEX('D2'!A:A,1+BIN2DEC(MID($B595,16,2)))</f>
        <v>0</v>
      </c>
      <c r="J595" s="6">
        <f t="shared" si="55"/>
        <v>0</v>
      </c>
      <c r="K595" s="6">
        <f t="shared" si="51"/>
        <v>0</v>
      </c>
      <c r="L595" s="6">
        <f t="shared" si="52"/>
        <v>0</v>
      </c>
      <c r="M595" s="3" t="str" cm="1">
        <f t="array" ref="M595">INDEX(Types!A:A,1+BIN2DEC(MID($B595,20,2)))</f>
        <v>Control</v>
      </c>
      <c r="N595" s="3" t="str" cm="1">
        <f t="array" ref="N595">IF(M595="ALU",INDEX(ALUOps!A:A,1+BIN2DEC(MID($B595,22,5))),"")</f>
        <v/>
      </c>
      <c r="O595" s="3" t="str" cm="1">
        <f t="array" ref="O595">IF(M595="ALU",INDEX(TMP!A:A,1+BIN2DEC(MID($B595,27,2))),"")</f>
        <v/>
      </c>
      <c r="P595" s="6" t="str">
        <f t="shared" si="61"/>
        <v/>
      </c>
      <c r="Q595" t="str">
        <f t="shared" si="63"/>
        <v/>
      </c>
      <c r="R595" t="str">
        <f t="shared" si="64"/>
        <v/>
      </c>
      <c r="S595" cm="1">
        <f t="array" ref="S595">IF(M595="Control",INDEX(IC!A:A,1+BIN2DEC(MID($B595,21,4))),"")</f>
        <v>0</v>
      </c>
      <c r="T595" cm="1">
        <f t="array" ref="T595">IF(M595="Control",INDEX(EC!A:A,1+BIN2DEC(MID($B595,25,3))),"")</f>
        <v>0</v>
      </c>
      <c r="U595" cm="1">
        <f t="array" ref="U595">IF(M595="Control",INDEX(SR!A:A,1+BIN2DEC(MID($B595,28,2))),"")</f>
        <v>0</v>
      </c>
    </row>
    <row r="596" spans="1:30" x14ac:dyDescent="0.25">
      <c r="A596" s="4" t="str">
        <f t="shared" si="62"/>
        <v>252</v>
      </c>
      <c r="B596" s="2" t="s">
        <v>575</v>
      </c>
      <c r="C596" s="3"/>
      <c r="D596" s="3"/>
      <c r="E596" s="3"/>
      <c r="F596" s="27" t="str" cm="1">
        <f t="array" ref="F596">INDEX(Sources!A:A, 1 + BIN2DEC(LEFT($B596,5)))</f>
        <v>OUT</v>
      </c>
      <c r="G596" s="27" t="str" cm="1">
        <f t="array" ref="G596">INDEX(Dest1!A:A,1+BIN2DEC(MID($B596,6,5)))</f>
        <v>UNK1</v>
      </c>
      <c r="H596" s="27" t="str" cm="1">
        <f t="array" ref="H596">INDEX(Source2!A:A,1+BIN2DEC(MID($B596,11,4)))</f>
        <v>--</v>
      </c>
      <c r="I596" s="23" cm="1">
        <f t="array" ref="I596">INDEX('D2'!A:A,1+BIN2DEC(MID($B596,16,2)))</f>
        <v>1</v>
      </c>
      <c r="J596" s="6">
        <f t="shared" si="55"/>
        <v>1</v>
      </c>
      <c r="K596" s="6">
        <f t="shared" si="51"/>
        <v>0</v>
      </c>
      <c r="L596" s="6">
        <f t="shared" si="52"/>
        <v>0</v>
      </c>
      <c r="M596" s="3" t="str" cm="1">
        <f t="array" ref="M596">INDEX(Types!A:A,1+BIN2DEC(MID($B596,20,2)))</f>
        <v>Control</v>
      </c>
      <c r="N596" s="3" t="str" cm="1">
        <f t="array" ref="N596">IF(M596="ALU",INDEX(ALUOps!A:A,1+BIN2DEC(MID($B596,22,5))),"")</f>
        <v/>
      </c>
      <c r="O596" s="3" t="str" cm="1">
        <f t="array" ref="O596">IF(M596="ALU",INDEX(TMP!A:A,1+BIN2DEC(MID($B596,27,2))),"")</f>
        <v/>
      </c>
      <c r="P596" s="6" t="str">
        <f t="shared" si="61"/>
        <v/>
      </c>
      <c r="Q596" t="str">
        <f t="shared" si="63"/>
        <v/>
      </c>
      <c r="R596" t="str">
        <f t="shared" si="64"/>
        <v/>
      </c>
      <c r="S596" cm="1">
        <f t="array" ref="S596">IF(M596="Control",INDEX(IC!A:A,1+BIN2DEC(MID($B596,21,4))),"")</f>
        <v>0</v>
      </c>
      <c r="T596" cm="1">
        <f t="array" ref="T596">IF(M596="Control",INDEX(EC!A:A,1+BIN2DEC(MID($B596,25,3))),"")</f>
        <v>0</v>
      </c>
      <c r="U596" cm="1">
        <f t="array" ref="U596">IF(M596="Control",INDEX(SR!A:A,1+BIN2DEC(MID($B596,28,2))),"")</f>
        <v>0</v>
      </c>
    </row>
    <row r="597" spans="1:30" x14ac:dyDescent="0.25">
      <c r="A597" s="4" t="str">
        <f t="shared" si="62"/>
        <v>253</v>
      </c>
      <c r="B597" s="2" t="s">
        <v>572</v>
      </c>
      <c r="C597" s="3"/>
      <c r="D597" s="3"/>
      <c r="E597" s="3"/>
      <c r="F597" s="27" t="str" cm="1">
        <f t="array" ref="F597">INDEX(Sources!A:A, 1 + BIN2DEC(LEFT($B597,5)))</f>
        <v>SIGMA</v>
      </c>
      <c r="G597" s="27" t="str" cm="1">
        <f t="array" ref="G597">INDEX(Dest1!A:A,1+BIN2DEC(MID($B597,6,5)))</f>
        <v>TMPA</v>
      </c>
      <c r="H597" s="27" t="str" cm="1">
        <f t="array" ref="H597">INDEX(Source2!A:A,1+BIN2DEC(MID($B597,11,4)))</f>
        <v>11</v>
      </c>
      <c r="I597" s="23" t="str" cm="1">
        <f t="array" ref="I597">INDEX('D2'!A:A,1+BIN2DEC(MID($B597,16,2)))</f>
        <v>TMPB</v>
      </c>
      <c r="J597" s="6">
        <f t="shared" si="55"/>
        <v>0</v>
      </c>
      <c r="K597" s="6">
        <f t="shared" si="51"/>
        <v>0</v>
      </c>
      <c r="L597" s="6">
        <f t="shared" si="52"/>
        <v>0</v>
      </c>
      <c r="M597" s="3" t="str" cm="1">
        <f t="array" ref="M597">INDEX(Types!A:A,1+BIN2DEC(MID($B597,20,2)))</f>
        <v>Control</v>
      </c>
      <c r="N597" s="3" t="str" cm="1">
        <f t="array" ref="N597">IF(M597="ALU",INDEX(ALUOps!A:A,1+BIN2DEC(MID($B597,22,5))),"")</f>
        <v/>
      </c>
      <c r="O597" s="3" t="str" cm="1">
        <f t="array" ref="O597">IF(M597="ALU",INDEX(TMP!A:A,1+BIN2DEC(MID($B597,27,2))),"")</f>
        <v/>
      </c>
      <c r="P597" s="6" t="str">
        <f t="shared" si="61"/>
        <v/>
      </c>
      <c r="Q597" t="str">
        <f t="shared" si="63"/>
        <v/>
      </c>
      <c r="R597" t="str">
        <f t="shared" si="64"/>
        <v/>
      </c>
      <c r="S597" cm="1">
        <f t="array" ref="S597">IF(M597="Control",INDEX(IC!A:A,1+BIN2DEC(MID($B597,21,4))),"")</f>
        <v>0</v>
      </c>
      <c r="T597" cm="1">
        <f t="array" ref="T597">IF(M597="Control",INDEX(EC!A:A,1+BIN2DEC(MID($B597,25,3))),"")</f>
        <v>6</v>
      </c>
      <c r="U597" cm="1">
        <f t="array" ref="U597">IF(M597="Control",INDEX(SR!A:A,1+BIN2DEC(MID($B597,28,2))),"")</f>
        <v>1</v>
      </c>
    </row>
    <row r="598" spans="1:30" x14ac:dyDescent="0.25">
      <c r="A598" s="4" t="str">
        <f t="shared" si="62"/>
        <v>254</v>
      </c>
      <c r="B598" s="2" t="s">
        <v>576</v>
      </c>
      <c r="C598" s="2" t="s">
        <v>574</v>
      </c>
      <c r="D598" s="2" t="s">
        <v>931</v>
      </c>
      <c r="E598" s="2" t="s">
        <v>929</v>
      </c>
      <c r="F598" s="27" t="str" cm="1">
        <f t="array" ref="F598">INDEX(Sources!A:A, 1 + BIN2DEC(LEFT($B598,5)))</f>
        <v>OUT</v>
      </c>
      <c r="G598" s="27" t="str" cm="1">
        <f t="array" ref="G598">INDEX(Dest1!A:A,1+BIN2DEC(MID($B598,6,5)))</f>
        <v>UNK2</v>
      </c>
      <c r="H598" s="27" t="str" cm="1">
        <f t="array" ref="H598">INDEX(Source2!A:A,1+BIN2DEC(MID($B598,11,4)))</f>
        <v>--</v>
      </c>
      <c r="I598" s="23" cm="1">
        <f t="array" ref="I598">INDEX('D2'!A:A,1+BIN2DEC(MID($B598,16,2)))</f>
        <v>1</v>
      </c>
      <c r="J598" s="6">
        <f t="shared" si="55"/>
        <v>1</v>
      </c>
      <c r="K598" s="6">
        <f t="shared" si="51"/>
        <v>0</v>
      </c>
      <c r="L598" s="6">
        <f t="shared" si="52"/>
        <v>0</v>
      </c>
      <c r="M598" s="3" t="str" cm="1">
        <f t="array" ref="M598">INDEX(Types!A:A,1+BIN2DEC(MID($B598,20,2)))</f>
        <v>Control</v>
      </c>
      <c r="N598" s="3" t="str" cm="1">
        <f t="array" ref="N598">IF(M598="ALU",INDEX(ALUOps!A:A,1+BIN2DEC(MID($B598,22,5))),"")</f>
        <v/>
      </c>
      <c r="O598" s="3" t="str" cm="1">
        <f t="array" ref="O598">IF(M598="ALU",INDEX(TMP!A:A,1+BIN2DEC(MID($B598,27,2))),"")</f>
        <v/>
      </c>
      <c r="P598" s="6" t="str">
        <f t="shared" si="61"/>
        <v/>
      </c>
      <c r="Q598" t="str">
        <f t="shared" si="63"/>
        <v/>
      </c>
      <c r="R598" t="str">
        <f t="shared" si="64"/>
        <v/>
      </c>
      <c r="S598" cm="1">
        <f t="array" ref="S598">IF(M598="Control",INDEX(IC!A:A,1+BIN2DEC(MID($B598,21,4))),"")</f>
        <v>0</v>
      </c>
      <c r="T598" cm="1">
        <f t="array" ref="T598">IF(M598="Control",INDEX(EC!A:A,1+BIN2DEC(MID($B598,25,3))),"")</f>
        <v>0</v>
      </c>
      <c r="U598" cm="1">
        <f t="array" ref="U598">IF(M598="Control",INDEX(SR!A:A,1+BIN2DEC(MID($B598,28,2))),"")</f>
        <v>0</v>
      </c>
      <c r="AD598" s="1" t="s">
        <v>551</v>
      </c>
    </row>
    <row r="599" spans="1:30" x14ac:dyDescent="0.25">
      <c r="A599" s="4" t="str">
        <f t="shared" si="62"/>
        <v>255</v>
      </c>
      <c r="B599" s="2" t="s">
        <v>572</v>
      </c>
      <c r="C599" s="3"/>
      <c r="D599" s="3"/>
      <c r="E599" s="3"/>
      <c r="F599" s="27" t="str" cm="1">
        <f t="array" ref="F599">INDEX(Sources!A:A, 1 + BIN2DEC(LEFT($B599,5)))</f>
        <v>SIGMA</v>
      </c>
      <c r="G599" s="27" t="str" cm="1">
        <f t="array" ref="G599">INDEX(Dest1!A:A,1+BIN2DEC(MID($B599,6,5)))</f>
        <v>TMPA</v>
      </c>
      <c r="H599" s="27" t="str" cm="1">
        <f t="array" ref="H599">INDEX(Source2!A:A,1+BIN2DEC(MID($B599,11,4)))</f>
        <v>11</v>
      </c>
      <c r="I599" s="23" t="str" cm="1">
        <f t="array" ref="I599">INDEX('D2'!A:A,1+BIN2DEC(MID($B599,16,2)))</f>
        <v>TMPB</v>
      </c>
      <c r="J599" s="6">
        <f t="shared" si="55"/>
        <v>0</v>
      </c>
      <c r="K599" s="6">
        <f t="shared" si="51"/>
        <v>0</v>
      </c>
      <c r="L599" s="6">
        <f t="shared" si="52"/>
        <v>0</v>
      </c>
      <c r="M599" s="3" t="str" cm="1">
        <f t="array" ref="M599">INDEX(Types!A:A,1+BIN2DEC(MID($B599,20,2)))</f>
        <v>Control</v>
      </c>
      <c r="N599" s="3" t="str" cm="1">
        <f t="array" ref="N599">IF(M599="ALU",INDEX(ALUOps!A:A,1+BIN2DEC(MID($B599,22,5))),"")</f>
        <v/>
      </c>
      <c r="O599" s="3" t="str" cm="1">
        <f t="array" ref="O599">IF(M599="ALU",INDEX(TMP!A:A,1+BIN2DEC(MID($B599,27,2))),"")</f>
        <v/>
      </c>
      <c r="P599" s="6" t="str">
        <f t="shared" si="61"/>
        <v/>
      </c>
      <c r="Q599" t="str">
        <f t="shared" si="63"/>
        <v/>
      </c>
      <c r="R599" t="str">
        <f t="shared" si="64"/>
        <v/>
      </c>
      <c r="S599" cm="1">
        <f t="array" ref="S599">IF(M599="Control",INDEX(IC!A:A,1+BIN2DEC(MID($B599,21,4))),"")</f>
        <v>0</v>
      </c>
      <c r="T599" cm="1">
        <f t="array" ref="T599">IF(M599="Control",INDEX(EC!A:A,1+BIN2DEC(MID($B599,25,3))),"")</f>
        <v>6</v>
      </c>
      <c r="U599" cm="1">
        <f t="array" ref="U599">IF(M599="Control",INDEX(SR!A:A,1+BIN2DEC(MID($B599,28,2))),"")</f>
        <v>1</v>
      </c>
    </row>
    <row r="600" spans="1:30" x14ac:dyDescent="0.25">
      <c r="A600" s="4" t="str">
        <f t="shared" si="62"/>
        <v>256</v>
      </c>
      <c r="B600" s="2" t="s">
        <v>578</v>
      </c>
      <c r="C600" s="3"/>
      <c r="D600" s="3"/>
      <c r="E600" s="3"/>
      <c r="F600" s="27" t="str" cm="1">
        <f t="array" ref="F600">INDEX(Sources!A:A, 1 + BIN2DEC(LEFT($B600,5)))</f>
        <v>OUT</v>
      </c>
      <c r="G600" s="27" t="str" cm="1">
        <f t="array" ref="G600">INDEX(Dest1!A:A,1+BIN2DEC(MID($B600,6,5)))</f>
        <v>UNK4</v>
      </c>
      <c r="H600" s="27" t="str" cm="1">
        <f t="array" ref="H600">INDEX(Source2!A:A,1+BIN2DEC(MID($B600,11,4)))</f>
        <v>--</v>
      </c>
      <c r="I600" s="23" cm="1">
        <f t="array" ref="I600">INDEX('D2'!A:A,1+BIN2DEC(MID($B600,16,2)))</f>
        <v>1</v>
      </c>
      <c r="J600" s="6">
        <f t="shared" si="55"/>
        <v>1</v>
      </c>
      <c r="K600" s="6">
        <f t="shared" si="51"/>
        <v>0</v>
      </c>
      <c r="L600" s="6">
        <f t="shared" si="52"/>
        <v>0</v>
      </c>
      <c r="M600" s="3" t="str" cm="1">
        <f t="array" ref="M600">INDEX(Types!A:A,1+BIN2DEC(MID($B600,20,2)))</f>
        <v>Control</v>
      </c>
      <c r="N600" s="3" t="str" cm="1">
        <f t="array" ref="N600">IF(M600="ALU",INDEX(ALUOps!A:A,1+BIN2DEC(MID($B600,22,5))),"")</f>
        <v/>
      </c>
      <c r="O600" s="3" t="str" cm="1">
        <f t="array" ref="O600">IF(M600="ALU",INDEX(TMP!A:A,1+BIN2DEC(MID($B600,27,2))),"")</f>
        <v/>
      </c>
      <c r="P600" s="6" t="str">
        <f t="shared" si="61"/>
        <v/>
      </c>
      <c r="Q600" t="str">
        <f t="shared" si="63"/>
        <v/>
      </c>
      <c r="R600" t="str">
        <f t="shared" si="64"/>
        <v/>
      </c>
      <c r="S600" cm="1">
        <f t="array" ref="S600">IF(M600="Control",INDEX(IC!A:A,1+BIN2DEC(MID($B600,21,4))),"")</f>
        <v>0</v>
      </c>
      <c r="T600" cm="1">
        <f t="array" ref="T600">IF(M600="Control",INDEX(EC!A:A,1+BIN2DEC(MID($B600,25,3))),"")</f>
        <v>0</v>
      </c>
      <c r="U600" cm="1">
        <f t="array" ref="U600">IF(M600="Control",INDEX(SR!A:A,1+BIN2DEC(MID($B600,28,2))),"")</f>
        <v>0</v>
      </c>
    </row>
    <row r="601" spans="1:30" x14ac:dyDescent="0.25">
      <c r="A601" s="4" t="str">
        <f t="shared" si="62"/>
        <v>257</v>
      </c>
      <c r="B601" s="2" t="s">
        <v>572</v>
      </c>
      <c r="C601" s="3"/>
      <c r="D601" s="3"/>
      <c r="E601" s="3"/>
      <c r="F601" s="27" t="str" cm="1">
        <f t="array" ref="F601">INDEX(Sources!A:A, 1 + BIN2DEC(LEFT($B601,5)))</f>
        <v>SIGMA</v>
      </c>
      <c r="G601" s="27" t="str" cm="1">
        <f t="array" ref="G601">INDEX(Dest1!A:A,1+BIN2DEC(MID($B601,6,5)))</f>
        <v>TMPA</v>
      </c>
      <c r="H601" s="27" t="str" cm="1">
        <f t="array" ref="H601">INDEX(Source2!A:A,1+BIN2DEC(MID($B601,11,4)))</f>
        <v>11</v>
      </c>
      <c r="I601" s="23" t="str" cm="1">
        <f t="array" ref="I601">INDEX('D2'!A:A,1+BIN2DEC(MID($B601,16,2)))</f>
        <v>TMPB</v>
      </c>
      <c r="J601" s="6">
        <f t="shared" si="55"/>
        <v>0</v>
      </c>
      <c r="K601" s="6">
        <f t="shared" si="51"/>
        <v>0</v>
      </c>
      <c r="L601" s="6">
        <f t="shared" si="52"/>
        <v>0</v>
      </c>
      <c r="M601" s="3" t="str" cm="1">
        <f t="array" ref="M601">INDEX(Types!A:A,1+BIN2DEC(MID($B601,20,2)))</f>
        <v>Control</v>
      </c>
      <c r="N601" s="3" t="str" cm="1">
        <f t="array" ref="N601">IF(M601="ALU",INDEX(ALUOps!A:A,1+BIN2DEC(MID($B601,22,5))),"")</f>
        <v/>
      </c>
      <c r="O601" s="3" t="str" cm="1">
        <f t="array" ref="O601">IF(M601="ALU",INDEX(TMP!A:A,1+BIN2DEC(MID($B601,27,2))),"")</f>
        <v/>
      </c>
      <c r="P601" s="6" t="str">
        <f t="shared" si="61"/>
        <v/>
      </c>
      <c r="Q601" t="str">
        <f t="shared" si="63"/>
        <v/>
      </c>
      <c r="R601" t="str">
        <f t="shared" si="64"/>
        <v/>
      </c>
      <c r="S601" cm="1">
        <f t="array" ref="S601">IF(M601="Control",INDEX(IC!A:A,1+BIN2DEC(MID($B601,21,4))),"")</f>
        <v>0</v>
      </c>
      <c r="T601" cm="1">
        <f t="array" ref="T601">IF(M601="Control",INDEX(EC!A:A,1+BIN2DEC(MID($B601,25,3))),"")</f>
        <v>6</v>
      </c>
      <c r="U601" cm="1">
        <f t="array" ref="U601">IF(M601="Control",INDEX(SR!A:A,1+BIN2DEC(MID($B601,28,2))),"")</f>
        <v>1</v>
      </c>
    </row>
    <row r="602" spans="1:30" x14ac:dyDescent="0.25">
      <c r="A602" s="4" t="str">
        <f t="shared" si="62"/>
        <v>258</v>
      </c>
      <c r="B602" s="2" t="s">
        <v>579</v>
      </c>
      <c r="C602" s="2" t="s">
        <v>577</v>
      </c>
      <c r="D602" s="2" t="s">
        <v>931</v>
      </c>
      <c r="E602" s="2" t="s">
        <v>488</v>
      </c>
      <c r="F602" s="27" t="str" cm="1">
        <f t="array" ref="F602">INDEX(Sources!A:A, 1 + BIN2DEC(LEFT($B602,5)))</f>
        <v>OUT</v>
      </c>
      <c r="G602" s="27" t="str" cm="1">
        <f t="array" ref="G602">INDEX(Dest1!A:A,1+BIN2DEC(MID($B602,6,5)))</f>
        <v>UNK5</v>
      </c>
      <c r="H602" s="27" t="str" cm="1">
        <f t="array" ref="H602">INDEX(Source2!A:A,1+BIN2DEC(MID($B602,11,4)))</f>
        <v>--</v>
      </c>
      <c r="I602" s="23" cm="1">
        <f t="array" ref="I602">INDEX('D2'!A:A,1+BIN2DEC(MID($B602,16,2)))</f>
        <v>1</v>
      </c>
      <c r="J602" s="6">
        <f t="shared" si="55"/>
        <v>1</v>
      </c>
      <c r="K602" s="6">
        <f t="shared" si="51"/>
        <v>0</v>
      </c>
      <c r="L602" s="6">
        <f t="shared" si="52"/>
        <v>0</v>
      </c>
      <c r="M602" s="3" t="str" cm="1">
        <f t="array" ref="M602">INDEX(Types!A:A,1+BIN2DEC(MID($B602,20,2)))</f>
        <v>Control</v>
      </c>
      <c r="N602" s="3" t="str" cm="1">
        <f t="array" ref="N602">IF(M602="ALU",INDEX(ALUOps!A:A,1+BIN2DEC(MID($B602,22,5))),"")</f>
        <v/>
      </c>
      <c r="O602" s="3" t="str" cm="1">
        <f t="array" ref="O602">IF(M602="ALU",INDEX(TMP!A:A,1+BIN2DEC(MID($B602,27,2))),"")</f>
        <v/>
      </c>
      <c r="P602" s="6" t="str">
        <f t="shared" si="61"/>
        <v/>
      </c>
      <c r="Q602" t="str">
        <f t="shared" si="63"/>
        <v/>
      </c>
      <c r="R602" t="str">
        <f t="shared" si="64"/>
        <v/>
      </c>
      <c r="S602" cm="1">
        <f t="array" ref="S602">IF(M602="Control",INDEX(IC!A:A,1+BIN2DEC(MID($B602,21,4))),"")</f>
        <v>0</v>
      </c>
      <c r="T602" cm="1">
        <f t="array" ref="T602">IF(M602="Control",INDEX(EC!A:A,1+BIN2DEC(MID($B602,25,3))),"")</f>
        <v>0</v>
      </c>
      <c r="U602" cm="1">
        <f t="array" ref="U602">IF(M602="Control",INDEX(SR!A:A,1+BIN2DEC(MID($B602,28,2))),"")</f>
        <v>0</v>
      </c>
      <c r="AD602" s="1" t="s">
        <v>551</v>
      </c>
    </row>
    <row r="603" spans="1:30" x14ac:dyDescent="0.25">
      <c r="A603" s="4" t="str">
        <f t="shared" si="62"/>
        <v>259</v>
      </c>
      <c r="B603" s="2" t="s">
        <v>572</v>
      </c>
      <c r="C603" s="3"/>
      <c r="D603" s="3"/>
      <c r="E603" s="3"/>
      <c r="F603" s="27" t="str" cm="1">
        <f t="array" ref="F603">INDEX(Sources!A:A, 1 + BIN2DEC(LEFT($B603,5)))</f>
        <v>SIGMA</v>
      </c>
      <c r="G603" s="27" t="str" cm="1">
        <f t="array" ref="G603">INDEX(Dest1!A:A,1+BIN2DEC(MID($B603,6,5)))</f>
        <v>TMPA</v>
      </c>
      <c r="H603" s="27" t="str" cm="1">
        <f t="array" ref="H603">INDEX(Source2!A:A,1+BIN2DEC(MID($B603,11,4)))</f>
        <v>11</v>
      </c>
      <c r="I603" s="23" t="str" cm="1">
        <f t="array" ref="I603">INDEX('D2'!A:A,1+BIN2DEC(MID($B603,16,2)))</f>
        <v>TMPB</v>
      </c>
      <c r="J603" s="6">
        <f t="shared" si="55"/>
        <v>0</v>
      </c>
      <c r="K603" s="6">
        <f t="shared" si="51"/>
        <v>0</v>
      </c>
      <c r="L603" s="6">
        <f t="shared" si="52"/>
        <v>0</v>
      </c>
      <c r="M603" s="3" t="str" cm="1">
        <f t="array" ref="M603">INDEX(Types!A:A,1+BIN2DEC(MID($B603,20,2)))</f>
        <v>Control</v>
      </c>
      <c r="N603" s="3" t="str" cm="1">
        <f t="array" ref="N603">IF(M603="ALU",INDEX(ALUOps!A:A,1+BIN2DEC(MID($B603,22,5))),"")</f>
        <v/>
      </c>
      <c r="O603" s="3" t="str" cm="1">
        <f t="array" ref="O603">IF(M603="ALU",INDEX(TMP!A:A,1+BIN2DEC(MID($B603,27,2))),"")</f>
        <v/>
      </c>
      <c r="P603" s="6" t="str">
        <f t="shared" si="61"/>
        <v/>
      </c>
      <c r="Q603" t="str">
        <f t="shared" si="63"/>
        <v/>
      </c>
      <c r="R603" t="str">
        <f t="shared" si="64"/>
        <v/>
      </c>
      <c r="S603" cm="1">
        <f t="array" ref="S603">IF(M603="Control",INDEX(IC!A:A,1+BIN2DEC(MID($B603,21,4))),"")</f>
        <v>0</v>
      </c>
      <c r="T603" cm="1">
        <f t="array" ref="T603">IF(M603="Control",INDEX(EC!A:A,1+BIN2DEC(MID($B603,25,3))),"")</f>
        <v>6</v>
      </c>
      <c r="U603" cm="1">
        <f t="array" ref="U603">IF(M603="Control",INDEX(SR!A:A,1+BIN2DEC(MID($B603,28,2))),"")</f>
        <v>1</v>
      </c>
    </row>
    <row r="604" spans="1:30" x14ac:dyDescent="0.25">
      <c r="A604" s="4" t="str">
        <f t="shared" si="62"/>
        <v>25A</v>
      </c>
      <c r="B604" s="2" t="s">
        <v>581</v>
      </c>
      <c r="C604" s="3"/>
      <c r="D604" s="3"/>
      <c r="E604" s="3"/>
      <c r="F604" s="27" t="str" cm="1">
        <f t="array" ref="F604">INDEX(Sources!A:A, 1 + BIN2DEC(LEFT($B604,5)))</f>
        <v>OUT</v>
      </c>
      <c r="G604" s="27" t="str" cm="1">
        <f t="array" ref="G604">INDEX(Dest1!A:A,1+BIN2DEC(MID($B604,6,5)))</f>
        <v>C</v>
      </c>
      <c r="H604" s="27" t="str" cm="1">
        <f t="array" ref="H604">INDEX(Source2!A:A,1+BIN2DEC(MID($B604,11,4)))</f>
        <v>--</v>
      </c>
      <c r="I604" s="23" cm="1">
        <f t="array" ref="I604">INDEX('D2'!A:A,1+BIN2DEC(MID($B604,16,2)))</f>
        <v>1</v>
      </c>
      <c r="J604" s="6">
        <f t="shared" si="55"/>
        <v>1</v>
      </c>
      <c r="K604" s="6">
        <f t="shared" si="51"/>
        <v>0</v>
      </c>
      <c r="L604" s="6">
        <f t="shared" si="52"/>
        <v>0</v>
      </c>
      <c r="M604" s="3" t="str" cm="1">
        <f t="array" ref="M604">INDEX(Types!A:A,1+BIN2DEC(MID($B604,20,2)))</f>
        <v>Control</v>
      </c>
      <c r="N604" s="3" t="str" cm="1">
        <f t="array" ref="N604">IF(M604="ALU",INDEX(ALUOps!A:A,1+BIN2DEC(MID($B604,22,5))),"")</f>
        <v/>
      </c>
      <c r="O604" s="3" t="str" cm="1">
        <f t="array" ref="O604">IF(M604="ALU",INDEX(TMP!A:A,1+BIN2DEC(MID($B604,27,2))),"")</f>
        <v/>
      </c>
      <c r="P604" s="6" t="str">
        <f t="shared" si="61"/>
        <v/>
      </c>
      <c r="Q604" t="str">
        <f t="shared" si="63"/>
        <v/>
      </c>
      <c r="R604" t="str">
        <f t="shared" si="64"/>
        <v/>
      </c>
      <c r="S604" cm="1">
        <f t="array" ref="S604">IF(M604="Control",INDEX(IC!A:A,1+BIN2DEC(MID($B604,21,4))),"")</f>
        <v>0</v>
      </c>
      <c r="T604" cm="1">
        <f t="array" ref="T604">IF(M604="Control",INDEX(EC!A:A,1+BIN2DEC(MID($B604,25,3))),"")</f>
        <v>0</v>
      </c>
      <c r="U604" cm="1">
        <f t="array" ref="U604">IF(M604="Control",INDEX(SR!A:A,1+BIN2DEC(MID($B604,28,2))),"")</f>
        <v>0</v>
      </c>
    </row>
    <row r="605" spans="1:30" x14ac:dyDescent="0.25">
      <c r="A605" s="4" t="str">
        <f t="shared" si="62"/>
        <v>25B</v>
      </c>
      <c r="B605" s="2" t="s">
        <v>15</v>
      </c>
      <c r="C605" s="3"/>
      <c r="D605" s="3"/>
      <c r="E605" s="3"/>
      <c r="F605" s="27" t="str" cm="1">
        <f t="array" ref="F605">INDEX(Sources!A:A, 1 + BIN2DEC(LEFT($B605,5)))</f>
        <v>SIGMA</v>
      </c>
      <c r="G605" s="27" t="str" cm="1">
        <f t="array" ref="G605">INDEX(Dest1!A:A,1+BIN2DEC(MID($B605,6,5)))</f>
        <v>SP</v>
      </c>
      <c r="H605" s="27" t="str" cm="1">
        <f t="array" ref="H605">INDEX(Source2!A:A,1+BIN2DEC(MID($B605,11,4)))</f>
        <v>--</v>
      </c>
      <c r="I605" s="23" cm="1">
        <f t="array" ref="I605">INDEX('D2'!A:A,1+BIN2DEC(MID($B605,16,2)))</f>
        <v>0</v>
      </c>
      <c r="J605" s="6">
        <f t="shared" si="55"/>
        <v>0</v>
      </c>
      <c r="K605" s="6">
        <f t="shared" si="51"/>
        <v>0</v>
      </c>
      <c r="L605" s="6">
        <f t="shared" si="52"/>
        <v>0</v>
      </c>
      <c r="M605" s="3" t="str" cm="1">
        <f t="array" ref="M605">INDEX(Types!A:A,1+BIN2DEC(MID($B605,20,2)))</f>
        <v>Control</v>
      </c>
      <c r="N605" s="3" t="str" cm="1">
        <f t="array" ref="N605">IF(M605="ALU",INDEX(ALUOps!A:A,1+BIN2DEC(MID($B605,22,5))),"")</f>
        <v/>
      </c>
      <c r="O605" s="3" t="str" cm="1">
        <f t="array" ref="O605">IF(M605="ALU",INDEX(TMP!A:A,1+BIN2DEC(MID($B605,27,2))),"")</f>
        <v/>
      </c>
      <c r="P605" s="6" t="str">
        <f t="shared" si="61"/>
        <v/>
      </c>
      <c r="Q605" t="str">
        <f t="shared" si="63"/>
        <v/>
      </c>
      <c r="R605" t="str">
        <f t="shared" si="64"/>
        <v/>
      </c>
      <c r="S605" cm="1">
        <f t="array" ref="S605">IF(M605="Control",INDEX(IC!A:A,1+BIN2DEC(MID($B605,21,4))),"")</f>
        <v>0</v>
      </c>
      <c r="T605" cm="1">
        <f t="array" ref="T605">IF(M605="Control",INDEX(EC!A:A,1+BIN2DEC(MID($B605,25,3))),"")</f>
        <v>0</v>
      </c>
      <c r="U605" cm="1">
        <f t="array" ref="U605">IF(M605="Control",INDEX(SR!A:A,1+BIN2DEC(MID($B605,28,2))),"")</f>
        <v>0</v>
      </c>
    </row>
    <row r="606" spans="1:30" x14ac:dyDescent="0.25">
      <c r="A606" s="4" t="str">
        <f t="shared" si="62"/>
        <v>25C</v>
      </c>
      <c r="B606" s="2" t="s">
        <v>582</v>
      </c>
      <c r="C606" s="2" t="s">
        <v>580</v>
      </c>
      <c r="D606" s="2" t="s">
        <v>931</v>
      </c>
      <c r="E606" s="2" t="s">
        <v>933</v>
      </c>
      <c r="F606" s="27" t="str" cm="1">
        <f t="array" ref="F606">INDEX(Sources!A:A, 1 + BIN2DEC(LEFT($B606,5)))</f>
        <v>OUT</v>
      </c>
      <c r="G606" s="27" t="str" cm="1">
        <f t="array" ref="G606">INDEX(Dest1!A:A,1+BIN2DEC(MID($B606,6,5)))</f>
        <v>A</v>
      </c>
      <c r="H606" s="27" t="str" cm="1">
        <f t="array" ref="H606">INDEX(Source2!A:A,1+BIN2DEC(MID($B606,11,4)))</f>
        <v>--</v>
      </c>
      <c r="I606" s="23" cm="1">
        <f t="array" ref="I606">INDEX('D2'!A:A,1+BIN2DEC(MID($B606,16,2)))</f>
        <v>1</v>
      </c>
      <c r="J606" s="6">
        <f t="shared" si="55"/>
        <v>1</v>
      </c>
      <c r="K606" s="6">
        <f t="shared" si="51"/>
        <v>0</v>
      </c>
      <c r="L606" s="6">
        <f t="shared" si="52"/>
        <v>1</v>
      </c>
      <c r="M606" s="3" t="str" cm="1">
        <f t="array" ref="M606">INDEX(Types!A:A,1+BIN2DEC(MID($B606,20,2)))</f>
        <v>Control</v>
      </c>
      <c r="N606" s="3" t="str" cm="1">
        <f t="array" ref="N606">IF(M606="ALU",INDEX(ALUOps!A:A,1+BIN2DEC(MID($B606,22,5))),"")</f>
        <v/>
      </c>
      <c r="O606" s="3" t="str" cm="1">
        <f t="array" ref="O606">IF(M606="ALU",INDEX(TMP!A:A,1+BIN2DEC(MID($B606,27,2))),"")</f>
        <v/>
      </c>
      <c r="P606" s="6" t="str">
        <f t="shared" si="61"/>
        <v/>
      </c>
      <c r="Q606" t="str">
        <f t="shared" si="63"/>
        <v/>
      </c>
      <c r="R606" t="str">
        <f t="shared" si="64"/>
        <v/>
      </c>
      <c r="S606" cm="1">
        <f t="array" ref="S606">IF(M606="Control",INDEX(IC!A:A,1+BIN2DEC(MID($B606,21,4))),"")</f>
        <v>0</v>
      </c>
      <c r="T606" cm="1">
        <f t="array" ref="T606">IF(M606="Control",INDEX(EC!A:A,1+BIN2DEC(MID($B606,25,3))),"")</f>
        <v>0</v>
      </c>
      <c r="U606" cm="1">
        <f t="array" ref="U606">IF(M606="Control",INDEX(SR!A:A,1+BIN2DEC(MID($B606,28,2))),"")</f>
        <v>0</v>
      </c>
      <c r="AD606" s="1" t="s">
        <v>551</v>
      </c>
    </row>
    <row r="607" spans="1:30" x14ac:dyDescent="0.25">
      <c r="A607" s="4" t="str">
        <f t="shared" si="62"/>
        <v>25D</v>
      </c>
      <c r="B607" s="2" t="s">
        <v>4</v>
      </c>
      <c r="C607" s="3"/>
      <c r="D607" s="3"/>
      <c r="E607" s="3"/>
      <c r="F607" s="27" t="str" cm="1">
        <f t="array" ref="F607">INDEX(Sources!A:A, 1 + BIN2DEC(LEFT($B607,5)))</f>
        <v>--</v>
      </c>
      <c r="G607" s="27" t="str" cm="1">
        <f t="array" ref="G607">INDEX(Dest1!A:A,1+BIN2DEC(MID($B607,6,5)))</f>
        <v>--</v>
      </c>
      <c r="H607" s="27" t="str" cm="1">
        <f t="array" ref="H607">INDEX(Source2!A:A,1+BIN2DEC(MID($B607,11,4)))</f>
        <v>--</v>
      </c>
      <c r="I607" s="23" cm="1">
        <f t="array" ref="I607">INDEX('D2'!A:A,1+BIN2DEC(MID($B607,16,2)))</f>
        <v>0</v>
      </c>
      <c r="J607" s="6">
        <f t="shared" si="55"/>
        <v>0</v>
      </c>
      <c r="K607" s="6">
        <f t="shared" si="51"/>
        <v>0</v>
      </c>
      <c r="L607" s="6">
        <f t="shared" si="52"/>
        <v>0</v>
      </c>
      <c r="M607" s="3" t="str" cm="1">
        <f t="array" ref="M607">INDEX(Types!A:A,1+BIN2DEC(MID($B607,20,2)))</f>
        <v>Control</v>
      </c>
      <c r="N607" s="3" t="str" cm="1">
        <f t="array" ref="N607">IF(M607="ALU",INDEX(ALUOps!A:A,1+BIN2DEC(MID($B607,22,5))),"")</f>
        <v/>
      </c>
      <c r="O607" s="3" t="str" cm="1">
        <f t="array" ref="O607">IF(M607="ALU",INDEX(TMP!A:A,1+BIN2DEC(MID($B607,27,2))),"")</f>
        <v/>
      </c>
      <c r="P607" s="6" t="str">
        <f t="shared" si="61"/>
        <v/>
      </c>
      <c r="Q607" t="str">
        <f t="shared" si="63"/>
        <v/>
      </c>
      <c r="R607" t="str">
        <f t="shared" si="64"/>
        <v/>
      </c>
      <c r="S607" cm="1">
        <f t="array" ref="S607">IF(M607="Control",INDEX(IC!A:A,1+BIN2DEC(MID($B607,21,4))),"")</f>
        <v>0</v>
      </c>
      <c r="T607" cm="1">
        <f t="array" ref="T607">IF(M607="Control",INDEX(EC!A:A,1+BIN2DEC(MID($B607,25,3))),"")</f>
        <v>0</v>
      </c>
      <c r="U607" cm="1">
        <f t="array" ref="U607">IF(M607="Control",INDEX(SR!A:A,1+BIN2DEC(MID($B607,28,2))),"")</f>
        <v>0</v>
      </c>
    </row>
    <row r="608" spans="1:30" x14ac:dyDescent="0.25">
      <c r="A608" s="4" t="str">
        <f t="shared" si="62"/>
        <v>25E</v>
      </c>
      <c r="B608" s="2" t="s">
        <v>4</v>
      </c>
      <c r="C608" s="3"/>
      <c r="D608" s="3"/>
      <c r="E608" s="3"/>
      <c r="F608" s="27" t="str" cm="1">
        <f t="array" ref="F608">INDEX(Sources!A:A, 1 + BIN2DEC(LEFT($B608,5)))</f>
        <v>--</v>
      </c>
      <c r="G608" s="27" t="str" cm="1">
        <f t="array" ref="G608">INDEX(Dest1!A:A,1+BIN2DEC(MID($B608,6,5)))</f>
        <v>--</v>
      </c>
      <c r="H608" s="27" t="str" cm="1">
        <f t="array" ref="H608">INDEX(Source2!A:A,1+BIN2DEC(MID($B608,11,4)))</f>
        <v>--</v>
      </c>
      <c r="I608" s="23" cm="1">
        <f t="array" ref="I608">INDEX('D2'!A:A,1+BIN2DEC(MID($B608,16,2)))</f>
        <v>0</v>
      </c>
      <c r="J608" s="6">
        <f t="shared" si="55"/>
        <v>0</v>
      </c>
      <c r="K608" s="6">
        <f t="shared" si="51"/>
        <v>0</v>
      </c>
      <c r="L608" s="6">
        <f t="shared" si="52"/>
        <v>0</v>
      </c>
      <c r="M608" s="3" t="str" cm="1">
        <f t="array" ref="M608">INDEX(Types!A:A,1+BIN2DEC(MID($B608,20,2)))</f>
        <v>Control</v>
      </c>
      <c r="N608" s="3" t="str" cm="1">
        <f t="array" ref="N608">IF(M608="ALU",INDEX(ALUOps!A:A,1+BIN2DEC(MID($B608,22,5))),"")</f>
        <v/>
      </c>
      <c r="O608" s="3" t="str" cm="1">
        <f t="array" ref="O608">IF(M608="ALU",INDEX(TMP!A:A,1+BIN2DEC(MID($B608,27,2))),"")</f>
        <v/>
      </c>
      <c r="P608" s="6" t="str">
        <f t="shared" si="61"/>
        <v/>
      </c>
      <c r="Q608" t="str">
        <f t="shared" si="63"/>
        <v/>
      </c>
      <c r="R608" t="str">
        <f t="shared" si="64"/>
        <v/>
      </c>
      <c r="S608" cm="1">
        <f t="array" ref="S608">IF(M608="Control",INDEX(IC!A:A,1+BIN2DEC(MID($B608,21,4))),"")</f>
        <v>0</v>
      </c>
      <c r="T608" cm="1">
        <f t="array" ref="T608">IF(M608="Control",INDEX(EC!A:A,1+BIN2DEC(MID($B608,25,3))),"")</f>
        <v>0</v>
      </c>
      <c r="U608" cm="1">
        <f t="array" ref="U608">IF(M608="Control",INDEX(SR!A:A,1+BIN2DEC(MID($B608,28,2))),"")</f>
        <v>0</v>
      </c>
    </row>
    <row r="609" spans="1:30" x14ac:dyDescent="0.25">
      <c r="A609" s="4" t="str">
        <f t="shared" si="62"/>
        <v>25F</v>
      </c>
      <c r="B609" s="2" t="s">
        <v>4</v>
      </c>
      <c r="C609" s="3"/>
      <c r="D609" s="3"/>
      <c r="E609" s="3"/>
      <c r="F609" s="27" t="str" cm="1">
        <f t="array" ref="F609">INDEX(Sources!A:A, 1 + BIN2DEC(LEFT($B609,5)))</f>
        <v>--</v>
      </c>
      <c r="G609" s="27" t="str" cm="1">
        <f t="array" ref="G609">INDEX(Dest1!A:A,1+BIN2DEC(MID($B609,6,5)))</f>
        <v>--</v>
      </c>
      <c r="H609" s="27" t="str" cm="1">
        <f t="array" ref="H609">INDEX(Source2!A:A,1+BIN2DEC(MID($B609,11,4)))</f>
        <v>--</v>
      </c>
      <c r="I609" s="23" cm="1">
        <f t="array" ref="I609">INDEX('D2'!A:A,1+BIN2DEC(MID($B609,16,2)))</f>
        <v>0</v>
      </c>
      <c r="J609" s="6">
        <f t="shared" si="55"/>
        <v>0</v>
      </c>
      <c r="K609" s="6">
        <f t="shared" si="51"/>
        <v>0</v>
      </c>
      <c r="L609" s="6">
        <f t="shared" si="52"/>
        <v>0</v>
      </c>
      <c r="M609" s="3" t="str" cm="1">
        <f t="array" ref="M609">INDEX(Types!A:A,1+BIN2DEC(MID($B609,20,2)))</f>
        <v>Control</v>
      </c>
      <c r="N609" s="3" t="str" cm="1">
        <f t="array" ref="N609">IF(M609="ALU",INDEX(ALUOps!A:A,1+BIN2DEC(MID($B609,22,5))),"")</f>
        <v/>
      </c>
      <c r="O609" s="3" t="str" cm="1">
        <f t="array" ref="O609">IF(M609="ALU",INDEX(TMP!A:A,1+BIN2DEC(MID($B609,27,2))),"")</f>
        <v/>
      </c>
      <c r="P609" s="6" t="str">
        <f t="shared" si="61"/>
        <v/>
      </c>
      <c r="Q609" t="str">
        <f t="shared" si="63"/>
        <v/>
      </c>
      <c r="R609" t="str">
        <f t="shared" si="64"/>
        <v/>
      </c>
      <c r="S609" cm="1">
        <f t="array" ref="S609">IF(M609="Control",INDEX(IC!A:A,1+BIN2DEC(MID($B609,21,4))),"")</f>
        <v>0</v>
      </c>
      <c r="T609" cm="1">
        <f t="array" ref="T609">IF(M609="Control",INDEX(EC!A:A,1+BIN2DEC(MID($B609,25,3))),"")</f>
        <v>0</v>
      </c>
      <c r="U609" cm="1">
        <f t="array" ref="U609">IF(M609="Control",INDEX(SR!A:A,1+BIN2DEC(MID($B609,28,2))),"")</f>
        <v>0</v>
      </c>
    </row>
    <row r="610" spans="1:30" x14ac:dyDescent="0.25">
      <c r="A610" s="4" t="str">
        <f t="shared" si="62"/>
        <v>260</v>
      </c>
      <c r="B610" s="2" t="s">
        <v>330</v>
      </c>
      <c r="C610" s="2" t="s">
        <v>583</v>
      </c>
      <c r="D610" s="2" t="s">
        <v>928</v>
      </c>
      <c r="E610" s="2" t="s">
        <v>462</v>
      </c>
      <c r="F610" s="27" t="str" cm="1">
        <f t="array" ref="F610">INDEX(Sources!A:A, 1 + BIN2DEC(LEFT($B610,5)))</f>
        <v>Q</v>
      </c>
      <c r="G610" s="27" t="str" cm="1">
        <f t="array" ref="G610">INDEX(Dest1!A:A,1+BIN2DEC(MID($B610,6,5)))</f>
        <v>UNK11</v>
      </c>
      <c r="H610" s="27" t="str" cm="1">
        <f t="array" ref="H610">INDEX(Source2!A:A,1+BIN2DEC(MID($B610,11,4)))</f>
        <v>3</v>
      </c>
      <c r="I610" s="23" cm="1">
        <f t="array" ref="I610">INDEX('D2'!A:A,1+BIN2DEC(MID($B610,16,2)))</f>
        <v>0</v>
      </c>
      <c r="J610" s="6">
        <f t="shared" si="55"/>
        <v>0</v>
      </c>
      <c r="K610" s="6">
        <f t="shared" si="51"/>
        <v>0</v>
      </c>
      <c r="L610" s="6">
        <f t="shared" si="52"/>
        <v>0</v>
      </c>
      <c r="M610" s="3" t="str" cm="1">
        <f t="array" ref="M610">INDEX(Types!A:A,1+BIN2DEC(MID($B610,20,2)))</f>
        <v>ALU</v>
      </c>
      <c r="N610" s="3" cm="1">
        <f t="array" ref="N610">IF(M610="ALU",INDEX(ALUOps!A:A,1+BIN2DEC(MID($B610,22,5))),"")</f>
        <v>2</v>
      </c>
      <c r="O610" s="3" cm="1">
        <f t="array" ref="O610">IF(M610="ALU",INDEX(TMP!A:A,1+BIN2DEC(MID($B610,27,2))),"")</f>
        <v>2</v>
      </c>
      <c r="P610" s="6">
        <f t="shared" si="61"/>
        <v>1</v>
      </c>
      <c r="Q610" t="str">
        <f t="shared" si="63"/>
        <v/>
      </c>
      <c r="R610" t="str">
        <f t="shared" si="64"/>
        <v/>
      </c>
      <c r="S610" t="str" cm="1">
        <f t="array" ref="S610">IF(M610="Control",INDEX(IC!A:A,1+BIN2DEC(MID($B610,21,4))),"")</f>
        <v/>
      </c>
      <c r="T610" t="str" cm="1">
        <f t="array" ref="T610">IF(M610="Control",INDEX(EC!A:A,1+BIN2DEC(MID($B610,25,3))),"")</f>
        <v/>
      </c>
      <c r="U610" t="str" cm="1">
        <f t="array" ref="U610">IF(M610="Control",INDEX(SR!A:A,1+BIN2DEC(MID($B610,28,2))),"")</f>
        <v/>
      </c>
      <c r="AD610" s="1" t="s">
        <v>584</v>
      </c>
    </row>
    <row r="611" spans="1:30" x14ac:dyDescent="0.25">
      <c r="A611" s="4" t="str">
        <f t="shared" si="62"/>
        <v>261</v>
      </c>
      <c r="B611" s="2" t="s">
        <v>587</v>
      </c>
      <c r="C611" s="3"/>
      <c r="D611" s="3"/>
      <c r="E611" s="3"/>
      <c r="F611" s="27" t="str" cm="1">
        <f t="array" ref="F611">INDEX(Sources!A:A, 1 + BIN2DEC(LEFT($B611,5)))</f>
        <v>Q</v>
      </c>
      <c r="G611" s="27" t="str" cm="1">
        <f t="array" ref="G611">INDEX(Dest1!A:A,1+BIN2DEC(MID($B611,6,5)))</f>
        <v>UNK9</v>
      </c>
      <c r="H611" s="27" t="str" cm="1">
        <f t="array" ref="H611">INDEX(Source2!A:A,1+BIN2DEC(MID($B611,11,4)))</f>
        <v>11</v>
      </c>
      <c r="I611" s="23" t="str" cm="1">
        <f t="array" ref="I611">INDEX('D2'!A:A,1+BIN2DEC(MID($B611,16,2)))</f>
        <v>TMPB</v>
      </c>
      <c r="J611" s="6">
        <f t="shared" si="55"/>
        <v>0</v>
      </c>
      <c r="K611" s="6">
        <f t="shared" si="51"/>
        <v>0</v>
      </c>
      <c r="L611" s="6">
        <f t="shared" si="52"/>
        <v>0</v>
      </c>
      <c r="M611" s="3" t="str" cm="1">
        <f t="array" ref="M611">INDEX(Types!A:A,1+BIN2DEC(MID($B611,20,2)))</f>
        <v>Control</v>
      </c>
      <c r="N611" s="3" t="str" cm="1">
        <f t="array" ref="N611">IF(M611="ALU",INDEX(ALUOps!A:A,1+BIN2DEC(MID($B611,22,5))),"")</f>
        <v/>
      </c>
      <c r="O611" s="3" t="str" cm="1">
        <f t="array" ref="O611">IF(M611="ALU",INDEX(TMP!A:A,1+BIN2DEC(MID($B611,27,2))),"")</f>
        <v/>
      </c>
      <c r="P611" s="6" t="str">
        <f t="shared" si="61"/>
        <v/>
      </c>
      <c r="Q611" t="str">
        <f t="shared" si="63"/>
        <v/>
      </c>
      <c r="R611" t="str">
        <f t="shared" si="64"/>
        <v/>
      </c>
      <c r="S611" cm="1">
        <f t="array" ref="S611">IF(M611="Control",INDEX(IC!A:A,1+BIN2DEC(MID($B611,21,4))),"")</f>
        <v>0</v>
      </c>
      <c r="T611" cm="1">
        <f t="array" ref="T611">IF(M611="Control",INDEX(EC!A:A,1+BIN2DEC(MID($B611,25,3))),"")</f>
        <v>0</v>
      </c>
      <c r="U611" cm="1">
        <f t="array" ref="U611">IF(M611="Control",INDEX(SR!A:A,1+BIN2DEC(MID($B611,28,2))),"")</f>
        <v>0</v>
      </c>
    </row>
    <row r="612" spans="1:30" x14ac:dyDescent="0.25">
      <c r="A612" s="4" t="str">
        <f t="shared" si="62"/>
        <v>262</v>
      </c>
      <c r="B612" s="2" t="s">
        <v>588</v>
      </c>
      <c r="C612" s="3"/>
      <c r="D612" s="3"/>
      <c r="E612" s="3"/>
      <c r="F612" s="27" t="str" cm="1">
        <f t="array" ref="F612">INDEX(Sources!A:A, 1 + BIN2DEC(LEFT($B612,5)))</f>
        <v>--</v>
      </c>
      <c r="G612" s="27" t="str" cm="1">
        <f t="array" ref="G612">INDEX(Dest1!A:A,1+BIN2DEC(MID($B612,6,5)))</f>
        <v>--</v>
      </c>
      <c r="H612" s="27" t="str" cm="1">
        <f t="array" ref="H612">INDEX(Source2!A:A,1+BIN2DEC(MID($B612,11,4)))</f>
        <v>--</v>
      </c>
      <c r="I612" s="23" cm="1">
        <f t="array" ref="I612">INDEX('D2'!A:A,1+BIN2DEC(MID($B612,16,2)))</f>
        <v>0</v>
      </c>
      <c r="J612" s="6">
        <f t="shared" si="55"/>
        <v>0</v>
      </c>
      <c r="K612" s="6">
        <f t="shared" si="51"/>
        <v>0</v>
      </c>
      <c r="L612" s="6">
        <f t="shared" si="52"/>
        <v>0</v>
      </c>
      <c r="M612" s="3" t="str" cm="1">
        <f t="array" ref="M612">INDEX(Types!A:A,1+BIN2DEC(MID($B612,20,2)))</f>
        <v>Control</v>
      </c>
      <c r="N612" s="3" t="str" cm="1">
        <f t="array" ref="N612">IF(M612="ALU",INDEX(ALUOps!A:A,1+BIN2DEC(MID($B612,22,5))),"")</f>
        <v/>
      </c>
      <c r="O612" s="3" t="str" cm="1">
        <f t="array" ref="O612">IF(M612="ALU",INDEX(TMP!A:A,1+BIN2DEC(MID($B612,27,2))),"")</f>
        <v/>
      </c>
      <c r="P612" s="6" t="str">
        <f t="shared" si="61"/>
        <v/>
      </c>
      <c r="Q612" t="str">
        <f t="shared" si="63"/>
        <v/>
      </c>
      <c r="R612" t="str">
        <f t="shared" si="64"/>
        <v/>
      </c>
      <c r="S612" cm="1">
        <f t="array" ref="S612">IF(M612="Control",INDEX(IC!A:A,1+BIN2DEC(MID($B612,21,4))),"")</f>
        <v>0</v>
      </c>
      <c r="T612" cm="1">
        <f t="array" ref="T612">IF(M612="Control",INDEX(EC!A:A,1+BIN2DEC(MID($B612,25,3))),"")</f>
        <v>5</v>
      </c>
      <c r="U612" cm="1">
        <f t="array" ref="U612">IF(M612="Control",INDEX(SR!A:A,1+BIN2DEC(MID($B612,28,2))),"")</f>
        <v>1</v>
      </c>
    </row>
    <row r="613" spans="1:30" x14ac:dyDescent="0.25">
      <c r="A613" s="4" t="str">
        <f t="shared" si="62"/>
        <v>263</v>
      </c>
      <c r="B613" s="2" t="s">
        <v>589</v>
      </c>
      <c r="C613" s="3"/>
      <c r="D613" s="3"/>
      <c r="E613" s="3"/>
      <c r="F613" s="27" t="str" cm="1">
        <f t="array" ref="F613">INDEX(Sources!A:A, 1 + BIN2DEC(LEFT($B613,5)))</f>
        <v>UNK2</v>
      </c>
      <c r="G613" s="27" t="str" cm="1">
        <f t="array" ref="G613">INDEX(Dest1!A:A,1+BIN2DEC(MID($B613,6,5)))</f>
        <v>OUT</v>
      </c>
      <c r="H613" s="27" t="str" cm="1">
        <f t="array" ref="H613">INDEX(Source2!A:A,1+BIN2DEC(MID($B613,11,4)))</f>
        <v>--</v>
      </c>
      <c r="I613" s="23" cm="1">
        <f t="array" ref="I613">INDEX('D2'!A:A,1+BIN2DEC(MID($B613,16,2)))</f>
        <v>1</v>
      </c>
      <c r="J613" s="6">
        <f t="shared" si="55"/>
        <v>1</v>
      </c>
      <c r="K613" s="6">
        <f t="shared" si="51"/>
        <v>0</v>
      </c>
      <c r="L613" s="6">
        <f t="shared" si="52"/>
        <v>0</v>
      </c>
      <c r="M613" s="3" t="str" cm="1">
        <f t="array" ref="M613">INDEX(Types!A:A,1+BIN2DEC(MID($B613,20,2)))</f>
        <v>Control</v>
      </c>
      <c r="N613" s="3" t="str" cm="1">
        <f t="array" ref="N613">IF(M613="ALU",INDEX(ALUOps!A:A,1+BIN2DEC(MID($B613,22,5))),"")</f>
        <v/>
      </c>
      <c r="O613" s="3" t="str" cm="1">
        <f t="array" ref="O613">IF(M613="ALU",INDEX(TMP!A:A,1+BIN2DEC(MID($B613,27,2))),"")</f>
        <v/>
      </c>
      <c r="P613" s="6" t="str">
        <f t="shared" si="61"/>
        <v/>
      </c>
      <c r="Q613" t="str">
        <f t="shared" si="63"/>
        <v/>
      </c>
      <c r="R613" t="str">
        <f t="shared" si="64"/>
        <v/>
      </c>
      <c r="S613" cm="1">
        <f t="array" ref="S613">IF(M613="Control",INDEX(IC!A:A,1+BIN2DEC(MID($B613,21,4))),"")</f>
        <v>1</v>
      </c>
      <c r="T613" cm="1">
        <f t="array" ref="T613">IF(M613="Control",INDEX(EC!A:A,1+BIN2DEC(MID($B613,25,3))),"")</f>
        <v>5</v>
      </c>
      <c r="U613" cm="1">
        <f t="array" ref="U613">IF(M613="Control",INDEX(SR!A:A,1+BIN2DEC(MID($B613,28,2))),"")</f>
        <v>1</v>
      </c>
    </row>
    <row r="614" spans="1:30" x14ac:dyDescent="0.25">
      <c r="A614" s="4" t="str">
        <f t="shared" si="62"/>
        <v>264</v>
      </c>
      <c r="B614" s="2" t="s">
        <v>590</v>
      </c>
      <c r="C614" s="2" t="s">
        <v>585</v>
      </c>
      <c r="D614" s="2" t="s">
        <v>931</v>
      </c>
      <c r="E614" s="2" t="s">
        <v>462</v>
      </c>
      <c r="F614" s="27" t="str" cm="1">
        <f t="array" ref="F614">INDEX(Sources!A:A, 1 + BIN2DEC(LEFT($B614,5)))</f>
        <v>SIGMA</v>
      </c>
      <c r="G614" s="27" t="str" cm="1">
        <f t="array" ref="G614">INDEX(Dest1!A:A,1+BIN2DEC(MID($B614,6,5)))</f>
        <v>SP</v>
      </c>
      <c r="H614" s="27" t="str" cm="1">
        <f t="array" ref="H614">INDEX(Source2!A:A,1+BIN2DEC(MID($B614,11,4)))</f>
        <v>Q</v>
      </c>
      <c r="I614" s="23" cm="1">
        <f t="array" ref="I614">INDEX('D2'!A:A,1+BIN2DEC(MID($B614,16,2)))</f>
        <v>0</v>
      </c>
      <c r="J614" s="6">
        <f t="shared" si="55"/>
        <v>0</v>
      </c>
      <c r="K614" s="6">
        <f t="shared" si="51"/>
        <v>0</v>
      </c>
      <c r="L614" s="6">
        <f t="shared" si="52"/>
        <v>0</v>
      </c>
      <c r="M614" s="3" t="str" cm="1">
        <f t="array" ref="M614">INDEX(Types!A:A,1+BIN2DEC(MID($B614,20,2)))</f>
        <v>Control</v>
      </c>
      <c r="N614" s="3" t="str" cm="1">
        <f t="array" ref="N614">IF(M614="ALU",INDEX(ALUOps!A:A,1+BIN2DEC(MID($B614,22,5))),"")</f>
        <v/>
      </c>
      <c r="O614" s="3" t="str" cm="1">
        <f t="array" ref="O614">IF(M614="ALU",INDEX(TMP!A:A,1+BIN2DEC(MID($B614,27,2))),"")</f>
        <v/>
      </c>
      <c r="P614" s="6" t="str">
        <f t="shared" si="61"/>
        <v/>
      </c>
      <c r="Q614" t="str">
        <f t="shared" si="63"/>
        <v/>
      </c>
      <c r="R614" t="str">
        <f t="shared" si="64"/>
        <v/>
      </c>
      <c r="S614" cm="1">
        <f t="array" ref="S614">IF(M614="Control",INDEX(IC!A:A,1+BIN2DEC(MID($B614,21,4))),"")</f>
        <v>0</v>
      </c>
      <c r="T614" cm="1">
        <f t="array" ref="T614">IF(M614="Control",INDEX(EC!A:A,1+BIN2DEC(MID($B614,25,3))),"")</f>
        <v>0</v>
      </c>
      <c r="U614" cm="1">
        <f t="array" ref="U614">IF(M614="Control",INDEX(SR!A:A,1+BIN2DEC(MID($B614,28,2))),"")</f>
        <v>0</v>
      </c>
      <c r="AD614" s="1" t="s">
        <v>586</v>
      </c>
    </row>
    <row r="615" spans="1:30" x14ac:dyDescent="0.25">
      <c r="A615" s="4" t="str">
        <f t="shared" si="62"/>
        <v>265</v>
      </c>
      <c r="B615" s="2" t="s">
        <v>592</v>
      </c>
      <c r="C615" s="3"/>
      <c r="D615" s="3"/>
      <c r="E615" s="3"/>
      <c r="F615" s="27" t="str" cm="1">
        <f t="array" ref="F615">INDEX(Sources!A:A, 1 + BIN2DEC(LEFT($B615,5)))</f>
        <v>UNK22</v>
      </c>
      <c r="G615" s="27" t="str" cm="1">
        <f t="array" ref="G615">INDEX(Dest1!A:A,1+BIN2DEC(MID($B615,6,5)))</f>
        <v>UNK8</v>
      </c>
      <c r="H615" s="27" t="str" cm="1">
        <f t="array" ref="H615">INDEX(Source2!A:A,1+BIN2DEC(MID($B615,11,4)))</f>
        <v>--</v>
      </c>
      <c r="I615" s="23" cm="1">
        <f t="array" ref="I615">INDEX('D2'!A:A,1+BIN2DEC(MID($B615,16,2)))</f>
        <v>0</v>
      </c>
      <c r="J615" s="6">
        <f t="shared" si="55"/>
        <v>0</v>
      </c>
      <c r="K615" s="6">
        <f t="shared" si="51"/>
        <v>0</v>
      </c>
      <c r="L615" s="6">
        <f t="shared" si="52"/>
        <v>0</v>
      </c>
      <c r="M615" s="3" t="str" cm="1">
        <f t="array" ref="M615">INDEX(Types!A:A,1+BIN2DEC(MID($B615,20,2)))</f>
        <v>ALU</v>
      </c>
      <c r="N615" s="3" cm="1">
        <f t="array" ref="N615">IF(M615="ALU",INDEX(ALUOps!A:A,1+BIN2DEC(MID($B615,22,5))),"")</f>
        <v>0</v>
      </c>
      <c r="O615" s="3" cm="1">
        <f t="array" ref="O615">IF(M615="ALU",INDEX(TMP!A:A,1+BIN2DEC(MID($B615,27,2))),"")</f>
        <v>2</v>
      </c>
      <c r="P615" s="6">
        <f t="shared" si="61"/>
        <v>1</v>
      </c>
      <c r="Q615" t="str">
        <f t="shared" si="63"/>
        <v/>
      </c>
      <c r="R615" t="str">
        <f t="shared" si="64"/>
        <v/>
      </c>
      <c r="S615" t="str" cm="1">
        <f t="array" ref="S615">IF(M615="Control",INDEX(IC!A:A,1+BIN2DEC(MID($B615,21,4))),"")</f>
        <v/>
      </c>
      <c r="T615" t="str" cm="1">
        <f t="array" ref="T615">IF(M615="Control",INDEX(EC!A:A,1+BIN2DEC(MID($B615,25,3))),"")</f>
        <v/>
      </c>
      <c r="U615" t="str" cm="1">
        <f t="array" ref="U615">IF(M615="Control",INDEX(SR!A:A,1+BIN2DEC(MID($B615,28,2))),"")</f>
        <v/>
      </c>
    </row>
    <row r="616" spans="1:30" x14ac:dyDescent="0.25">
      <c r="A616" s="4" t="str">
        <f t="shared" si="62"/>
        <v>266</v>
      </c>
      <c r="B616" s="2" t="s">
        <v>593</v>
      </c>
      <c r="C616" s="3"/>
      <c r="D616" s="3"/>
      <c r="E616" s="3"/>
      <c r="F616" s="27" t="str" cm="1">
        <f t="array" ref="F616">INDEX(Sources!A:A, 1 + BIN2DEC(LEFT($B616,5)))</f>
        <v>SIGMA</v>
      </c>
      <c r="G616" s="27" t="str" cm="1">
        <f t="array" ref="G616">INDEX(Dest1!A:A,1+BIN2DEC(MID($B616,6,5)))</f>
        <v>UNK24</v>
      </c>
      <c r="H616" s="27" t="str" cm="1">
        <f t="array" ref="H616">INDEX(Source2!A:A,1+BIN2DEC(MID($B616,11,4)))</f>
        <v>--</v>
      </c>
      <c r="I616" s="23" cm="1">
        <f t="array" ref="I616">INDEX('D2'!A:A,1+BIN2DEC(MID($B616,16,2)))</f>
        <v>0</v>
      </c>
      <c r="J616" s="6">
        <f t="shared" si="55"/>
        <v>0</v>
      </c>
      <c r="K616" s="6">
        <f t="shared" si="51"/>
        <v>0</v>
      </c>
      <c r="L616" s="6">
        <f t="shared" si="52"/>
        <v>0</v>
      </c>
      <c r="M616" s="3" t="str" cm="1">
        <f t="array" ref="M616">INDEX(Types!A:A,1+BIN2DEC(MID($B616,20,2)))</f>
        <v>ALU</v>
      </c>
      <c r="N616" s="3" cm="1">
        <f t="array" ref="N616">IF(M616="ALU",INDEX(ALUOps!A:A,1+BIN2DEC(MID($B616,22,5))),"")</f>
        <v>6</v>
      </c>
      <c r="O616" s="3" cm="1">
        <f t="array" ref="O616">IF(M616="ALU",INDEX(TMP!A:A,1+BIN2DEC(MID($B616,27,2))),"")</f>
        <v>2</v>
      </c>
      <c r="P616" s="6">
        <f t="shared" si="61"/>
        <v>1</v>
      </c>
      <c r="Q616" t="str">
        <f t="shared" si="63"/>
        <v/>
      </c>
      <c r="R616" t="str">
        <f t="shared" si="64"/>
        <v/>
      </c>
      <c r="S616" t="str" cm="1">
        <f t="array" ref="S616">IF(M616="Control",INDEX(IC!A:A,1+BIN2DEC(MID($B616,21,4))),"")</f>
        <v/>
      </c>
      <c r="T616" t="str" cm="1">
        <f t="array" ref="T616">IF(M616="Control",INDEX(EC!A:A,1+BIN2DEC(MID($B616,25,3))),"")</f>
        <v/>
      </c>
      <c r="U616" t="str" cm="1">
        <f t="array" ref="U616">IF(M616="Control",INDEX(SR!A:A,1+BIN2DEC(MID($B616,28,2))),"")</f>
        <v/>
      </c>
    </row>
    <row r="617" spans="1:30" x14ac:dyDescent="0.25">
      <c r="A617" s="4" t="str">
        <f t="shared" si="62"/>
        <v>267</v>
      </c>
      <c r="B617" s="2" t="s">
        <v>594</v>
      </c>
      <c r="C617" s="3"/>
      <c r="D617" s="3"/>
      <c r="E617" s="3"/>
      <c r="F617" s="27" t="str" cm="1">
        <f t="array" ref="F617">INDEX(Sources!A:A, 1 + BIN2DEC(LEFT($B617,5)))</f>
        <v>SP</v>
      </c>
      <c r="G617" s="27" t="str" cm="1">
        <f t="array" ref="G617">INDEX(Dest1!A:A,1+BIN2DEC(MID($B617,6,5)))</f>
        <v>UNK17</v>
      </c>
      <c r="H617" s="27" t="str" cm="1">
        <f t="array" ref="H617">INDEX(Source2!A:A,1+BIN2DEC(MID($B617,11,4)))</f>
        <v>--</v>
      </c>
      <c r="I617" s="23" cm="1">
        <f t="array" ref="I617">INDEX('D2'!A:A,1+BIN2DEC(MID($B617,16,2)))</f>
        <v>0</v>
      </c>
      <c r="J617" s="6">
        <f t="shared" si="55"/>
        <v>0</v>
      </c>
      <c r="K617" s="6">
        <f t="shared" si="51"/>
        <v>0</v>
      </c>
      <c r="L617" s="6">
        <f t="shared" si="52"/>
        <v>0</v>
      </c>
      <c r="M617" s="3" t="str" cm="1">
        <f t="array" ref="M617">INDEX(Types!A:A,1+BIN2DEC(MID($B617,20,2)))</f>
        <v>Jump</v>
      </c>
      <c r="N617" s="3" t="str" cm="1">
        <f t="array" ref="N617">IF(M617="ALU",INDEX(ALUOps!A:A,1+BIN2DEC(MID($B617,22,5))),"")</f>
        <v/>
      </c>
      <c r="O617" s="3" t="str" cm="1">
        <f t="array" ref="O617">IF(M617="ALU",INDEX(TMP!A:A,1+BIN2DEC(MID($B617,27,2))),"")</f>
        <v/>
      </c>
      <c r="P617" s="6" t="str">
        <f t="shared" si="61"/>
        <v/>
      </c>
      <c r="Q617">
        <f t="shared" si="63"/>
        <v>13</v>
      </c>
      <c r="R617">
        <f t="shared" si="64"/>
        <v>14</v>
      </c>
      <c r="S617" t="str" cm="1">
        <f t="array" ref="S617">IF(M617="Control",INDEX(IC!A:A,1+BIN2DEC(MID($B617,21,4))),"")</f>
        <v/>
      </c>
      <c r="T617" t="str" cm="1">
        <f t="array" ref="T617">IF(M617="Control",INDEX(EC!A:A,1+BIN2DEC(MID($B617,25,3))),"")</f>
        <v/>
      </c>
      <c r="U617" t="str" cm="1">
        <f t="array" ref="U617">IF(M617="Control",INDEX(SR!A:A,1+BIN2DEC(MID($B617,28,2))),"")</f>
        <v/>
      </c>
    </row>
    <row r="618" spans="1:30" x14ac:dyDescent="0.25">
      <c r="A618" s="4" t="str">
        <f t="shared" si="62"/>
        <v>268</v>
      </c>
      <c r="B618" s="2" t="s">
        <v>593</v>
      </c>
      <c r="C618" s="2" t="s">
        <v>591</v>
      </c>
      <c r="D618" s="2" t="s">
        <v>931</v>
      </c>
      <c r="E618" s="2" t="s">
        <v>929</v>
      </c>
      <c r="F618" s="27" t="str" cm="1">
        <f t="array" ref="F618">INDEX(Sources!A:A, 1 + BIN2DEC(LEFT($B618,5)))</f>
        <v>SIGMA</v>
      </c>
      <c r="G618" s="27" t="str" cm="1">
        <f t="array" ref="G618">INDEX(Dest1!A:A,1+BIN2DEC(MID($B618,6,5)))</f>
        <v>UNK24</v>
      </c>
      <c r="H618" s="27" t="str" cm="1">
        <f t="array" ref="H618">INDEX(Source2!A:A,1+BIN2DEC(MID($B618,11,4)))</f>
        <v>--</v>
      </c>
      <c r="I618" s="23" cm="1">
        <f t="array" ref="I618">INDEX('D2'!A:A,1+BIN2DEC(MID($B618,16,2)))</f>
        <v>0</v>
      </c>
      <c r="J618" s="6">
        <f t="shared" si="55"/>
        <v>0</v>
      </c>
      <c r="K618" s="6">
        <f t="shared" si="51"/>
        <v>0</v>
      </c>
      <c r="L618" s="6">
        <f t="shared" si="52"/>
        <v>0</v>
      </c>
      <c r="M618" s="3" t="str" cm="1">
        <f t="array" ref="M618">INDEX(Types!A:A,1+BIN2DEC(MID($B618,20,2)))</f>
        <v>ALU</v>
      </c>
      <c r="N618" s="3" cm="1">
        <f t="array" ref="N618">IF(M618="ALU",INDEX(ALUOps!A:A,1+BIN2DEC(MID($B618,22,5))),"")</f>
        <v>6</v>
      </c>
      <c r="O618" s="3" cm="1">
        <f t="array" ref="O618">IF(M618="ALU",INDEX(TMP!A:A,1+BIN2DEC(MID($B618,27,2))),"")</f>
        <v>2</v>
      </c>
      <c r="P618" s="6">
        <f t="shared" si="61"/>
        <v>1</v>
      </c>
      <c r="Q618" t="str">
        <f t="shared" si="63"/>
        <v/>
      </c>
      <c r="R618" t="str">
        <f t="shared" si="64"/>
        <v/>
      </c>
      <c r="S618" t="str" cm="1">
        <f t="array" ref="S618">IF(M618="Control",INDEX(IC!A:A,1+BIN2DEC(MID($B618,21,4))),"")</f>
        <v/>
      </c>
      <c r="T618" t="str" cm="1">
        <f t="array" ref="T618">IF(M618="Control",INDEX(EC!A:A,1+BIN2DEC(MID($B618,25,3))),"")</f>
        <v/>
      </c>
      <c r="U618" t="str" cm="1">
        <f t="array" ref="U618">IF(M618="Control",INDEX(SR!A:A,1+BIN2DEC(MID($B618,28,2))),"")</f>
        <v/>
      </c>
      <c r="AD618" s="1" t="s">
        <v>586</v>
      </c>
    </row>
    <row r="619" spans="1:30" x14ac:dyDescent="0.25">
      <c r="A619" s="4" t="str">
        <f t="shared" si="62"/>
        <v>269</v>
      </c>
      <c r="B619" s="2" t="s">
        <v>596</v>
      </c>
      <c r="C619" s="3"/>
      <c r="D619" s="3"/>
      <c r="E619" s="3"/>
      <c r="F619" s="27" t="str" cm="1">
        <f t="array" ref="F619">INDEX(Sources!A:A, 1 + BIN2DEC(LEFT($B619,5)))</f>
        <v>SIGMA</v>
      </c>
      <c r="G619" s="27" t="str" cm="1">
        <f t="array" ref="G619">INDEX(Dest1!A:A,1+BIN2DEC(MID($B619,6,5)))</f>
        <v>LC</v>
      </c>
      <c r="H619" s="27" t="str" cm="1">
        <f t="array" ref="H619">INDEX(Source2!A:A,1+BIN2DEC(MID($B619,11,4)))</f>
        <v>--</v>
      </c>
      <c r="I619" s="23" cm="1">
        <f t="array" ref="I619">INDEX('D2'!A:A,1+BIN2DEC(MID($B619,16,2)))</f>
        <v>0</v>
      </c>
      <c r="J619" s="6">
        <f t="shared" si="55"/>
        <v>0</v>
      </c>
      <c r="K619" s="6">
        <f t="shared" si="51"/>
        <v>0</v>
      </c>
      <c r="L619" s="6">
        <f t="shared" si="52"/>
        <v>0</v>
      </c>
      <c r="M619" s="3" t="str" cm="1">
        <f t="array" ref="M619">INDEX(Types!A:A,1+BIN2DEC(MID($B619,20,2)))</f>
        <v>Jump</v>
      </c>
      <c r="N619" s="3" t="str" cm="1">
        <f t="array" ref="N619">IF(M619="ALU",INDEX(ALUOps!A:A,1+BIN2DEC(MID($B619,22,5))),"")</f>
        <v/>
      </c>
      <c r="O619" s="3" t="str" cm="1">
        <f t="array" ref="O619">IF(M619="ALU",INDEX(TMP!A:A,1+BIN2DEC(MID($B619,27,2))),"")</f>
        <v/>
      </c>
      <c r="P619" s="6" t="str">
        <f t="shared" si="61"/>
        <v/>
      </c>
      <c r="Q619">
        <f t="shared" si="63"/>
        <v>13</v>
      </c>
      <c r="R619">
        <f t="shared" si="64"/>
        <v>11</v>
      </c>
      <c r="S619" t="str" cm="1">
        <f t="array" ref="S619">IF(M619="Control",INDEX(IC!A:A,1+BIN2DEC(MID($B619,21,4))),"")</f>
        <v/>
      </c>
      <c r="T619" t="str" cm="1">
        <f t="array" ref="T619">IF(M619="Control",INDEX(EC!A:A,1+BIN2DEC(MID($B619,25,3))),"")</f>
        <v/>
      </c>
      <c r="U619" t="str" cm="1">
        <f t="array" ref="U619">IF(M619="Control",INDEX(SR!A:A,1+BIN2DEC(MID($B619,28,2))),"")</f>
        <v/>
      </c>
    </row>
    <row r="620" spans="1:30" x14ac:dyDescent="0.25">
      <c r="A620" s="4" t="str">
        <f t="shared" si="62"/>
        <v>26A</v>
      </c>
      <c r="B620" s="2" t="s">
        <v>597</v>
      </c>
      <c r="C620" s="3"/>
      <c r="D620" s="3"/>
      <c r="E620" s="3"/>
      <c r="F620" s="27" t="str" cm="1">
        <f t="array" ref="F620">INDEX(Sources!A:A, 1 + BIN2DEC(LEFT($B620,5)))</f>
        <v>UNK2</v>
      </c>
      <c r="G620" s="27" t="str" cm="1">
        <f t="array" ref="G620">INDEX(Dest1!A:A,1+BIN2DEC(MID($B620,6,5)))</f>
        <v>TMPA</v>
      </c>
      <c r="H620" s="27" t="str" cm="1">
        <f t="array" ref="H620">INDEX(Source2!A:A,1+BIN2DEC(MID($B620,11,4)))</f>
        <v>--</v>
      </c>
      <c r="I620" s="23" cm="1">
        <f t="array" ref="I620">INDEX('D2'!A:A,1+BIN2DEC(MID($B620,16,2)))</f>
        <v>0</v>
      </c>
      <c r="J620" s="6">
        <f t="shared" si="55"/>
        <v>0</v>
      </c>
      <c r="K620" s="6">
        <f t="shared" si="51"/>
        <v>0</v>
      </c>
      <c r="L620" s="6">
        <f t="shared" si="52"/>
        <v>0</v>
      </c>
      <c r="M620" s="3" t="str" cm="1">
        <f t="array" ref="M620">INDEX(Types!A:A,1+BIN2DEC(MID($B620,20,2)))</f>
        <v>ALU</v>
      </c>
      <c r="N620" s="3" cm="1">
        <f t="array" ref="N620">IF(M620="ALU",INDEX(ALUOps!A:A,1+BIN2DEC(MID($B620,22,5))),"")</f>
        <v>2</v>
      </c>
      <c r="O620" s="3" cm="1">
        <f t="array" ref="O620">IF(M620="ALU",INDEX(TMP!A:A,1+BIN2DEC(MID($B620,27,2))),"")</f>
        <v>2</v>
      </c>
      <c r="P620" s="6">
        <f t="shared" si="61"/>
        <v>1</v>
      </c>
      <c r="Q620" t="str">
        <f t="shared" si="63"/>
        <v/>
      </c>
      <c r="R620" t="str">
        <f t="shared" si="64"/>
        <v/>
      </c>
      <c r="S620" t="str" cm="1">
        <f t="array" ref="S620">IF(M620="Control",INDEX(IC!A:A,1+BIN2DEC(MID($B620,21,4))),"")</f>
        <v/>
      </c>
      <c r="T620" t="str" cm="1">
        <f t="array" ref="T620">IF(M620="Control",INDEX(EC!A:A,1+BIN2DEC(MID($B620,25,3))),"")</f>
        <v/>
      </c>
      <c r="U620" t="str" cm="1">
        <f t="array" ref="U620">IF(M620="Control",INDEX(SR!A:A,1+BIN2DEC(MID($B620,28,2))),"")</f>
        <v/>
      </c>
    </row>
    <row r="621" spans="1:30" x14ac:dyDescent="0.25">
      <c r="A621" s="4" t="str">
        <f t="shared" si="62"/>
        <v>26B</v>
      </c>
      <c r="B621" s="2" t="s">
        <v>598</v>
      </c>
      <c r="C621" s="3"/>
      <c r="D621" s="3"/>
      <c r="E621" s="3"/>
      <c r="F621" s="27" t="str" cm="1">
        <f t="array" ref="F621">INDEX(Sources!A:A, 1 + BIN2DEC(LEFT($B621,5)))</f>
        <v>SIGMA</v>
      </c>
      <c r="G621" s="27" t="str" cm="1">
        <f t="array" ref="G621">INDEX(Dest1!A:A,1+BIN2DEC(MID($B621,6,5)))</f>
        <v>UNK2</v>
      </c>
      <c r="H621" s="27" t="str" cm="1">
        <f t="array" ref="H621">INDEX(Source2!A:A,1+BIN2DEC(MID($B621,11,4)))</f>
        <v>11</v>
      </c>
      <c r="I621" s="23" t="str" cm="1">
        <f t="array" ref="I621">INDEX('D2'!A:A,1+BIN2DEC(MID($B621,16,2)))</f>
        <v>TMPB</v>
      </c>
      <c r="J621" s="6">
        <f t="shared" si="55"/>
        <v>0</v>
      </c>
      <c r="K621" s="6">
        <f t="shared" si="51"/>
        <v>0</v>
      </c>
      <c r="L621" s="6">
        <f t="shared" si="52"/>
        <v>0</v>
      </c>
      <c r="M621" s="3" t="str" cm="1">
        <f t="array" ref="M621">INDEX(Types!A:A,1+BIN2DEC(MID($B621,20,2)))</f>
        <v>Control</v>
      </c>
      <c r="N621" s="3" t="str" cm="1">
        <f t="array" ref="N621">IF(M621="ALU",INDEX(ALUOps!A:A,1+BIN2DEC(MID($B621,22,5))),"")</f>
        <v/>
      </c>
      <c r="O621" s="3" t="str" cm="1">
        <f t="array" ref="O621">IF(M621="ALU",INDEX(TMP!A:A,1+BIN2DEC(MID($B621,27,2))),"")</f>
        <v/>
      </c>
      <c r="P621" s="6" t="str">
        <f t="shared" si="61"/>
        <v/>
      </c>
      <c r="Q621" t="str">
        <f t="shared" si="63"/>
        <v/>
      </c>
      <c r="R621" t="str">
        <f t="shared" si="64"/>
        <v/>
      </c>
      <c r="S621" cm="1">
        <f t="array" ref="S621">IF(M621="Control",INDEX(IC!A:A,1+BIN2DEC(MID($B621,21,4))),"")</f>
        <v>0</v>
      </c>
      <c r="T621" cm="1">
        <f t="array" ref="T621">IF(M621="Control",INDEX(EC!A:A,1+BIN2DEC(MID($B621,25,3))),"")</f>
        <v>6</v>
      </c>
      <c r="U621" cm="1">
        <f t="array" ref="U621">IF(M621="Control",INDEX(SR!A:A,1+BIN2DEC(MID($B621,28,2))),"")</f>
        <v>1</v>
      </c>
    </row>
    <row r="622" spans="1:30" x14ac:dyDescent="0.25">
      <c r="A622" s="4" t="str">
        <f t="shared" si="62"/>
        <v>26C</v>
      </c>
      <c r="B622" s="2" t="s">
        <v>599</v>
      </c>
      <c r="C622" s="2" t="s">
        <v>595</v>
      </c>
      <c r="D622" s="2" t="s">
        <v>931</v>
      </c>
      <c r="E622" s="2" t="s">
        <v>488</v>
      </c>
      <c r="F622" s="27" t="str" cm="1">
        <f t="array" ref="F622">INDEX(Sources!A:A, 1 + BIN2DEC(LEFT($B622,5)))</f>
        <v>SP</v>
      </c>
      <c r="G622" s="27" t="str" cm="1">
        <f t="array" ref="G622">INDEX(Dest1!A:A,1+BIN2DEC(MID($B622,6,5)))</f>
        <v>TMPA</v>
      </c>
      <c r="H622" s="27" t="str" cm="1">
        <f t="array" ref="H622">INDEX(Source2!A:A,1+BIN2DEC(MID($B622,11,4)))</f>
        <v>--</v>
      </c>
      <c r="I622" s="23" cm="1">
        <f t="array" ref="I622">INDEX('D2'!A:A,1+BIN2DEC(MID($B622,16,2)))</f>
        <v>0</v>
      </c>
      <c r="J622" s="6">
        <f t="shared" si="55"/>
        <v>0</v>
      </c>
      <c r="K622" s="6">
        <f t="shared" si="51"/>
        <v>0</v>
      </c>
      <c r="L622" s="6">
        <f t="shared" si="52"/>
        <v>0</v>
      </c>
      <c r="M622" s="3" t="str" cm="1">
        <f t="array" ref="M622">INDEX(Types!A:A,1+BIN2DEC(MID($B622,20,2)))</f>
        <v>Control</v>
      </c>
      <c r="N622" s="3" t="str" cm="1">
        <f t="array" ref="N622">IF(M622="ALU",INDEX(ALUOps!A:A,1+BIN2DEC(MID($B622,22,5))),"")</f>
        <v/>
      </c>
      <c r="O622" s="3" t="str" cm="1">
        <f t="array" ref="O622">IF(M622="ALU",INDEX(TMP!A:A,1+BIN2DEC(MID($B622,27,2))),"")</f>
        <v/>
      </c>
      <c r="P622" s="6" t="str">
        <f t="shared" si="61"/>
        <v/>
      </c>
      <c r="Q622" t="str">
        <f t="shared" si="63"/>
        <v/>
      </c>
      <c r="R622" t="str">
        <f t="shared" si="64"/>
        <v/>
      </c>
      <c r="S622" cm="1">
        <f t="array" ref="S622">IF(M622="Control",INDEX(IC!A:A,1+BIN2DEC(MID($B622,21,4))),"")</f>
        <v>0</v>
      </c>
      <c r="T622" cm="1">
        <f t="array" ref="T622">IF(M622="Control",INDEX(EC!A:A,1+BIN2DEC(MID($B622,25,3))),"")</f>
        <v>0</v>
      </c>
      <c r="U622" cm="1">
        <f t="array" ref="U622">IF(M622="Control",INDEX(SR!A:A,1+BIN2DEC(MID($B622,28,2))),"")</f>
        <v>0</v>
      </c>
      <c r="AD622" s="1" t="s">
        <v>586</v>
      </c>
    </row>
    <row r="623" spans="1:30" x14ac:dyDescent="0.25">
      <c r="A623" s="4" t="str">
        <f t="shared" si="62"/>
        <v>26D</v>
      </c>
      <c r="B623" s="2" t="s">
        <v>601</v>
      </c>
      <c r="C623" s="3"/>
      <c r="D623" s="3"/>
      <c r="E623" s="3"/>
      <c r="F623" s="27" t="str" cm="1">
        <f t="array" ref="F623">INDEX(Sources!A:A, 1 + BIN2DEC(LEFT($B623,5)))</f>
        <v>SIGMA</v>
      </c>
      <c r="G623" s="27" t="str" cm="1">
        <f t="array" ref="G623">INDEX(Dest1!A:A,1+BIN2DEC(MID($B623,6,5)))</f>
        <v>SP</v>
      </c>
      <c r="H623" s="27" t="str" cm="1">
        <f t="array" ref="H623">INDEX(Source2!A:A,1+BIN2DEC(MID($B623,11,4)))</f>
        <v>11</v>
      </c>
      <c r="I623" s="23" t="str" cm="1">
        <f t="array" ref="I623">INDEX('D2'!A:A,1+BIN2DEC(MID($B623,16,2)))</f>
        <v>TMPB</v>
      </c>
      <c r="J623" s="6">
        <f t="shared" si="55"/>
        <v>0</v>
      </c>
      <c r="K623" s="6">
        <f t="shared" si="51"/>
        <v>0</v>
      </c>
      <c r="L623" s="6">
        <f t="shared" si="52"/>
        <v>0</v>
      </c>
      <c r="M623" s="3" t="str" cm="1">
        <f t="array" ref="M623">INDEX(Types!A:A,1+BIN2DEC(MID($B623,20,2)))</f>
        <v>Control</v>
      </c>
      <c r="N623" s="3" t="str" cm="1">
        <f t="array" ref="N623">IF(M623="ALU",INDEX(ALUOps!A:A,1+BIN2DEC(MID($B623,22,5))),"")</f>
        <v/>
      </c>
      <c r="O623" s="3" t="str" cm="1">
        <f t="array" ref="O623">IF(M623="ALU",INDEX(TMP!A:A,1+BIN2DEC(MID($B623,27,2))),"")</f>
        <v/>
      </c>
      <c r="P623" s="6" t="str">
        <f t="shared" si="61"/>
        <v/>
      </c>
      <c r="Q623" t="str">
        <f t="shared" si="63"/>
        <v/>
      </c>
      <c r="R623" t="str">
        <f t="shared" si="64"/>
        <v/>
      </c>
      <c r="S623" cm="1">
        <f t="array" ref="S623">IF(M623="Control",INDEX(IC!A:A,1+BIN2DEC(MID($B623,21,4))),"")</f>
        <v>0</v>
      </c>
      <c r="T623" cm="1">
        <f t="array" ref="T623">IF(M623="Control",INDEX(EC!A:A,1+BIN2DEC(MID($B623,25,3))),"")</f>
        <v>5</v>
      </c>
      <c r="U623" cm="1">
        <f t="array" ref="U623">IF(M623="Control",INDEX(SR!A:A,1+BIN2DEC(MID($B623,28,2))),"")</f>
        <v>1</v>
      </c>
    </row>
    <row r="624" spans="1:30" x14ac:dyDescent="0.25">
      <c r="A624" s="4" t="str">
        <f t="shared" si="62"/>
        <v>26E</v>
      </c>
      <c r="B624" s="2" t="s">
        <v>602</v>
      </c>
      <c r="C624" s="3"/>
      <c r="D624" s="3"/>
      <c r="E624" s="3"/>
      <c r="F624" s="27" t="str" cm="1">
        <f t="array" ref="F624">INDEX(Sources!A:A, 1 + BIN2DEC(LEFT($B624,5)))</f>
        <v>--</v>
      </c>
      <c r="G624" s="27" t="str" cm="1">
        <f t="array" ref="G624">INDEX(Dest1!A:A,1+BIN2DEC(MID($B624,6,5)))</f>
        <v>--</v>
      </c>
      <c r="H624" s="27" t="str" cm="1">
        <f t="array" ref="H624">INDEX(Source2!A:A,1+BIN2DEC(MID($B624,11,4)))</f>
        <v>--</v>
      </c>
      <c r="I624" s="23" cm="1">
        <f t="array" ref="I624">INDEX('D2'!A:A,1+BIN2DEC(MID($B624,16,2)))</f>
        <v>0</v>
      </c>
      <c r="J624" s="6">
        <f t="shared" si="55"/>
        <v>0</v>
      </c>
      <c r="K624" s="6">
        <f t="shared" si="51"/>
        <v>0</v>
      </c>
      <c r="L624" s="6">
        <f t="shared" si="52"/>
        <v>0</v>
      </c>
      <c r="M624" s="3" t="str" cm="1">
        <f t="array" ref="M624">INDEX(Types!A:A,1+BIN2DEC(MID($B624,20,2)))</f>
        <v>Jump</v>
      </c>
      <c r="N624" s="3" t="str" cm="1">
        <f t="array" ref="N624">IF(M624="ALU",INDEX(ALUOps!A:A,1+BIN2DEC(MID($B624,22,5))),"")</f>
        <v/>
      </c>
      <c r="O624" s="3" t="str" cm="1">
        <f t="array" ref="O624">IF(M624="ALU",INDEX(TMP!A:A,1+BIN2DEC(MID($B624,27,2))),"")</f>
        <v/>
      </c>
      <c r="P624" s="6" t="str">
        <f t="shared" si="61"/>
        <v/>
      </c>
      <c r="Q624">
        <f t="shared" si="63"/>
        <v>10</v>
      </c>
      <c r="R624">
        <f t="shared" si="64"/>
        <v>6</v>
      </c>
      <c r="S624" t="str" cm="1">
        <f t="array" ref="S624">IF(M624="Control",INDEX(IC!A:A,1+BIN2DEC(MID($B624,21,4))),"")</f>
        <v/>
      </c>
      <c r="T624" t="str" cm="1">
        <f t="array" ref="T624">IF(M624="Control",INDEX(EC!A:A,1+BIN2DEC(MID($B624,25,3))),"")</f>
        <v/>
      </c>
      <c r="U624" t="str" cm="1">
        <f t="array" ref="U624">IF(M624="Control",INDEX(SR!A:A,1+BIN2DEC(MID($B624,28,2))),"")</f>
        <v/>
      </c>
    </row>
    <row r="625" spans="1:30" x14ac:dyDescent="0.25">
      <c r="A625" s="4" t="str">
        <f t="shared" si="62"/>
        <v>26F</v>
      </c>
      <c r="B625" s="2" t="s">
        <v>17</v>
      </c>
      <c r="C625" s="3"/>
      <c r="D625" s="3"/>
      <c r="E625" s="3"/>
      <c r="F625" s="27" t="str" cm="1">
        <f t="array" ref="F625">INDEX(Sources!A:A, 1 + BIN2DEC(LEFT($B625,5)))</f>
        <v>SP</v>
      </c>
      <c r="G625" s="27" t="str" cm="1">
        <f t="array" ref="G625">INDEX(Dest1!A:A,1+BIN2DEC(MID($B625,6,5)))</f>
        <v>TMPA</v>
      </c>
      <c r="H625" s="27" t="str" cm="1">
        <f t="array" ref="H625">INDEX(Source2!A:A,1+BIN2DEC(MID($B625,11,4)))</f>
        <v>--</v>
      </c>
      <c r="I625" s="23" cm="1">
        <f t="array" ref="I625">INDEX('D2'!A:A,1+BIN2DEC(MID($B625,16,2)))</f>
        <v>0</v>
      </c>
      <c r="J625" s="6">
        <f t="shared" si="55"/>
        <v>0</v>
      </c>
      <c r="K625" s="6">
        <f t="shared" si="51"/>
        <v>0</v>
      </c>
      <c r="L625" s="6">
        <f t="shared" si="52"/>
        <v>0</v>
      </c>
      <c r="M625" s="3" t="str" cm="1">
        <f t="array" ref="M625">INDEX(Types!A:A,1+BIN2DEC(MID($B625,20,2)))</f>
        <v>ALU</v>
      </c>
      <c r="N625" s="3" cm="1">
        <f t="array" ref="N625">IF(M625="ALU",INDEX(ALUOps!A:A,1+BIN2DEC(MID($B625,22,5))),"")</f>
        <v>2</v>
      </c>
      <c r="O625" s="3" cm="1">
        <f t="array" ref="O625">IF(M625="ALU",INDEX(TMP!A:A,1+BIN2DEC(MID($B625,27,2))),"")</f>
        <v>2</v>
      </c>
      <c r="P625" s="6">
        <f t="shared" si="61"/>
        <v>1</v>
      </c>
      <c r="Q625" t="str">
        <f t="shared" si="63"/>
        <v/>
      </c>
      <c r="R625" t="str">
        <f t="shared" si="64"/>
        <v/>
      </c>
      <c r="S625" t="str" cm="1">
        <f t="array" ref="S625">IF(M625="Control",INDEX(IC!A:A,1+BIN2DEC(MID($B625,21,4))),"")</f>
        <v/>
      </c>
      <c r="T625" t="str" cm="1">
        <f t="array" ref="T625">IF(M625="Control",INDEX(EC!A:A,1+BIN2DEC(MID($B625,25,3))),"")</f>
        <v/>
      </c>
      <c r="U625" t="str" cm="1">
        <f t="array" ref="U625">IF(M625="Control",INDEX(SR!A:A,1+BIN2DEC(MID($B625,28,2))),"")</f>
        <v/>
      </c>
    </row>
    <row r="626" spans="1:30" x14ac:dyDescent="0.25">
      <c r="A626" s="4" t="str">
        <f t="shared" si="62"/>
        <v>270</v>
      </c>
      <c r="B626" s="2" t="s">
        <v>601</v>
      </c>
      <c r="C626" s="2" t="s">
        <v>600</v>
      </c>
      <c r="D626" s="2" t="s">
        <v>931</v>
      </c>
      <c r="E626" s="2" t="s">
        <v>933</v>
      </c>
      <c r="F626" s="27" t="str" cm="1">
        <f t="array" ref="F626">INDEX(Sources!A:A, 1 + BIN2DEC(LEFT($B626,5)))</f>
        <v>SIGMA</v>
      </c>
      <c r="G626" s="27" t="str" cm="1">
        <f t="array" ref="G626">INDEX(Dest1!A:A,1+BIN2DEC(MID($B626,6,5)))</f>
        <v>SP</v>
      </c>
      <c r="H626" s="27" t="str" cm="1">
        <f t="array" ref="H626">INDEX(Source2!A:A,1+BIN2DEC(MID($B626,11,4)))</f>
        <v>11</v>
      </c>
      <c r="I626" s="23" t="str" cm="1">
        <f t="array" ref="I626">INDEX('D2'!A:A,1+BIN2DEC(MID($B626,16,2)))</f>
        <v>TMPB</v>
      </c>
      <c r="J626" s="6">
        <f t="shared" si="55"/>
        <v>0</v>
      </c>
      <c r="K626" s="6">
        <f t="shared" si="51"/>
        <v>0</v>
      </c>
      <c r="L626" s="6">
        <f t="shared" si="52"/>
        <v>0</v>
      </c>
      <c r="M626" s="3" t="str" cm="1">
        <f t="array" ref="M626">INDEX(Types!A:A,1+BIN2DEC(MID($B626,20,2)))</f>
        <v>Control</v>
      </c>
      <c r="N626" s="3" t="str" cm="1">
        <f t="array" ref="N626">IF(M626="ALU",INDEX(ALUOps!A:A,1+BIN2DEC(MID($B626,22,5))),"")</f>
        <v/>
      </c>
      <c r="O626" s="3" t="str" cm="1">
        <f t="array" ref="O626">IF(M626="ALU",INDEX(TMP!A:A,1+BIN2DEC(MID($B626,27,2))),"")</f>
        <v/>
      </c>
      <c r="P626" s="6" t="str">
        <f t="shared" si="61"/>
        <v/>
      </c>
      <c r="Q626" t="str">
        <f t="shared" si="63"/>
        <v/>
      </c>
      <c r="R626" t="str">
        <f t="shared" si="64"/>
        <v/>
      </c>
      <c r="S626" cm="1">
        <f t="array" ref="S626">IF(M626="Control",INDEX(IC!A:A,1+BIN2DEC(MID($B626,21,4))),"")</f>
        <v>0</v>
      </c>
      <c r="T626" cm="1">
        <f t="array" ref="T626">IF(M626="Control",INDEX(EC!A:A,1+BIN2DEC(MID($B626,25,3))),"")</f>
        <v>5</v>
      </c>
      <c r="U626" cm="1">
        <f t="array" ref="U626">IF(M626="Control",INDEX(SR!A:A,1+BIN2DEC(MID($B626,28,2))),"")</f>
        <v>1</v>
      </c>
      <c r="AD626" s="1" t="s">
        <v>586</v>
      </c>
    </row>
    <row r="627" spans="1:30" x14ac:dyDescent="0.25">
      <c r="A627" s="4" t="str">
        <f t="shared" si="62"/>
        <v>271</v>
      </c>
      <c r="B627" s="2" t="s">
        <v>605</v>
      </c>
      <c r="C627" s="3"/>
      <c r="D627" s="3"/>
      <c r="E627" s="3"/>
      <c r="F627" s="27" t="str" cm="1">
        <f t="array" ref="F627">INDEX(Sources!A:A, 1 + BIN2DEC(LEFT($B627,5)))</f>
        <v>UNK17</v>
      </c>
      <c r="G627" s="27" t="str" cm="1">
        <f t="array" ref="G627">INDEX(Dest1!A:A,1+BIN2DEC(MID($B627,6,5)))</f>
        <v>OUT</v>
      </c>
      <c r="H627" s="27" t="str" cm="1">
        <f t="array" ref="H627">INDEX(Source2!A:A,1+BIN2DEC(MID($B627,11,4)))</f>
        <v>--</v>
      </c>
      <c r="I627" s="23" cm="1">
        <f t="array" ref="I627">INDEX('D2'!A:A,1+BIN2DEC(MID($B627,16,2)))</f>
        <v>1</v>
      </c>
      <c r="J627" s="6">
        <f t="shared" si="55"/>
        <v>1</v>
      </c>
      <c r="K627" s="6">
        <f t="shared" si="51"/>
        <v>0</v>
      </c>
      <c r="L627" s="6">
        <f t="shared" si="52"/>
        <v>0</v>
      </c>
      <c r="M627" s="3" t="str" cm="1">
        <f t="array" ref="M627">INDEX(Types!A:A,1+BIN2DEC(MID($B627,20,2)))</f>
        <v>Control</v>
      </c>
      <c r="N627" s="3" t="str" cm="1">
        <f t="array" ref="N627">IF(M627="ALU",INDEX(ALUOps!A:A,1+BIN2DEC(MID($B627,22,5))),"")</f>
        <v/>
      </c>
      <c r="O627" s="3" t="str" cm="1">
        <f t="array" ref="O627">IF(M627="ALU",INDEX(TMP!A:A,1+BIN2DEC(MID($B627,27,2))),"")</f>
        <v/>
      </c>
      <c r="P627" s="6" t="str">
        <f t="shared" si="61"/>
        <v/>
      </c>
      <c r="Q627" t="str">
        <f t="shared" si="63"/>
        <v/>
      </c>
      <c r="R627" t="str">
        <f t="shared" si="64"/>
        <v/>
      </c>
      <c r="S627" cm="1">
        <f t="array" ref="S627">IF(M627="Control",INDEX(IC!A:A,1+BIN2DEC(MID($B627,21,4))),"")</f>
        <v>0</v>
      </c>
      <c r="T627" cm="1">
        <f t="array" ref="T627">IF(M627="Control",INDEX(EC!A:A,1+BIN2DEC(MID($B627,25,3))),"")</f>
        <v>0</v>
      </c>
      <c r="U627" cm="1">
        <f t="array" ref="U627">IF(M627="Control",INDEX(SR!A:A,1+BIN2DEC(MID($B627,28,2))),"")</f>
        <v>0</v>
      </c>
    </row>
    <row r="628" spans="1:30" x14ac:dyDescent="0.25">
      <c r="A628" s="4" t="str">
        <f t="shared" si="62"/>
        <v>272</v>
      </c>
      <c r="B628" s="2" t="s">
        <v>606</v>
      </c>
      <c r="C628" s="3"/>
      <c r="D628" s="3"/>
      <c r="E628" s="3"/>
      <c r="F628" s="27" t="str" cm="1">
        <f t="array" ref="F628">INDEX(Sources!A:A, 1 + BIN2DEC(LEFT($B628,5)))</f>
        <v>UNK17</v>
      </c>
      <c r="G628" s="27" t="str" cm="1">
        <f t="array" ref="G628">INDEX(Dest1!A:A,1+BIN2DEC(MID($B628,6,5)))</f>
        <v>UNK2</v>
      </c>
      <c r="H628" s="27" t="str" cm="1">
        <f t="array" ref="H628">INDEX(Source2!A:A,1+BIN2DEC(MID($B628,11,4)))</f>
        <v>3</v>
      </c>
      <c r="I628" s="23" cm="1">
        <f t="array" ref="I628">INDEX('D2'!A:A,1+BIN2DEC(MID($B628,16,2)))</f>
        <v>0</v>
      </c>
      <c r="J628" s="6">
        <f t="shared" si="55"/>
        <v>0</v>
      </c>
      <c r="K628" s="6">
        <f t="shared" si="51"/>
        <v>0</v>
      </c>
      <c r="L628" s="6">
        <f t="shared" si="52"/>
        <v>1</v>
      </c>
      <c r="M628" s="3" t="str" cm="1">
        <f t="array" ref="M628">INDEX(Types!A:A,1+BIN2DEC(MID($B628,20,2)))</f>
        <v>ALU</v>
      </c>
      <c r="N628" s="3" cm="1">
        <f t="array" ref="N628">IF(M628="ALU",INDEX(ALUOps!A:A,1+BIN2DEC(MID($B628,22,5))),"")</f>
        <v>26</v>
      </c>
      <c r="O628" s="3" cm="1">
        <f t="array" ref="O628">IF(M628="ALU",INDEX(TMP!A:A,1+BIN2DEC(MID($B628,27,2))),"")</f>
        <v>3</v>
      </c>
      <c r="P628" s="6">
        <f t="shared" si="61"/>
        <v>1</v>
      </c>
      <c r="Q628" t="str">
        <f t="shared" si="63"/>
        <v/>
      </c>
      <c r="R628" t="str">
        <f t="shared" si="64"/>
        <v/>
      </c>
      <c r="S628" t="str" cm="1">
        <f t="array" ref="S628">IF(M628="Control",INDEX(IC!A:A,1+BIN2DEC(MID($B628,21,4))),"")</f>
        <v/>
      </c>
      <c r="T628" t="str" cm="1">
        <f t="array" ref="T628">IF(M628="Control",INDEX(EC!A:A,1+BIN2DEC(MID($B628,25,3))),"")</f>
        <v/>
      </c>
      <c r="U628" t="str" cm="1">
        <f t="array" ref="U628">IF(M628="Control",INDEX(SR!A:A,1+BIN2DEC(MID($B628,28,2))),"")</f>
        <v/>
      </c>
    </row>
    <row r="629" spans="1:30" x14ac:dyDescent="0.25">
      <c r="A629" s="4" t="str">
        <f t="shared" si="62"/>
        <v>273</v>
      </c>
      <c r="B629" s="2" t="s">
        <v>15</v>
      </c>
      <c r="C629" s="3"/>
      <c r="D629" s="3"/>
      <c r="E629" s="3"/>
      <c r="F629" s="27" t="str" cm="1">
        <f t="array" ref="F629">INDEX(Sources!A:A, 1 + BIN2DEC(LEFT($B629,5)))</f>
        <v>SIGMA</v>
      </c>
      <c r="G629" s="27" t="str" cm="1">
        <f t="array" ref="G629">INDEX(Dest1!A:A,1+BIN2DEC(MID($B629,6,5)))</f>
        <v>SP</v>
      </c>
      <c r="H629" s="27" t="str" cm="1">
        <f t="array" ref="H629">INDEX(Source2!A:A,1+BIN2DEC(MID($B629,11,4)))</f>
        <v>--</v>
      </c>
      <c r="I629" s="23" cm="1">
        <f t="array" ref="I629">INDEX('D2'!A:A,1+BIN2DEC(MID($B629,16,2)))</f>
        <v>0</v>
      </c>
      <c r="J629" s="6">
        <f t="shared" si="55"/>
        <v>0</v>
      </c>
      <c r="K629" s="6">
        <f t="shared" si="51"/>
        <v>0</v>
      </c>
      <c r="L629" s="6">
        <f t="shared" si="52"/>
        <v>0</v>
      </c>
      <c r="M629" s="3" t="str" cm="1">
        <f t="array" ref="M629">INDEX(Types!A:A,1+BIN2DEC(MID($B629,20,2)))</f>
        <v>Control</v>
      </c>
      <c r="N629" s="3" t="str" cm="1">
        <f t="array" ref="N629">IF(M629="ALU",INDEX(ALUOps!A:A,1+BIN2DEC(MID($B629,22,5))),"")</f>
        <v/>
      </c>
      <c r="O629" s="3" t="str" cm="1">
        <f t="array" ref="O629">IF(M629="ALU",INDEX(TMP!A:A,1+BIN2DEC(MID($B629,27,2))),"")</f>
        <v/>
      </c>
      <c r="P629" s="6" t="str">
        <f t="shared" si="61"/>
        <v/>
      </c>
      <c r="Q629" t="str">
        <f t="shared" si="63"/>
        <v/>
      </c>
      <c r="R629" t="str">
        <f t="shared" si="64"/>
        <v/>
      </c>
      <c r="S629" cm="1">
        <f t="array" ref="S629">IF(M629="Control",INDEX(IC!A:A,1+BIN2DEC(MID($B629,21,4))),"")</f>
        <v>0</v>
      </c>
      <c r="T629" cm="1">
        <f t="array" ref="T629">IF(M629="Control",INDEX(EC!A:A,1+BIN2DEC(MID($B629,25,3))),"")</f>
        <v>0</v>
      </c>
      <c r="U629" cm="1">
        <f t="array" ref="U629">IF(M629="Control",INDEX(SR!A:A,1+BIN2DEC(MID($B629,28,2))),"")</f>
        <v>0</v>
      </c>
    </row>
    <row r="630" spans="1:30" x14ac:dyDescent="0.25">
      <c r="A630" s="4" t="str">
        <f t="shared" si="62"/>
        <v>274</v>
      </c>
      <c r="B630" s="2" t="s">
        <v>607</v>
      </c>
      <c r="C630" s="2" t="s">
        <v>603</v>
      </c>
      <c r="D630" s="2" t="s">
        <v>928</v>
      </c>
      <c r="E630" s="2" t="s">
        <v>462</v>
      </c>
      <c r="F630" s="27" t="str" cm="1">
        <f t="array" ref="F630">INDEX(Sources!A:A, 1 + BIN2DEC(LEFT($B630,5)))</f>
        <v>UNK2</v>
      </c>
      <c r="G630" s="27" t="str" cm="1">
        <f t="array" ref="G630">INDEX(Dest1!A:A,1+BIN2DEC(MID($B630,6,5)))</f>
        <v>UNK26</v>
      </c>
      <c r="H630" s="27" t="str" cm="1">
        <f t="array" ref="H630">INDEX(Source2!A:A,1+BIN2DEC(MID($B630,11,4)))</f>
        <v>2</v>
      </c>
      <c r="I630" s="23" cm="1">
        <f t="array" ref="I630">INDEX('D2'!A:A,1+BIN2DEC(MID($B630,16,2)))</f>
        <v>0</v>
      </c>
      <c r="J630" s="6">
        <f t="shared" si="55"/>
        <v>0</v>
      </c>
      <c r="K630" s="6">
        <f t="shared" si="51"/>
        <v>0</v>
      </c>
      <c r="L630" s="6">
        <f t="shared" si="52"/>
        <v>0</v>
      </c>
      <c r="M630" s="3" t="str" cm="1">
        <f t="array" ref="M630">INDEX(Types!A:A,1+BIN2DEC(MID($B630,20,2)))</f>
        <v>Control</v>
      </c>
      <c r="N630" s="3" t="str" cm="1">
        <f t="array" ref="N630">IF(M630="ALU",INDEX(ALUOps!A:A,1+BIN2DEC(MID($B630,22,5))),"")</f>
        <v/>
      </c>
      <c r="O630" s="3" t="str" cm="1">
        <f t="array" ref="O630">IF(M630="ALU",INDEX(TMP!A:A,1+BIN2DEC(MID($B630,27,2))),"")</f>
        <v/>
      </c>
      <c r="P630" s="6" t="str">
        <f t="shared" si="61"/>
        <v/>
      </c>
      <c r="Q630" t="str">
        <f t="shared" si="63"/>
        <v/>
      </c>
      <c r="R630" t="str">
        <f t="shared" si="64"/>
        <v/>
      </c>
      <c r="S630" cm="1">
        <f t="array" ref="S630">IF(M630="Control",INDEX(IC!A:A,1+BIN2DEC(MID($B630,21,4))),"")</f>
        <v>0</v>
      </c>
      <c r="T630" cm="1">
        <f t="array" ref="T630">IF(M630="Control",INDEX(EC!A:A,1+BIN2DEC(MID($B630,25,3))),"")</f>
        <v>6</v>
      </c>
      <c r="U630" cm="1">
        <f t="array" ref="U630">IF(M630="Control",INDEX(SR!A:A,1+BIN2DEC(MID($B630,28,2))),"")</f>
        <v>1</v>
      </c>
      <c r="AD630" s="1" t="s">
        <v>604</v>
      </c>
    </row>
    <row r="631" spans="1:30" x14ac:dyDescent="0.25">
      <c r="A631" s="4" t="str">
        <f t="shared" si="62"/>
        <v>275</v>
      </c>
      <c r="B631" s="2" t="s">
        <v>610</v>
      </c>
      <c r="C631" s="3"/>
      <c r="D631" s="3"/>
      <c r="E631" s="3"/>
      <c r="F631" s="27" t="str" cm="1">
        <f t="array" ref="F631">INDEX(Sources!A:A, 1 + BIN2DEC(LEFT($B631,5)))</f>
        <v>REG</v>
      </c>
      <c r="G631" s="27" t="str" cm="1">
        <f t="array" ref="G631">INDEX(Dest1!A:A,1+BIN2DEC(MID($B631,6,5)))</f>
        <v>TMPB</v>
      </c>
      <c r="H631" s="27" t="str" cm="1">
        <f t="array" ref="H631">INDEX(Source2!A:A,1+BIN2DEC(MID($B631,11,4)))</f>
        <v>15</v>
      </c>
      <c r="I631" s="23" t="str" cm="1">
        <f t="array" ref="I631">INDEX('D2'!A:A,1+BIN2DEC(MID($B631,16,2)))</f>
        <v>TMPB</v>
      </c>
      <c r="J631" s="6">
        <f t="shared" si="55"/>
        <v>0</v>
      </c>
      <c r="K631" s="6">
        <f t="shared" si="51"/>
        <v>0</v>
      </c>
      <c r="L631" s="6">
        <f t="shared" si="52"/>
        <v>0</v>
      </c>
      <c r="M631" s="3" t="str" cm="1">
        <f t="array" ref="M631">INDEX(Types!A:A,1+BIN2DEC(MID($B631,20,2)))</f>
        <v>ALU</v>
      </c>
      <c r="N631" s="3" cm="1">
        <f t="array" ref="N631">IF(M631="ALU",INDEX(ALUOps!A:A,1+BIN2DEC(MID($B631,22,5))),"")</f>
        <v>31</v>
      </c>
      <c r="O631" s="3" cm="1">
        <f t="array" ref="O631">IF(M631="ALU",INDEX(TMP!A:A,1+BIN2DEC(MID($B631,27,2))),"")</f>
        <v>3</v>
      </c>
      <c r="P631" s="6">
        <f t="shared" si="61"/>
        <v>1</v>
      </c>
      <c r="Q631" t="str">
        <f t="shared" si="63"/>
        <v/>
      </c>
      <c r="R631" t="str">
        <f t="shared" si="64"/>
        <v/>
      </c>
      <c r="S631" t="str" cm="1">
        <f t="array" ref="S631">IF(M631="Control",INDEX(IC!A:A,1+BIN2DEC(MID($B631,21,4))),"")</f>
        <v/>
      </c>
      <c r="T631" t="str" cm="1">
        <f t="array" ref="T631">IF(M631="Control",INDEX(EC!A:A,1+BIN2DEC(MID($B631,25,3))),"")</f>
        <v/>
      </c>
      <c r="U631" t="str" cm="1">
        <f t="array" ref="U631">IF(M631="Control",INDEX(SR!A:A,1+BIN2DEC(MID($B631,28,2))),"")</f>
        <v/>
      </c>
    </row>
    <row r="632" spans="1:30" x14ac:dyDescent="0.25">
      <c r="A632" s="4" t="str">
        <f t="shared" si="62"/>
        <v>276</v>
      </c>
      <c r="B632" s="2" t="s">
        <v>15</v>
      </c>
      <c r="C632" s="3"/>
      <c r="D632" s="3"/>
      <c r="E632" s="3"/>
      <c r="F632" s="27" t="str" cm="1">
        <f t="array" ref="F632">INDEX(Sources!A:A, 1 + BIN2DEC(LEFT($B632,5)))</f>
        <v>SIGMA</v>
      </c>
      <c r="G632" s="27" t="str" cm="1">
        <f t="array" ref="G632">INDEX(Dest1!A:A,1+BIN2DEC(MID($B632,6,5)))</f>
        <v>SP</v>
      </c>
      <c r="H632" s="27" t="str" cm="1">
        <f t="array" ref="H632">INDEX(Source2!A:A,1+BIN2DEC(MID($B632,11,4)))</f>
        <v>--</v>
      </c>
      <c r="I632" s="23" cm="1">
        <f t="array" ref="I632">INDEX('D2'!A:A,1+BIN2DEC(MID($B632,16,2)))</f>
        <v>0</v>
      </c>
      <c r="J632" s="6">
        <f t="shared" si="55"/>
        <v>0</v>
      </c>
      <c r="K632" s="6">
        <f t="shared" si="51"/>
        <v>0</v>
      </c>
      <c r="L632" s="6">
        <f t="shared" si="52"/>
        <v>0</v>
      </c>
      <c r="M632" s="3" t="str" cm="1">
        <f t="array" ref="M632">INDEX(Types!A:A,1+BIN2DEC(MID($B632,20,2)))</f>
        <v>Control</v>
      </c>
      <c r="N632" s="3" t="str" cm="1">
        <f t="array" ref="N632">IF(M632="ALU",INDEX(ALUOps!A:A,1+BIN2DEC(MID($B632,22,5))),"")</f>
        <v/>
      </c>
      <c r="O632" s="3" t="str" cm="1">
        <f t="array" ref="O632">IF(M632="ALU",INDEX(TMP!A:A,1+BIN2DEC(MID($B632,27,2))),"")</f>
        <v/>
      </c>
      <c r="P632" s="6" t="str">
        <f t="shared" si="61"/>
        <v/>
      </c>
      <c r="Q632" t="str">
        <f t="shared" si="63"/>
        <v/>
      </c>
      <c r="R632" t="str">
        <f t="shared" si="64"/>
        <v/>
      </c>
      <c r="S632" cm="1">
        <f t="array" ref="S632">IF(M632="Control",INDEX(IC!A:A,1+BIN2DEC(MID($B632,21,4))),"")</f>
        <v>0</v>
      </c>
      <c r="T632" cm="1">
        <f t="array" ref="T632">IF(M632="Control",INDEX(EC!A:A,1+BIN2DEC(MID($B632,25,3))),"")</f>
        <v>0</v>
      </c>
      <c r="U632" cm="1">
        <f t="array" ref="U632">IF(M632="Control",INDEX(SR!A:A,1+BIN2DEC(MID($B632,28,2))),"")</f>
        <v>0</v>
      </c>
    </row>
    <row r="633" spans="1:30" x14ac:dyDescent="0.25">
      <c r="A633" s="4" t="str">
        <f t="shared" si="62"/>
        <v>277</v>
      </c>
      <c r="B633" s="2" t="s">
        <v>611</v>
      </c>
      <c r="C633" s="3"/>
      <c r="D633" s="3"/>
      <c r="E633" s="3"/>
      <c r="F633" s="27" t="str" cm="1">
        <f t="array" ref="F633">INDEX(Sources!A:A, 1 + BIN2DEC(LEFT($B633,5)))</f>
        <v>OUT</v>
      </c>
      <c r="G633" s="27" t="str" cm="1">
        <f t="array" ref="G633">INDEX(Dest1!A:A,1+BIN2DEC(MID($B633,6,5)))</f>
        <v>UNK2</v>
      </c>
      <c r="H633" s="27" t="str" cm="1">
        <f t="array" ref="H633">INDEX(Source2!A:A,1+BIN2DEC(MID($B633,11,4)))</f>
        <v>--</v>
      </c>
      <c r="I633" s="23" cm="1">
        <f t="array" ref="I633">INDEX('D2'!A:A,1+BIN2DEC(MID($B633,16,2)))</f>
        <v>1</v>
      </c>
      <c r="J633" s="6">
        <f t="shared" si="55"/>
        <v>1</v>
      </c>
      <c r="K633" s="6">
        <f t="shared" si="51"/>
        <v>0</v>
      </c>
      <c r="L633" s="6">
        <f t="shared" si="52"/>
        <v>1</v>
      </c>
      <c r="M633" s="3" t="str" cm="1">
        <f t="array" ref="M633">INDEX(Types!A:A,1+BIN2DEC(MID($B633,20,2)))</f>
        <v>Control</v>
      </c>
      <c r="N633" s="3" t="str" cm="1">
        <f t="array" ref="N633">IF(M633="ALU",INDEX(ALUOps!A:A,1+BIN2DEC(MID($B633,22,5))),"")</f>
        <v/>
      </c>
      <c r="O633" s="3" t="str" cm="1">
        <f t="array" ref="O633">IF(M633="ALU",INDEX(TMP!A:A,1+BIN2DEC(MID($B633,27,2))),"")</f>
        <v/>
      </c>
      <c r="P633" s="6" t="str">
        <f t="shared" si="61"/>
        <v/>
      </c>
      <c r="Q633" t="str">
        <f t="shared" si="63"/>
        <v/>
      </c>
      <c r="R633" t="str">
        <f t="shared" si="64"/>
        <v/>
      </c>
      <c r="S633" cm="1">
        <f t="array" ref="S633">IF(M633="Control",INDEX(IC!A:A,1+BIN2DEC(MID($B633,21,4))),"")</f>
        <v>0</v>
      </c>
      <c r="T633" cm="1">
        <f t="array" ref="T633">IF(M633="Control",INDEX(EC!A:A,1+BIN2DEC(MID($B633,25,3))),"")</f>
        <v>0</v>
      </c>
      <c r="U633" cm="1">
        <f t="array" ref="U633">IF(M633="Control",INDEX(SR!A:A,1+BIN2DEC(MID($B633,28,2))),"")</f>
        <v>0</v>
      </c>
    </row>
    <row r="634" spans="1:30" x14ac:dyDescent="0.25">
      <c r="A634" s="4" t="str">
        <f t="shared" si="62"/>
        <v>278</v>
      </c>
      <c r="B634" s="2" t="s">
        <v>612</v>
      </c>
      <c r="C634" s="2" t="s">
        <v>608</v>
      </c>
      <c r="D634" s="2" t="s">
        <v>928</v>
      </c>
      <c r="E634" s="2" t="s">
        <v>462</v>
      </c>
      <c r="F634" s="27" t="str" cm="1">
        <f t="array" ref="F634">INDEX(Sources!A:A, 1 + BIN2DEC(LEFT($B634,5)))</f>
        <v>OUT</v>
      </c>
      <c r="G634" s="27" t="str" cm="1">
        <f t="array" ref="G634">INDEX(Dest1!A:A,1+BIN2DEC(MID($B634,6,5)))</f>
        <v>UNK17</v>
      </c>
      <c r="H634" s="27" t="str" cm="1">
        <f t="array" ref="H634">INDEX(Source2!A:A,1+BIN2DEC(MID($B634,11,4)))</f>
        <v>11</v>
      </c>
      <c r="I634" s="23" cm="1">
        <f t="array" ref="I634">INDEX('D2'!A:A,1+BIN2DEC(MID($B634,16,2)))</f>
        <v>3</v>
      </c>
      <c r="J634" s="6">
        <f t="shared" si="55"/>
        <v>1</v>
      </c>
      <c r="K634" s="6">
        <f t="shared" si="51"/>
        <v>0</v>
      </c>
      <c r="L634" s="6">
        <f t="shared" si="52"/>
        <v>0</v>
      </c>
      <c r="M634" s="3" t="str" cm="1">
        <f t="array" ref="M634">INDEX(Types!A:A,1+BIN2DEC(MID($B634,20,2)))</f>
        <v>ALU</v>
      </c>
      <c r="N634" s="3" cm="1">
        <f t="array" ref="N634">IF(M634="ALU",INDEX(ALUOps!A:A,1+BIN2DEC(MID($B634,22,5))),"")</f>
        <v>3</v>
      </c>
      <c r="O634" s="3" cm="1">
        <f t="array" ref="O634">IF(M634="ALU",INDEX(TMP!A:A,1+BIN2DEC(MID($B634,27,2))),"")</f>
        <v>3</v>
      </c>
      <c r="P634" s="6">
        <f t="shared" si="61"/>
        <v>1</v>
      </c>
      <c r="Q634" t="str">
        <f t="shared" si="63"/>
        <v/>
      </c>
      <c r="R634" t="str">
        <f t="shared" si="64"/>
        <v/>
      </c>
      <c r="S634" t="str" cm="1">
        <f t="array" ref="S634">IF(M634="Control",INDEX(IC!A:A,1+BIN2DEC(MID($B634,21,4))),"")</f>
        <v/>
      </c>
      <c r="T634" t="str" cm="1">
        <f t="array" ref="T634">IF(M634="Control",INDEX(EC!A:A,1+BIN2DEC(MID($B634,25,3))),"")</f>
        <v/>
      </c>
      <c r="U634" t="str" cm="1">
        <f t="array" ref="U634">IF(M634="Control",INDEX(SR!A:A,1+BIN2DEC(MID($B634,28,2))),"")</f>
        <v/>
      </c>
      <c r="AD634" s="1" t="s">
        <v>609</v>
      </c>
    </row>
    <row r="635" spans="1:30" x14ac:dyDescent="0.25">
      <c r="A635" s="4" t="str">
        <f t="shared" si="62"/>
        <v>279</v>
      </c>
      <c r="B635" s="2" t="s">
        <v>614</v>
      </c>
      <c r="C635" s="3"/>
      <c r="D635" s="3"/>
      <c r="E635" s="3"/>
      <c r="F635" s="27" t="str" cm="1">
        <f t="array" ref="F635">INDEX(Sources!A:A, 1 + BIN2DEC(LEFT($B635,5)))</f>
        <v>FLAGS</v>
      </c>
      <c r="G635" s="27" t="str" cm="1">
        <f t="array" ref="G635">INDEX(Dest1!A:A,1+BIN2DEC(MID($B635,6,5)))</f>
        <v>LC</v>
      </c>
      <c r="H635" s="27" t="str" cm="1">
        <f t="array" ref="H635">INDEX(Source2!A:A,1+BIN2DEC(MID($B635,11,4)))</f>
        <v>11</v>
      </c>
      <c r="I635" s="23" t="str" cm="1">
        <f t="array" ref="I635">INDEX('D2'!A:A,1+BIN2DEC(MID($B635,16,2)))</f>
        <v>TMPB</v>
      </c>
      <c r="J635" s="6">
        <f t="shared" si="55"/>
        <v>0</v>
      </c>
      <c r="K635" s="6">
        <f t="shared" si="51"/>
        <v>0</v>
      </c>
      <c r="L635" s="6">
        <f t="shared" si="52"/>
        <v>0</v>
      </c>
      <c r="M635" s="3" t="str" cm="1">
        <f t="array" ref="M635">INDEX(Types!A:A,1+BIN2DEC(MID($B635,20,2)))</f>
        <v>Control</v>
      </c>
      <c r="N635" s="3" t="str" cm="1">
        <f t="array" ref="N635">IF(M635="ALU",INDEX(ALUOps!A:A,1+BIN2DEC(MID($B635,22,5))),"")</f>
        <v/>
      </c>
      <c r="O635" s="3" t="str" cm="1">
        <f t="array" ref="O635">IF(M635="ALU",INDEX(TMP!A:A,1+BIN2DEC(MID($B635,27,2))),"")</f>
        <v/>
      </c>
      <c r="P635" s="6" t="str">
        <f t="shared" si="61"/>
        <v/>
      </c>
      <c r="Q635" t="str">
        <f t="shared" si="63"/>
        <v/>
      </c>
      <c r="R635" t="str">
        <f t="shared" si="64"/>
        <v/>
      </c>
      <c r="S635" cm="1">
        <f t="array" ref="S635">IF(M635="Control",INDEX(IC!A:A,1+BIN2DEC(MID($B635,21,4))),"")</f>
        <v>0</v>
      </c>
      <c r="T635" cm="1">
        <f t="array" ref="T635">IF(M635="Control",INDEX(EC!A:A,1+BIN2DEC(MID($B635,25,3))),"")</f>
        <v>6</v>
      </c>
      <c r="U635" cm="1">
        <f t="array" ref="U635">IF(M635="Control",INDEX(SR!A:A,1+BIN2DEC(MID($B635,28,2))),"")</f>
        <v>0</v>
      </c>
    </row>
    <row r="636" spans="1:30" x14ac:dyDescent="0.25">
      <c r="A636" s="4" t="str">
        <f t="shared" si="62"/>
        <v>27A</v>
      </c>
      <c r="B636" s="2" t="s">
        <v>615</v>
      </c>
      <c r="C636" s="3"/>
      <c r="D636" s="3"/>
      <c r="E636" s="3"/>
      <c r="F636" s="27" t="str" cm="1">
        <f t="array" ref="F636">INDEX(Sources!A:A, 1 + BIN2DEC(LEFT($B636,5)))</f>
        <v>REG</v>
      </c>
      <c r="G636" s="27" t="str" cm="1">
        <f t="array" ref="G636">INDEX(Dest1!A:A,1+BIN2DEC(MID($B636,6,5)))</f>
        <v>TMPA</v>
      </c>
      <c r="H636" s="27" t="str" cm="1">
        <f t="array" ref="H636">INDEX(Source2!A:A,1+BIN2DEC(MID($B636,11,4)))</f>
        <v>--</v>
      </c>
      <c r="I636" s="23" cm="1">
        <f t="array" ref="I636">INDEX('D2'!A:A,1+BIN2DEC(MID($B636,16,2)))</f>
        <v>0</v>
      </c>
      <c r="J636" s="6">
        <f t="shared" si="55"/>
        <v>0</v>
      </c>
      <c r="K636" s="6">
        <f t="shared" si="51"/>
        <v>0</v>
      </c>
      <c r="L636" s="6">
        <f t="shared" si="52"/>
        <v>0</v>
      </c>
      <c r="M636" s="3" t="str" cm="1">
        <f t="array" ref="M636">INDEX(Types!A:A,1+BIN2DEC(MID($B636,20,2)))</f>
        <v>ALU</v>
      </c>
      <c r="N636" s="3" cm="1">
        <f t="array" ref="N636">IF(M636="ALU",INDEX(ALUOps!A:A,1+BIN2DEC(MID($B636,22,5))),"")</f>
        <v>26</v>
      </c>
      <c r="O636" s="3" cm="1">
        <f t="array" ref="O636">IF(M636="ALU",INDEX(TMP!A:A,1+BIN2DEC(MID($B636,27,2))),"")</f>
        <v>1</v>
      </c>
      <c r="P636" s="6">
        <f t="shared" si="61"/>
        <v>1</v>
      </c>
      <c r="Q636" t="str">
        <f t="shared" si="63"/>
        <v/>
      </c>
      <c r="R636" t="str">
        <f t="shared" si="64"/>
        <v/>
      </c>
      <c r="S636" t="str" cm="1">
        <f t="array" ref="S636">IF(M636="Control",INDEX(IC!A:A,1+BIN2DEC(MID($B636,21,4))),"")</f>
        <v/>
      </c>
      <c r="T636" t="str" cm="1">
        <f t="array" ref="T636">IF(M636="Control",INDEX(EC!A:A,1+BIN2DEC(MID($B636,25,3))),"")</f>
        <v/>
      </c>
      <c r="U636" t="str" cm="1">
        <f t="array" ref="U636">IF(M636="Control",INDEX(SR!A:A,1+BIN2DEC(MID($B636,28,2))),"")</f>
        <v/>
      </c>
    </row>
    <row r="637" spans="1:30" x14ac:dyDescent="0.25">
      <c r="A637" s="4" t="str">
        <f t="shared" si="62"/>
        <v>27B</v>
      </c>
      <c r="B637" s="2" t="s">
        <v>73</v>
      </c>
      <c r="C637" s="3"/>
      <c r="D637" s="3"/>
      <c r="E637" s="3"/>
      <c r="F637" s="27" t="str" cm="1">
        <f t="array" ref="F637">INDEX(Sources!A:A, 1 + BIN2DEC(LEFT($B637,5)))</f>
        <v>SIGMA</v>
      </c>
      <c r="G637" s="27" t="str" cm="1">
        <f t="array" ref="G637">INDEX(Dest1!A:A,1+BIN2DEC(MID($B637,6,5)))</f>
        <v>UNK24</v>
      </c>
      <c r="H637" s="27" t="str" cm="1">
        <f t="array" ref="H637">INDEX(Source2!A:A,1+BIN2DEC(MID($B637,11,4)))</f>
        <v>--</v>
      </c>
      <c r="I637" s="23" cm="1">
        <f t="array" ref="I637">INDEX('D2'!A:A,1+BIN2DEC(MID($B637,16,2)))</f>
        <v>0</v>
      </c>
      <c r="J637" s="6">
        <f t="shared" si="55"/>
        <v>0</v>
      </c>
      <c r="K637" s="6">
        <f t="shared" si="51"/>
        <v>1</v>
      </c>
      <c r="L637" s="6">
        <f t="shared" si="52"/>
        <v>0</v>
      </c>
      <c r="M637" s="3" t="str" cm="1">
        <f t="array" ref="M637">INDEX(Types!A:A,1+BIN2DEC(MID($B637,20,2)))</f>
        <v>Control</v>
      </c>
      <c r="N637" s="3" t="str" cm="1">
        <f t="array" ref="N637">IF(M637="ALU",INDEX(ALUOps!A:A,1+BIN2DEC(MID($B637,22,5))),"")</f>
        <v/>
      </c>
      <c r="O637" s="3" t="str" cm="1">
        <f t="array" ref="O637">IF(M637="ALU",INDEX(TMP!A:A,1+BIN2DEC(MID($B637,27,2))),"")</f>
        <v/>
      </c>
      <c r="P637" s="6" t="str">
        <f t="shared" si="61"/>
        <v/>
      </c>
      <c r="Q637" t="str">
        <f t="shared" si="63"/>
        <v/>
      </c>
      <c r="R637" t="str">
        <f t="shared" si="64"/>
        <v/>
      </c>
      <c r="S637" cm="1">
        <f t="array" ref="S637">IF(M637="Control",INDEX(IC!A:A,1+BIN2DEC(MID($B637,21,4))),"")</f>
        <v>0</v>
      </c>
      <c r="T637" cm="1">
        <f t="array" ref="T637">IF(M637="Control",INDEX(EC!A:A,1+BIN2DEC(MID($B637,25,3))),"")</f>
        <v>0</v>
      </c>
      <c r="U637" cm="1">
        <f t="array" ref="U637">IF(M637="Control",INDEX(SR!A:A,1+BIN2DEC(MID($B637,28,2))),"")</f>
        <v>0</v>
      </c>
    </row>
    <row r="638" spans="1:30" x14ac:dyDescent="0.25">
      <c r="A638" s="4" t="str">
        <f t="shared" si="62"/>
        <v>27C</v>
      </c>
      <c r="B638" s="2" t="s">
        <v>616</v>
      </c>
      <c r="C638" s="2" t="s">
        <v>613</v>
      </c>
      <c r="D638" s="2" t="s">
        <v>928</v>
      </c>
      <c r="E638" s="2" t="s">
        <v>929</v>
      </c>
      <c r="F638" s="27" t="str" cm="1">
        <f t="array" ref="F638">INDEX(Sources!A:A, 1 + BIN2DEC(LEFT($B638,5)))</f>
        <v>LC</v>
      </c>
      <c r="G638" s="27" t="str" cm="1">
        <f t="array" ref="G638">INDEX(Dest1!A:A,1+BIN2DEC(MID($B638,6,5)))</f>
        <v>FLAGS</v>
      </c>
      <c r="H638" s="27" t="str" cm="1">
        <f t="array" ref="H638">INDEX(Source2!A:A,1+BIN2DEC(MID($B638,11,4)))</f>
        <v>8</v>
      </c>
      <c r="I638" s="23" t="str" cm="1">
        <f t="array" ref="I638">INDEX('D2'!A:A,1+BIN2DEC(MID($B638,16,2)))</f>
        <v>TMPB</v>
      </c>
      <c r="J638" s="6">
        <f t="shared" si="55"/>
        <v>0</v>
      </c>
      <c r="K638" s="6">
        <f t="shared" si="51"/>
        <v>0</v>
      </c>
      <c r="L638" s="6">
        <f t="shared" si="52"/>
        <v>0</v>
      </c>
      <c r="M638" s="3" t="str" cm="1">
        <f t="array" ref="M638">INDEX(Types!A:A,1+BIN2DEC(MID($B638,20,2)))</f>
        <v>Jump</v>
      </c>
      <c r="N638" s="3" t="str" cm="1">
        <f t="array" ref="N638">IF(M638="ALU",INDEX(ALUOps!A:A,1+BIN2DEC(MID($B638,22,5))),"")</f>
        <v/>
      </c>
      <c r="O638" s="3" t="str" cm="1">
        <f t="array" ref="O638">IF(M638="ALU",INDEX(TMP!A:A,1+BIN2DEC(MID($B638,27,2))),"")</f>
        <v/>
      </c>
      <c r="P638" s="6" t="str">
        <f t="shared" si="61"/>
        <v/>
      </c>
      <c r="Q638">
        <f t="shared" si="63"/>
        <v>9</v>
      </c>
      <c r="R638">
        <f t="shared" si="64"/>
        <v>10</v>
      </c>
      <c r="S638" t="str" cm="1">
        <f t="array" ref="S638">IF(M638="Control",INDEX(IC!A:A,1+BIN2DEC(MID($B638,21,4))),"")</f>
        <v/>
      </c>
      <c r="T638" t="str" cm="1">
        <f t="array" ref="T638">IF(M638="Control",INDEX(EC!A:A,1+BIN2DEC(MID($B638,25,3))),"")</f>
        <v/>
      </c>
      <c r="U638" t="str" cm="1">
        <f t="array" ref="U638">IF(M638="Control",INDEX(SR!A:A,1+BIN2DEC(MID($B638,28,2))),"")</f>
        <v/>
      </c>
      <c r="AD638" s="1" t="s">
        <v>609</v>
      </c>
    </row>
    <row r="639" spans="1:30" x14ac:dyDescent="0.25">
      <c r="A639" s="4" t="str">
        <f t="shared" si="62"/>
        <v>27D</v>
      </c>
      <c r="B639" s="2" t="s">
        <v>618</v>
      </c>
      <c r="C639" s="3"/>
      <c r="D639" s="3"/>
      <c r="E639" s="3"/>
      <c r="F639" s="27" t="str" cm="1">
        <f t="array" ref="F639">INDEX(Sources!A:A, 1 + BIN2DEC(LEFT($B639,5)))</f>
        <v>OUT</v>
      </c>
      <c r="G639" s="27" t="str" cm="1">
        <f t="array" ref="G639">INDEX(Dest1!A:A,1+BIN2DEC(MID($B639,6,5)))</f>
        <v>TMPA</v>
      </c>
      <c r="H639" s="27" t="str" cm="1">
        <f t="array" ref="H639">INDEX(Source2!A:A,1+BIN2DEC(MID($B639,11,4)))</f>
        <v>--</v>
      </c>
      <c r="I639" s="23" cm="1">
        <f t="array" ref="I639">INDEX('D2'!A:A,1+BIN2DEC(MID($B639,16,2)))</f>
        <v>1</v>
      </c>
      <c r="J639" s="6">
        <f t="shared" si="55"/>
        <v>1</v>
      </c>
      <c r="K639" s="6">
        <f t="shared" si="51"/>
        <v>0</v>
      </c>
      <c r="L639" s="6">
        <f t="shared" si="52"/>
        <v>0</v>
      </c>
      <c r="M639" s="3" t="str" cm="1">
        <f t="array" ref="M639">INDEX(Types!A:A,1+BIN2DEC(MID($B639,20,2)))</f>
        <v>ALU</v>
      </c>
      <c r="N639" s="3" cm="1">
        <f t="array" ref="N639">IF(M639="ALU",INDEX(ALUOps!A:A,1+BIN2DEC(MID($B639,22,5))),"")</f>
        <v>26</v>
      </c>
      <c r="O639" s="3" cm="1">
        <f t="array" ref="O639">IF(M639="ALU",INDEX(TMP!A:A,1+BIN2DEC(MID($B639,27,2))),"")</f>
        <v>3</v>
      </c>
      <c r="P639" s="6">
        <f t="shared" si="61"/>
        <v>1</v>
      </c>
      <c r="Q639" t="str">
        <f t="shared" si="63"/>
        <v/>
      </c>
      <c r="R639" t="str">
        <f t="shared" si="64"/>
        <v/>
      </c>
      <c r="S639" t="str" cm="1">
        <f t="array" ref="S639">IF(M639="Control",INDEX(IC!A:A,1+BIN2DEC(MID($B639,21,4))),"")</f>
        <v/>
      </c>
      <c r="T639" t="str" cm="1">
        <f t="array" ref="T639">IF(M639="Control",INDEX(EC!A:A,1+BIN2DEC(MID($B639,25,3))),"")</f>
        <v/>
      </c>
      <c r="U639" t="str" cm="1">
        <f t="array" ref="U639">IF(M639="Control",INDEX(SR!A:A,1+BIN2DEC(MID($B639,28,2))),"")</f>
        <v/>
      </c>
    </row>
    <row r="640" spans="1:30" x14ac:dyDescent="0.25">
      <c r="A640" s="4" t="str">
        <f t="shared" si="62"/>
        <v>27E</v>
      </c>
      <c r="B640" s="2" t="s">
        <v>73</v>
      </c>
      <c r="C640" s="3"/>
      <c r="D640" s="3"/>
      <c r="E640" s="3"/>
      <c r="F640" s="27" t="str" cm="1">
        <f t="array" ref="F640">INDEX(Sources!A:A, 1 + BIN2DEC(LEFT($B640,5)))</f>
        <v>SIGMA</v>
      </c>
      <c r="G640" s="27" t="str" cm="1">
        <f t="array" ref="G640">INDEX(Dest1!A:A,1+BIN2DEC(MID($B640,6,5)))</f>
        <v>UNK24</v>
      </c>
      <c r="H640" s="27" t="str" cm="1">
        <f t="array" ref="H640">INDEX(Source2!A:A,1+BIN2DEC(MID($B640,11,4)))</f>
        <v>--</v>
      </c>
      <c r="I640" s="23" cm="1">
        <f t="array" ref="I640">INDEX('D2'!A:A,1+BIN2DEC(MID($B640,16,2)))</f>
        <v>0</v>
      </c>
      <c r="J640" s="6">
        <f t="shared" si="55"/>
        <v>0</v>
      </c>
      <c r="K640" s="6">
        <f t="shared" si="51"/>
        <v>1</v>
      </c>
      <c r="L640" s="6">
        <f t="shared" si="52"/>
        <v>0</v>
      </c>
      <c r="M640" s="3" t="str" cm="1">
        <f t="array" ref="M640">INDEX(Types!A:A,1+BIN2DEC(MID($B640,20,2)))</f>
        <v>Control</v>
      </c>
      <c r="N640" s="3" t="str" cm="1">
        <f t="array" ref="N640">IF(M640="ALU",INDEX(ALUOps!A:A,1+BIN2DEC(MID($B640,22,5))),"")</f>
        <v/>
      </c>
      <c r="O640" s="3" t="str" cm="1">
        <f t="array" ref="O640">IF(M640="ALU",INDEX(TMP!A:A,1+BIN2DEC(MID($B640,27,2))),"")</f>
        <v/>
      </c>
      <c r="P640" s="6" t="str">
        <f t="shared" si="61"/>
        <v/>
      </c>
      <c r="Q640" t="str">
        <f t="shared" si="63"/>
        <v/>
      </c>
      <c r="R640" t="str">
        <f t="shared" si="64"/>
        <v/>
      </c>
      <c r="S640" cm="1">
        <f t="array" ref="S640">IF(M640="Control",INDEX(IC!A:A,1+BIN2DEC(MID($B640,21,4))),"")</f>
        <v>0</v>
      </c>
      <c r="T640" cm="1">
        <f t="array" ref="T640">IF(M640="Control",INDEX(EC!A:A,1+BIN2DEC(MID($B640,25,3))),"")</f>
        <v>0</v>
      </c>
      <c r="U640" cm="1">
        <f t="array" ref="U640">IF(M640="Control",INDEX(SR!A:A,1+BIN2DEC(MID($B640,28,2))),"")</f>
        <v>0</v>
      </c>
    </row>
    <row r="641" spans="1:30" x14ac:dyDescent="0.25">
      <c r="A641" s="4" t="str">
        <f t="shared" si="62"/>
        <v>27F</v>
      </c>
      <c r="B641" s="2" t="s">
        <v>619</v>
      </c>
      <c r="C641" s="3"/>
      <c r="D641" s="3"/>
      <c r="E641" s="3"/>
      <c r="F641" s="27" t="str" cm="1">
        <f t="array" ref="F641">INDEX(Sources!A:A, 1 + BIN2DEC(LEFT($B641,5)))</f>
        <v>LC</v>
      </c>
      <c r="G641" s="27" t="str" cm="1">
        <f t="array" ref="G641">INDEX(Dest1!A:A,1+BIN2DEC(MID($B641,6,5)))</f>
        <v>FLAGS</v>
      </c>
      <c r="H641" s="27" t="str" cm="1">
        <f t="array" ref="H641">INDEX(Source2!A:A,1+BIN2DEC(MID($B641,11,4)))</f>
        <v>--</v>
      </c>
      <c r="I641" s="23" cm="1">
        <f t="array" ref="I641">INDEX('D2'!A:A,1+BIN2DEC(MID($B641,16,2)))</f>
        <v>0</v>
      </c>
      <c r="J641" s="6">
        <f t="shared" si="55"/>
        <v>0</v>
      </c>
      <c r="K641" s="6">
        <f t="shared" si="51"/>
        <v>0</v>
      </c>
      <c r="L641" s="6">
        <f t="shared" si="52"/>
        <v>0</v>
      </c>
      <c r="M641" s="3" t="str" cm="1">
        <f t="array" ref="M641">INDEX(Types!A:A,1+BIN2DEC(MID($B641,20,2)))</f>
        <v>Jump</v>
      </c>
      <c r="N641" s="3" t="str" cm="1">
        <f t="array" ref="N641">IF(M641="ALU",INDEX(ALUOps!A:A,1+BIN2DEC(MID($B641,22,5))),"")</f>
        <v/>
      </c>
      <c r="O641" s="3" t="str" cm="1">
        <f t="array" ref="O641">IF(M641="ALU",INDEX(TMP!A:A,1+BIN2DEC(MID($B641,27,2))),"")</f>
        <v/>
      </c>
      <c r="P641" s="6" t="str">
        <f t="shared" si="61"/>
        <v/>
      </c>
      <c r="Q641">
        <f t="shared" si="63"/>
        <v>9</v>
      </c>
      <c r="R641">
        <f t="shared" si="64"/>
        <v>11</v>
      </c>
      <c r="S641" t="str" cm="1">
        <f t="array" ref="S641">IF(M641="Control",INDEX(IC!A:A,1+BIN2DEC(MID($B641,21,4))),"")</f>
        <v/>
      </c>
      <c r="T641" t="str" cm="1">
        <f t="array" ref="T641">IF(M641="Control",INDEX(EC!A:A,1+BIN2DEC(MID($B641,25,3))),"")</f>
        <v/>
      </c>
      <c r="U641" t="str" cm="1">
        <f t="array" ref="U641">IF(M641="Control",INDEX(SR!A:A,1+BIN2DEC(MID($B641,28,2))),"")</f>
        <v/>
      </c>
    </row>
    <row r="642" spans="1:30" x14ac:dyDescent="0.25">
      <c r="A642" s="4" t="str">
        <f t="shared" si="62"/>
        <v>280</v>
      </c>
      <c r="B642" s="2" t="s">
        <v>39</v>
      </c>
      <c r="C642" s="2" t="s">
        <v>617</v>
      </c>
      <c r="D642" s="2" t="s">
        <v>928</v>
      </c>
      <c r="E642" s="2" t="s">
        <v>488</v>
      </c>
      <c r="F642" s="27" t="str" cm="1">
        <f t="array" ref="F642">INDEX(Sources!A:A, 1 + BIN2DEC(LEFT($B642,5)))</f>
        <v>--</v>
      </c>
      <c r="G642" s="27" t="str" cm="1">
        <f t="array" ref="G642">INDEX(Dest1!A:A,1+BIN2DEC(MID($B642,6,5)))</f>
        <v>--</v>
      </c>
      <c r="H642" s="27" t="str" cm="1">
        <f t="array" ref="H642">INDEX(Source2!A:A,1+BIN2DEC(MID($B642,11,4)))</f>
        <v>--</v>
      </c>
      <c r="I642" s="23" cm="1">
        <f t="array" ref="I642">INDEX('D2'!A:A,1+BIN2DEC(MID($B642,16,2)))</f>
        <v>0</v>
      </c>
      <c r="J642" s="6">
        <f t="shared" si="55"/>
        <v>0</v>
      </c>
      <c r="K642" s="6">
        <f t="shared" si="51"/>
        <v>0</v>
      </c>
      <c r="L642" s="6">
        <f t="shared" si="52"/>
        <v>1</v>
      </c>
      <c r="M642" s="3" t="str" cm="1">
        <f t="array" ref="M642">INDEX(Types!A:A,1+BIN2DEC(MID($B642,20,2)))</f>
        <v>Control</v>
      </c>
      <c r="N642" s="3" t="str" cm="1">
        <f t="array" ref="N642">IF(M642="ALU",INDEX(ALUOps!A:A,1+BIN2DEC(MID($B642,22,5))),"")</f>
        <v/>
      </c>
      <c r="O642" s="3" t="str" cm="1">
        <f t="array" ref="O642">IF(M642="ALU",INDEX(TMP!A:A,1+BIN2DEC(MID($B642,27,2))),"")</f>
        <v/>
      </c>
      <c r="P642" s="6" t="str">
        <f t="shared" ref="P642:P705" si="65">IF(M642="ALU",BIN2DEC(MID($B642,29,1)),"")</f>
        <v/>
      </c>
      <c r="Q642" t="str">
        <f t="shared" si="63"/>
        <v/>
      </c>
      <c r="R642" t="str">
        <f t="shared" si="64"/>
        <v/>
      </c>
      <c r="S642" cm="1">
        <f t="array" ref="S642">IF(M642="Control",INDEX(IC!A:A,1+BIN2DEC(MID($B642,21,4))),"")</f>
        <v>0</v>
      </c>
      <c r="T642" cm="1">
        <f t="array" ref="T642">IF(M642="Control",INDEX(EC!A:A,1+BIN2DEC(MID($B642,25,3))),"")</f>
        <v>0</v>
      </c>
      <c r="U642" cm="1">
        <f t="array" ref="U642">IF(M642="Control",INDEX(SR!A:A,1+BIN2DEC(MID($B642,28,2))),"")</f>
        <v>0</v>
      </c>
      <c r="AD642" s="1" t="s">
        <v>609</v>
      </c>
    </row>
    <row r="643" spans="1:30" x14ac:dyDescent="0.25">
      <c r="A643" s="4" t="str">
        <f t="shared" ref="A643:A706" si="66">DEC2HEX(ROW(A642)-ROW($A$1),3)</f>
        <v>281</v>
      </c>
      <c r="B643" s="2" t="s">
        <v>4</v>
      </c>
      <c r="C643" s="3"/>
      <c r="D643" s="3"/>
      <c r="E643" s="3"/>
      <c r="F643" s="27" t="str" cm="1">
        <f t="array" ref="F643">INDEX(Sources!A:A, 1 + BIN2DEC(LEFT($B643,5)))</f>
        <v>--</v>
      </c>
      <c r="G643" s="27" t="str" cm="1">
        <f t="array" ref="G643">INDEX(Dest1!A:A,1+BIN2DEC(MID($B643,6,5)))</f>
        <v>--</v>
      </c>
      <c r="H643" s="27" t="str" cm="1">
        <f t="array" ref="H643">INDEX(Source2!A:A,1+BIN2DEC(MID($B643,11,4)))</f>
        <v>--</v>
      </c>
      <c r="I643" s="23" cm="1">
        <f t="array" ref="I643">INDEX('D2'!A:A,1+BIN2DEC(MID($B643,16,2)))</f>
        <v>0</v>
      </c>
      <c r="J643" s="6">
        <f t="shared" si="55"/>
        <v>0</v>
      </c>
      <c r="K643" s="6">
        <f t="shared" si="51"/>
        <v>0</v>
      </c>
      <c r="L643" s="6">
        <f t="shared" si="52"/>
        <v>0</v>
      </c>
      <c r="M643" s="3" t="str" cm="1">
        <f t="array" ref="M643">INDEX(Types!A:A,1+BIN2DEC(MID($B643,20,2)))</f>
        <v>Control</v>
      </c>
      <c r="N643" s="3" t="str" cm="1">
        <f t="array" ref="N643">IF(M643="ALU",INDEX(ALUOps!A:A,1+BIN2DEC(MID($B643,22,5))),"")</f>
        <v/>
      </c>
      <c r="O643" s="3" t="str" cm="1">
        <f t="array" ref="O643">IF(M643="ALU",INDEX(TMP!A:A,1+BIN2DEC(MID($B643,27,2))),"")</f>
        <v/>
      </c>
      <c r="P643" s="6" t="str">
        <f t="shared" si="65"/>
        <v/>
      </c>
      <c r="Q643" t="str">
        <f t="shared" ref="Q643:Q706" si="67">IF(M643="Jump",BIN2DEC(MID($B643,22,4)),"")</f>
        <v/>
      </c>
      <c r="R643" t="str">
        <f t="shared" si="64"/>
        <v/>
      </c>
      <c r="S643" cm="1">
        <f t="array" ref="S643">IF(M643="Control",INDEX(IC!A:A,1+BIN2DEC(MID($B643,21,4))),"")</f>
        <v>0</v>
      </c>
      <c r="T643" cm="1">
        <f t="array" ref="T643">IF(M643="Control",INDEX(EC!A:A,1+BIN2DEC(MID($B643,25,3))),"")</f>
        <v>0</v>
      </c>
      <c r="U643" cm="1">
        <f t="array" ref="U643">IF(M643="Control",INDEX(SR!A:A,1+BIN2DEC(MID($B643,28,2))),"")</f>
        <v>0</v>
      </c>
    </row>
    <row r="644" spans="1:30" x14ac:dyDescent="0.25">
      <c r="A644" s="4" t="str">
        <f t="shared" si="66"/>
        <v>282</v>
      </c>
      <c r="B644" s="2" t="s">
        <v>180</v>
      </c>
      <c r="C644" s="3"/>
      <c r="D644" s="3"/>
      <c r="E644" s="3"/>
      <c r="F644" s="27" t="str" cm="1">
        <f t="array" ref="F644">INDEX(Sources!A:A, 1 + BIN2DEC(LEFT($B644,5)))</f>
        <v>OUT</v>
      </c>
      <c r="G644" s="27" t="str" cm="1">
        <f t="array" ref="G644">INDEX(Dest1!A:A,1+BIN2DEC(MID($B644,6,5)))</f>
        <v>TMPB</v>
      </c>
      <c r="H644" s="27" t="str" cm="1">
        <f t="array" ref="H644">INDEX(Source2!A:A,1+BIN2DEC(MID($B644,11,4)))</f>
        <v>--</v>
      </c>
      <c r="I644" s="23" cm="1">
        <f t="array" ref="I644">INDEX('D2'!A:A,1+BIN2DEC(MID($B644,16,2)))</f>
        <v>1</v>
      </c>
      <c r="J644" s="6">
        <f t="shared" si="55"/>
        <v>1</v>
      </c>
      <c r="K644" s="6">
        <f t="shared" si="51"/>
        <v>0</v>
      </c>
      <c r="L644" s="6">
        <f t="shared" si="52"/>
        <v>0</v>
      </c>
      <c r="M644" s="3" t="str" cm="1">
        <f t="array" ref="M644">INDEX(Types!A:A,1+BIN2DEC(MID($B644,20,2)))</f>
        <v>Control</v>
      </c>
      <c r="N644" s="3" t="str" cm="1">
        <f t="array" ref="N644">IF(M644="ALU",INDEX(ALUOps!A:A,1+BIN2DEC(MID($B644,22,5))),"")</f>
        <v/>
      </c>
      <c r="O644" s="3" t="str" cm="1">
        <f t="array" ref="O644">IF(M644="ALU",INDEX(TMP!A:A,1+BIN2DEC(MID($B644,27,2))),"")</f>
        <v/>
      </c>
      <c r="P644" s="6" t="str">
        <f t="shared" si="65"/>
        <v/>
      </c>
      <c r="Q644" t="str">
        <f t="shared" si="67"/>
        <v/>
      </c>
      <c r="R644" t="str">
        <f t="shared" si="64"/>
        <v/>
      </c>
      <c r="S644" cm="1">
        <f t="array" ref="S644">IF(M644="Control",INDEX(IC!A:A,1+BIN2DEC(MID($B644,21,4))),"")</f>
        <v>0</v>
      </c>
      <c r="T644" cm="1">
        <f t="array" ref="T644">IF(M644="Control",INDEX(EC!A:A,1+BIN2DEC(MID($B644,25,3))),"")</f>
        <v>0</v>
      </c>
      <c r="U644" cm="1">
        <f t="array" ref="U644">IF(M644="Control",INDEX(SR!A:A,1+BIN2DEC(MID($B644,28,2))),"")</f>
        <v>0</v>
      </c>
    </row>
    <row r="645" spans="1:30" x14ac:dyDescent="0.25">
      <c r="A645" s="4" t="str">
        <f t="shared" si="66"/>
        <v>283</v>
      </c>
      <c r="B645" s="2" t="s">
        <v>622</v>
      </c>
      <c r="C645" s="3"/>
      <c r="D645" s="3"/>
      <c r="E645" s="3"/>
      <c r="F645" s="27" t="str" cm="1">
        <f t="array" ref="F645">INDEX(Sources!A:A, 1 + BIN2DEC(LEFT($B645,5)))</f>
        <v>REG</v>
      </c>
      <c r="G645" s="27" t="str" cm="1">
        <f t="array" ref="G645">INDEX(Dest1!A:A,1+BIN2DEC(MID($B645,6,5)))</f>
        <v>UNK10</v>
      </c>
      <c r="H645" s="27" t="str" cm="1">
        <f t="array" ref="H645">INDEX(Source2!A:A,1+BIN2DEC(MID($B645,11,4)))</f>
        <v>14</v>
      </c>
      <c r="I645" s="23" cm="1">
        <f t="array" ref="I645">INDEX('D2'!A:A,1+BIN2DEC(MID($B645,16,2)))</f>
        <v>0</v>
      </c>
      <c r="J645" s="6">
        <f t="shared" si="55"/>
        <v>0</v>
      </c>
      <c r="K645" s="6">
        <f t="shared" si="51"/>
        <v>0</v>
      </c>
      <c r="L645" s="6">
        <f t="shared" si="52"/>
        <v>0</v>
      </c>
      <c r="M645" s="3" t="str" cm="1">
        <f t="array" ref="M645">INDEX(Types!A:A,1+BIN2DEC(MID($B645,20,2)))</f>
        <v>Control</v>
      </c>
      <c r="N645" s="3" t="str" cm="1">
        <f t="array" ref="N645">IF(M645="ALU",INDEX(ALUOps!A:A,1+BIN2DEC(MID($B645,22,5))),"")</f>
        <v/>
      </c>
      <c r="O645" s="3" t="str" cm="1">
        <f t="array" ref="O645">IF(M645="ALU",INDEX(TMP!A:A,1+BIN2DEC(MID($B645,27,2))),"")</f>
        <v/>
      </c>
      <c r="P645" s="6" t="str">
        <f t="shared" si="65"/>
        <v/>
      </c>
      <c r="Q645" t="str">
        <f t="shared" si="67"/>
        <v/>
      </c>
      <c r="R645" t="str">
        <f t="shared" si="64"/>
        <v/>
      </c>
      <c r="S645" cm="1">
        <f t="array" ref="S645">IF(M645="Control",INDEX(IC!A:A,1+BIN2DEC(MID($B645,21,4))),"")</f>
        <v>1</v>
      </c>
      <c r="T645" cm="1">
        <f t="array" ref="T645">IF(M645="Control",INDEX(EC!A:A,1+BIN2DEC(MID($B645,25,3))),"")</f>
        <v>7</v>
      </c>
      <c r="U645" cm="1">
        <f t="array" ref="U645">IF(M645="Control",INDEX(SR!A:A,1+BIN2DEC(MID($B645,28,2))),"")</f>
        <v>1</v>
      </c>
    </row>
    <row r="646" spans="1:30" x14ac:dyDescent="0.25">
      <c r="A646" s="4" t="str">
        <f t="shared" si="66"/>
        <v>284</v>
      </c>
      <c r="B646" s="2" t="s">
        <v>623</v>
      </c>
      <c r="C646" s="2" t="s">
        <v>620</v>
      </c>
      <c r="D646" s="2" t="s">
        <v>928</v>
      </c>
      <c r="E646" s="2" t="s">
        <v>462</v>
      </c>
      <c r="F646" s="27" t="str" cm="1">
        <f t="array" ref="F646">INDEX(Sources!A:A, 1 + BIN2DEC(LEFT($B646,5)))</f>
        <v>Q</v>
      </c>
      <c r="G646" s="27" t="str" cm="1">
        <f t="array" ref="G646">INDEX(Dest1!A:A,1+BIN2DEC(MID($B646,6,5)))</f>
        <v>TMPB</v>
      </c>
      <c r="H646" s="27" t="str" cm="1">
        <f t="array" ref="H646">INDEX(Source2!A:A,1+BIN2DEC(MID($B646,11,4)))</f>
        <v>3</v>
      </c>
      <c r="I646" s="23" cm="1">
        <f t="array" ref="I646">INDEX('D2'!A:A,1+BIN2DEC(MID($B646,16,2)))</f>
        <v>0</v>
      </c>
      <c r="J646" s="6">
        <f t="shared" si="55"/>
        <v>0</v>
      </c>
      <c r="K646" s="6">
        <f t="shared" si="51"/>
        <v>0</v>
      </c>
      <c r="L646" s="6">
        <f t="shared" si="52"/>
        <v>0</v>
      </c>
      <c r="M646" s="3" t="str" cm="1">
        <f t="array" ref="M646">INDEX(Types!A:A,1+BIN2DEC(MID($B646,20,2)))</f>
        <v>ALU</v>
      </c>
      <c r="N646" s="3" cm="1">
        <f t="array" ref="N646">IF(M646="ALU",INDEX(ALUOps!A:A,1+BIN2DEC(MID($B646,22,5))),"")</f>
        <v>2</v>
      </c>
      <c r="O646" s="3" cm="1">
        <f t="array" ref="O646">IF(M646="ALU",INDEX(TMP!A:A,1+BIN2DEC(MID($B646,27,2))),"")</f>
        <v>2</v>
      </c>
      <c r="P646" s="6">
        <f t="shared" si="65"/>
        <v>1</v>
      </c>
      <c r="Q646" t="str">
        <f t="shared" si="67"/>
        <v/>
      </c>
      <c r="R646" t="str">
        <f t="shared" si="64"/>
        <v/>
      </c>
      <c r="S646" t="str" cm="1">
        <f t="array" ref="S646">IF(M646="Control",INDEX(IC!A:A,1+BIN2DEC(MID($B646,21,4))),"")</f>
        <v/>
      </c>
      <c r="T646" t="str" cm="1">
        <f t="array" ref="T646">IF(M646="Control",INDEX(EC!A:A,1+BIN2DEC(MID($B646,25,3))),"")</f>
        <v/>
      </c>
      <c r="U646" t="str" cm="1">
        <f t="array" ref="U646">IF(M646="Control",INDEX(SR!A:A,1+BIN2DEC(MID($B646,28,2))),"")</f>
        <v/>
      </c>
      <c r="AD646" s="1" t="s">
        <v>621</v>
      </c>
    </row>
    <row r="647" spans="1:30" x14ac:dyDescent="0.25">
      <c r="A647" s="4" t="str">
        <f t="shared" si="66"/>
        <v>285</v>
      </c>
      <c r="B647" s="2" t="s">
        <v>601</v>
      </c>
      <c r="C647" s="3"/>
      <c r="D647" s="3"/>
      <c r="E647" s="3"/>
      <c r="F647" s="27" t="str" cm="1">
        <f t="array" ref="F647">INDEX(Sources!A:A, 1 + BIN2DEC(LEFT($B647,5)))</f>
        <v>SIGMA</v>
      </c>
      <c r="G647" s="27" t="str" cm="1">
        <f t="array" ref="G647">INDEX(Dest1!A:A,1+BIN2DEC(MID($B647,6,5)))</f>
        <v>SP</v>
      </c>
      <c r="H647" s="27" t="str" cm="1">
        <f t="array" ref="H647">INDEX(Source2!A:A,1+BIN2DEC(MID($B647,11,4)))</f>
        <v>11</v>
      </c>
      <c r="I647" s="23" t="str" cm="1">
        <f t="array" ref="I647">INDEX('D2'!A:A,1+BIN2DEC(MID($B647,16,2)))</f>
        <v>TMPB</v>
      </c>
      <c r="J647" s="6">
        <f t="shared" si="55"/>
        <v>0</v>
      </c>
      <c r="K647" s="6">
        <f t="shared" si="51"/>
        <v>0</v>
      </c>
      <c r="L647" s="6">
        <f t="shared" si="52"/>
        <v>0</v>
      </c>
      <c r="M647" s="3" t="str" cm="1">
        <f t="array" ref="M647">INDEX(Types!A:A,1+BIN2DEC(MID($B647,20,2)))</f>
        <v>Control</v>
      </c>
      <c r="N647" s="3" t="str" cm="1">
        <f t="array" ref="N647">IF(M647="ALU",INDEX(ALUOps!A:A,1+BIN2DEC(MID($B647,22,5))),"")</f>
        <v/>
      </c>
      <c r="O647" s="3" t="str" cm="1">
        <f t="array" ref="O647">IF(M647="ALU",INDEX(TMP!A:A,1+BIN2DEC(MID($B647,27,2))),"")</f>
        <v/>
      </c>
      <c r="P647" s="6" t="str">
        <f t="shared" si="65"/>
        <v/>
      </c>
      <c r="Q647" t="str">
        <f t="shared" si="67"/>
        <v/>
      </c>
      <c r="R647" t="str">
        <f t="shared" ref="R647:R710" si="68">IF(M647="Jump",15-BIN2DEC(MID($B647,26,4)),"")</f>
        <v/>
      </c>
      <c r="S647" cm="1">
        <f t="array" ref="S647">IF(M647="Control",INDEX(IC!A:A,1+BIN2DEC(MID($B647,21,4))),"")</f>
        <v>0</v>
      </c>
      <c r="T647" cm="1">
        <f t="array" ref="T647">IF(M647="Control",INDEX(EC!A:A,1+BIN2DEC(MID($B647,25,3))),"")</f>
        <v>5</v>
      </c>
      <c r="U647" cm="1">
        <f t="array" ref="U647">IF(M647="Control",INDEX(SR!A:A,1+BIN2DEC(MID($B647,28,2))),"")</f>
        <v>1</v>
      </c>
    </row>
    <row r="648" spans="1:30" x14ac:dyDescent="0.25">
      <c r="A648" s="4" t="str">
        <f t="shared" si="66"/>
        <v>286</v>
      </c>
      <c r="B648" s="2" t="s">
        <v>625</v>
      </c>
      <c r="C648" s="3"/>
      <c r="D648" s="3"/>
      <c r="E648" s="3"/>
      <c r="F648" s="27" t="str" cm="1">
        <f t="array" ref="F648">INDEX(Sources!A:A, 1 + BIN2DEC(LEFT($B648,5)))</f>
        <v>TMPB</v>
      </c>
      <c r="G648" s="27" t="str" cm="1">
        <f t="array" ref="G648">INDEX(Dest1!A:A,1+BIN2DEC(MID($B648,6,5)))</f>
        <v>UNK10</v>
      </c>
      <c r="H648" s="27" t="str" cm="1">
        <f t="array" ref="H648">INDEX(Source2!A:A,1+BIN2DEC(MID($B648,11,4)))</f>
        <v>--</v>
      </c>
      <c r="I648" s="23" cm="1">
        <f t="array" ref="I648">INDEX('D2'!A:A,1+BIN2DEC(MID($B648,16,2)))</f>
        <v>0</v>
      </c>
      <c r="J648" s="6">
        <f t="shared" si="55"/>
        <v>0</v>
      </c>
      <c r="K648" s="6">
        <f t="shared" si="51"/>
        <v>0</v>
      </c>
      <c r="L648" s="6">
        <f t="shared" si="52"/>
        <v>1</v>
      </c>
      <c r="M648" s="3" t="str" cm="1">
        <f t="array" ref="M648">INDEX(Types!A:A,1+BIN2DEC(MID($B648,20,2)))</f>
        <v>Control</v>
      </c>
      <c r="N648" s="3" t="str" cm="1">
        <f t="array" ref="N648">IF(M648="ALU",INDEX(ALUOps!A:A,1+BIN2DEC(MID($B648,22,5))),"")</f>
        <v/>
      </c>
      <c r="O648" s="3" t="str" cm="1">
        <f t="array" ref="O648">IF(M648="ALU",INDEX(TMP!A:A,1+BIN2DEC(MID($B648,27,2))),"")</f>
        <v/>
      </c>
      <c r="P648" s="6" t="str">
        <f t="shared" si="65"/>
        <v/>
      </c>
      <c r="Q648" t="str">
        <f t="shared" si="67"/>
        <v/>
      </c>
      <c r="R648" t="str">
        <f t="shared" si="68"/>
        <v/>
      </c>
      <c r="S648" cm="1">
        <f t="array" ref="S648">IF(M648="Control",INDEX(IC!A:A,1+BIN2DEC(MID($B648,21,4))),"")</f>
        <v>0</v>
      </c>
      <c r="T648" cm="1">
        <f t="array" ref="T648">IF(M648="Control",INDEX(EC!A:A,1+BIN2DEC(MID($B648,25,3))),"")</f>
        <v>0</v>
      </c>
      <c r="U648" cm="1">
        <f t="array" ref="U648">IF(M648="Control",INDEX(SR!A:A,1+BIN2DEC(MID($B648,28,2))),"")</f>
        <v>0</v>
      </c>
    </row>
    <row r="649" spans="1:30" x14ac:dyDescent="0.25">
      <c r="A649" s="4" t="str">
        <f t="shared" si="66"/>
        <v>287</v>
      </c>
      <c r="B649" s="2" t="s">
        <v>626</v>
      </c>
      <c r="C649" s="3"/>
      <c r="D649" s="3"/>
      <c r="E649" s="3"/>
      <c r="F649" s="27" t="str" cm="1">
        <f t="array" ref="F649">INDEX(Sources!A:A, 1 + BIN2DEC(LEFT($B649,5)))</f>
        <v>TMPA</v>
      </c>
      <c r="G649" s="27" t="str" cm="1">
        <f t="array" ref="G649">INDEX(Dest1!A:A,1+BIN2DEC(MID($B649,6,5)))</f>
        <v>OUT</v>
      </c>
      <c r="H649" s="27" t="str" cm="1">
        <f t="array" ref="H649">INDEX(Source2!A:A,1+BIN2DEC(MID($B649,11,4)))</f>
        <v>--</v>
      </c>
      <c r="I649" s="23" cm="1">
        <f t="array" ref="I649">INDEX('D2'!A:A,1+BIN2DEC(MID($B649,16,2)))</f>
        <v>0</v>
      </c>
      <c r="J649" s="6">
        <f t="shared" si="55"/>
        <v>0</v>
      </c>
      <c r="K649" s="6">
        <f t="shared" si="51"/>
        <v>0</v>
      </c>
      <c r="L649" s="6">
        <f t="shared" si="52"/>
        <v>0</v>
      </c>
      <c r="M649" s="3" t="str" cm="1">
        <f t="array" ref="M649">INDEX(Types!A:A,1+BIN2DEC(MID($B649,20,2)))</f>
        <v>Control</v>
      </c>
      <c r="N649" s="3" t="str" cm="1">
        <f t="array" ref="N649">IF(M649="ALU",INDEX(ALUOps!A:A,1+BIN2DEC(MID($B649,22,5))),"")</f>
        <v/>
      </c>
      <c r="O649" s="3" t="str" cm="1">
        <f t="array" ref="O649">IF(M649="ALU",INDEX(TMP!A:A,1+BIN2DEC(MID($B649,27,2))),"")</f>
        <v/>
      </c>
      <c r="P649" s="6" t="str">
        <f t="shared" si="65"/>
        <v/>
      </c>
      <c r="Q649" t="str">
        <f t="shared" si="67"/>
        <v/>
      </c>
      <c r="R649" t="str">
        <f t="shared" si="68"/>
        <v/>
      </c>
      <c r="S649" cm="1">
        <f t="array" ref="S649">IF(M649="Control",INDEX(IC!A:A,1+BIN2DEC(MID($B649,21,4))),"")</f>
        <v>0</v>
      </c>
      <c r="T649" cm="1">
        <f t="array" ref="T649">IF(M649="Control",INDEX(EC!A:A,1+BIN2DEC(MID($B649,25,3))),"")</f>
        <v>0</v>
      </c>
      <c r="U649" cm="1">
        <f t="array" ref="U649">IF(M649="Control",INDEX(SR!A:A,1+BIN2DEC(MID($B649,28,2))),"")</f>
        <v>0</v>
      </c>
    </row>
    <row r="650" spans="1:30" x14ac:dyDescent="0.25">
      <c r="A650" s="4" t="str">
        <f t="shared" si="66"/>
        <v>288</v>
      </c>
      <c r="B650" s="2" t="s">
        <v>330</v>
      </c>
      <c r="C650" s="2" t="s">
        <v>624</v>
      </c>
      <c r="D650" s="2" t="s">
        <v>928</v>
      </c>
      <c r="E650" s="2" t="s">
        <v>462</v>
      </c>
      <c r="F650" s="27" t="str" cm="1">
        <f t="array" ref="F650">INDEX(Sources!A:A, 1 + BIN2DEC(LEFT($B650,5)))</f>
        <v>Q</v>
      </c>
      <c r="G650" s="27" t="str" cm="1">
        <f t="array" ref="G650">INDEX(Dest1!A:A,1+BIN2DEC(MID($B650,6,5)))</f>
        <v>UNK11</v>
      </c>
      <c r="H650" s="27" t="str" cm="1">
        <f t="array" ref="H650">INDEX(Source2!A:A,1+BIN2DEC(MID($B650,11,4)))</f>
        <v>3</v>
      </c>
      <c r="I650" s="23" cm="1">
        <f t="array" ref="I650">INDEX('D2'!A:A,1+BIN2DEC(MID($B650,16,2)))</f>
        <v>0</v>
      </c>
      <c r="J650" s="6">
        <f t="shared" si="55"/>
        <v>0</v>
      </c>
      <c r="K650" s="6">
        <f t="shared" si="51"/>
        <v>0</v>
      </c>
      <c r="L650" s="6">
        <f t="shared" si="52"/>
        <v>0</v>
      </c>
      <c r="M650" s="3" t="str" cm="1">
        <f t="array" ref="M650">INDEX(Types!A:A,1+BIN2DEC(MID($B650,20,2)))</f>
        <v>ALU</v>
      </c>
      <c r="N650" s="3" cm="1">
        <f t="array" ref="N650">IF(M650="ALU",INDEX(ALUOps!A:A,1+BIN2DEC(MID($B650,22,5))),"")</f>
        <v>2</v>
      </c>
      <c r="O650" s="3" cm="1">
        <f t="array" ref="O650">IF(M650="ALU",INDEX(TMP!A:A,1+BIN2DEC(MID($B650,27,2))),"")</f>
        <v>2</v>
      </c>
      <c r="P650" s="6">
        <f t="shared" si="65"/>
        <v>1</v>
      </c>
      <c r="Q650" t="str">
        <f t="shared" si="67"/>
        <v/>
      </c>
      <c r="R650" t="str">
        <f t="shared" si="68"/>
        <v/>
      </c>
      <c r="S650" t="str" cm="1">
        <f t="array" ref="S650">IF(M650="Control",INDEX(IC!A:A,1+BIN2DEC(MID($B650,21,4))),"")</f>
        <v/>
      </c>
      <c r="T650" t="str" cm="1">
        <f t="array" ref="T650">IF(M650="Control",INDEX(EC!A:A,1+BIN2DEC(MID($B650,25,3))),"")</f>
        <v/>
      </c>
      <c r="U650" t="str" cm="1">
        <f t="array" ref="U650">IF(M650="Control",INDEX(SR!A:A,1+BIN2DEC(MID($B650,28,2))),"")</f>
        <v/>
      </c>
      <c r="AD650" s="1" t="s">
        <v>538</v>
      </c>
    </row>
    <row r="651" spans="1:30" x14ac:dyDescent="0.25">
      <c r="A651" s="4" t="str">
        <f t="shared" si="66"/>
        <v>289</v>
      </c>
      <c r="B651" s="2" t="s">
        <v>8</v>
      </c>
      <c r="C651" s="3"/>
      <c r="D651" s="3"/>
      <c r="E651" s="3"/>
      <c r="F651" s="27" t="str" cm="1">
        <f t="array" ref="F651">INDEX(Sources!A:A, 1 + BIN2DEC(LEFT($B651,5)))</f>
        <v>Q</v>
      </c>
      <c r="G651" s="27" t="str" cm="1">
        <f t="array" ref="G651">INDEX(Dest1!A:A,1+BIN2DEC(MID($B651,6,5)))</f>
        <v>UNK9</v>
      </c>
      <c r="H651" s="27" t="str" cm="1">
        <f t="array" ref="H651">INDEX(Source2!A:A,1+BIN2DEC(MID($B651,11,4)))</f>
        <v>--</v>
      </c>
      <c r="I651" s="23" cm="1">
        <f t="array" ref="I651">INDEX('D2'!A:A,1+BIN2DEC(MID($B651,16,2)))</f>
        <v>0</v>
      </c>
      <c r="J651" s="6">
        <f t="shared" si="55"/>
        <v>0</v>
      </c>
      <c r="K651" s="6">
        <f t="shared" si="51"/>
        <v>0</v>
      </c>
      <c r="L651" s="6">
        <f t="shared" si="52"/>
        <v>0</v>
      </c>
      <c r="M651" s="3" t="str" cm="1">
        <f t="array" ref="M651">INDEX(Types!A:A,1+BIN2DEC(MID($B651,20,2)))</f>
        <v>Control</v>
      </c>
      <c r="N651" s="3" t="str" cm="1">
        <f t="array" ref="N651">IF(M651="ALU",INDEX(ALUOps!A:A,1+BIN2DEC(MID($B651,22,5))),"")</f>
        <v/>
      </c>
      <c r="O651" s="3" t="str" cm="1">
        <f t="array" ref="O651">IF(M651="ALU",INDEX(TMP!A:A,1+BIN2DEC(MID($B651,27,2))),"")</f>
        <v/>
      </c>
      <c r="P651" s="6" t="str">
        <f t="shared" si="65"/>
        <v/>
      </c>
      <c r="Q651" t="str">
        <f t="shared" si="67"/>
        <v/>
      </c>
      <c r="R651" t="str">
        <f t="shared" si="68"/>
        <v/>
      </c>
      <c r="S651" cm="1">
        <f t="array" ref="S651">IF(M651="Control",INDEX(IC!A:A,1+BIN2DEC(MID($B651,21,4))),"")</f>
        <v>0</v>
      </c>
      <c r="T651" cm="1">
        <f t="array" ref="T651">IF(M651="Control",INDEX(EC!A:A,1+BIN2DEC(MID($B651,25,3))),"")</f>
        <v>0</v>
      </c>
      <c r="U651" cm="1">
        <f t="array" ref="U651">IF(M651="Control",INDEX(SR!A:A,1+BIN2DEC(MID($B651,28,2))),"")</f>
        <v>0</v>
      </c>
    </row>
    <row r="652" spans="1:30" x14ac:dyDescent="0.25">
      <c r="A652" s="4" t="str">
        <f t="shared" si="66"/>
        <v>28A</v>
      </c>
      <c r="B652" s="2" t="s">
        <v>629</v>
      </c>
      <c r="C652" s="3"/>
      <c r="D652" s="3"/>
      <c r="E652" s="3"/>
      <c r="F652" s="27" t="str" cm="1">
        <f t="array" ref="F652">INDEX(Sources!A:A, 1 + BIN2DEC(LEFT($B652,5)))</f>
        <v>TMPB</v>
      </c>
      <c r="G652" s="27" t="str" cm="1">
        <f t="array" ref="G652">INDEX(Dest1!A:A,1+BIN2DEC(MID($B652,6,5)))</f>
        <v>OUT</v>
      </c>
      <c r="H652" s="27" t="str" cm="1">
        <f t="array" ref="H652">INDEX(Source2!A:A,1+BIN2DEC(MID($B652,11,4)))</f>
        <v>11</v>
      </c>
      <c r="I652" s="23" t="str" cm="1">
        <f t="array" ref="I652">INDEX('D2'!A:A,1+BIN2DEC(MID($B652,16,2)))</f>
        <v>TMPB</v>
      </c>
      <c r="J652" s="6">
        <f t="shared" si="55"/>
        <v>0</v>
      </c>
      <c r="K652" s="6">
        <f t="shared" si="51"/>
        <v>0</v>
      </c>
      <c r="L652" s="6">
        <f t="shared" si="52"/>
        <v>0</v>
      </c>
      <c r="M652" s="3" t="str" cm="1">
        <f t="array" ref="M652">INDEX(Types!A:A,1+BIN2DEC(MID($B652,20,2)))</f>
        <v>Control</v>
      </c>
      <c r="N652" s="3" t="str" cm="1">
        <f t="array" ref="N652">IF(M652="ALU",INDEX(ALUOps!A:A,1+BIN2DEC(MID($B652,22,5))),"")</f>
        <v/>
      </c>
      <c r="O652" s="3" t="str" cm="1">
        <f t="array" ref="O652">IF(M652="ALU",INDEX(TMP!A:A,1+BIN2DEC(MID($B652,27,2))),"")</f>
        <v/>
      </c>
      <c r="P652" s="6" t="str">
        <f t="shared" si="65"/>
        <v/>
      </c>
      <c r="Q652" t="str">
        <f t="shared" si="67"/>
        <v/>
      </c>
      <c r="R652" t="str">
        <f t="shared" si="68"/>
        <v/>
      </c>
      <c r="S652" cm="1">
        <f t="array" ref="S652">IF(M652="Control",INDEX(IC!A:A,1+BIN2DEC(MID($B652,21,4))),"")</f>
        <v>0</v>
      </c>
      <c r="T652" cm="1">
        <f t="array" ref="T652">IF(M652="Control",INDEX(EC!A:A,1+BIN2DEC(MID($B652,25,3))),"")</f>
        <v>5</v>
      </c>
      <c r="U652" cm="1">
        <f t="array" ref="U652">IF(M652="Control",INDEX(SR!A:A,1+BIN2DEC(MID($B652,28,2))),"")</f>
        <v>1</v>
      </c>
    </row>
    <row r="653" spans="1:30" x14ac:dyDescent="0.25">
      <c r="A653" s="4" t="str">
        <f t="shared" si="66"/>
        <v>28B</v>
      </c>
      <c r="B653" s="2" t="s">
        <v>21</v>
      </c>
      <c r="C653" s="3"/>
      <c r="D653" s="3"/>
      <c r="E653" s="3"/>
      <c r="F653" s="27" t="str" cm="1">
        <f t="array" ref="F653">INDEX(Sources!A:A, 1 + BIN2DEC(LEFT($B653,5)))</f>
        <v>SIGMA</v>
      </c>
      <c r="G653" s="27" t="str" cm="1">
        <f t="array" ref="G653">INDEX(Dest1!A:A,1+BIN2DEC(MID($B653,6,5)))</f>
        <v>SP</v>
      </c>
      <c r="H653" s="27" t="str" cm="1">
        <f t="array" ref="H653">INDEX(Source2!A:A,1+BIN2DEC(MID($B653,11,4)))</f>
        <v>--</v>
      </c>
      <c r="I653" s="23" cm="1">
        <f t="array" ref="I653">INDEX('D2'!A:A,1+BIN2DEC(MID($B653,16,2)))</f>
        <v>0</v>
      </c>
      <c r="J653" s="6">
        <f t="shared" si="55"/>
        <v>0</v>
      </c>
      <c r="K653" s="6">
        <f t="shared" si="51"/>
        <v>0</v>
      </c>
      <c r="L653" s="6">
        <f t="shared" si="52"/>
        <v>1</v>
      </c>
      <c r="M653" s="3" t="str" cm="1">
        <f t="array" ref="M653">INDEX(Types!A:A,1+BIN2DEC(MID($B653,20,2)))</f>
        <v>Control</v>
      </c>
      <c r="N653" s="3" t="str" cm="1">
        <f t="array" ref="N653">IF(M653="ALU",INDEX(ALUOps!A:A,1+BIN2DEC(MID($B653,22,5))),"")</f>
        <v/>
      </c>
      <c r="O653" s="3" t="str" cm="1">
        <f t="array" ref="O653">IF(M653="ALU",INDEX(TMP!A:A,1+BIN2DEC(MID($B653,27,2))),"")</f>
        <v/>
      </c>
      <c r="P653" s="6" t="str">
        <f t="shared" si="65"/>
        <v/>
      </c>
      <c r="Q653" t="str">
        <f t="shared" si="67"/>
        <v/>
      </c>
      <c r="R653" t="str">
        <f t="shared" si="68"/>
        <v/>
      </c>
      <c r="S653" cm="1">
        <f t="array" ref="S653">IF(M653="Control",INDEX(IC!A:A,1+BIN2DEC(MID($B653,21,4))),"")</f>
        <v>0</v>
      </c>
      <c r="T653" cm="1">
        <f t="array" ref="T653">IF(M653="Control",INDEX(EC!A:A,1+BIN2DEC(MID($B653,25,3))),"")</f>
        <v>0</v>
      </c>
      <c r="U653" cm="1">
        <f t="array" ref="U653">IF(M653="Control",INDEX(SR!A:A,1+BIN2DEC(MID($B653,28,2))),"")</f>
        <v>0</v>
      </c>
    </row>
    <row r="654" spans="1:30" x14ac:dyDescent="0.25">
      <c r="A654" s="4" t="str">
        <f t="shared" si="66"/>
        <v>28C</v>
      </c>
      <c r="B654" s="2" t="s">
        <v>326</v>
      </c>
      <c r="C654" s="2" t="s">
        <v>627</v>
      </c>
      <c r="D654" s="2" t="s">
        <v>928</v>
      </c>
      <c r="E654" s="2" t="s">
        <v>462</v>
      </c>
      <c r="F654" s="27" t="str" cm="1">
        <f t="array" ref="F654">INDEX(Sources!A:A, 1 + BIN2DEC(LEFT($B654,5)))</f>
        <v>Q</v>
      </c>
      <c r="G654" s="27" t="str" cm="1">
        <f t="array" ref="G654">INDEX(Dest1!A:A,1+BIN2DEC(MID($B654,6,5)))</f>
        <v>UNK11</v>
      </c>
      <c r="H654" s="27" t="str" cm="1">
        <f t="array" ref="H654">INDEX(Source2!A:A,1+BIN2DEC(MID($B654,11,4)))</f>
        <v>--</v>
      </c>
      <c r="I654" s="23" cm="1">
        <f t="array" ref="I654">INDEX('D2'!A:A,1+BIN2DEC(MID($B654,16,2)))</f>
        <v>0</v>
      </c>
      <c r="J654" s="6">
        <f t="shared" si="55"/>
        <v>0</v>
      </c>
      <c r="K654" s="6">
        <f t="shared" si="51"/>
        <v>0</v>
      </c>
      <c r="L654" s="6">
        <f t="shared" si="52"/>
        <v>0</v>
      </c>
      <c r="M654" s="3" t="str" cm="1">
        <f t="array" ref="M654">INDEX(Types!A:A,1+BIN2DEC(MID($B654,20,2)))</f>
        <v>ALU</v>
      </c>
      <c r="N654" s="3" cm="1">
        <f t="array" ref="N654">IF(M654="ALU",INDEX(ALUOps!A:A,1+BIN2DEC(MID($B654,22,5))),"")</f>
        <v>0</v>
      </c>
      <c r="O654" s="3" cm="1">
        <f t="array" ref="O654">IF(M654="ALU",INDEX(TMP!A:A,1+BIN2DEC(MID($B654,27,2))),"")</f>
        <v>3</v>
      </c>
      <c r="P654" s="6">
        <f t="shared" si="65"/>
        <v>1</v>
      </c>
      <c r="Q654" t="str">
        <f t="shared" si="67"/>
        <v/>
      </c>
      <c r="R654" t="str">
        <f t="shared" si="68"/>
        <v/>
      </c>
      <c r="S654" t="str" cm="1">
        <f t="array" ref="S654">IF(M654="Control",INDEX(IC!A:A,1+BIN2DEC(MID($B654,21,4))),"")</f>
        <v/>
      </c>
      <c r="T654" t="str" cm="1">
        <f t="array" ref="T654">IF(M654="Control",INDEX(EC!A:A,1+BIN2DEC(MID($B654,25,3))),"")</f>
        <v/>
      </c>
      <c r="U654" t="str" cm="1">
        <f t="array" ref="U654">IF(M654="Control",INDEX(SR!A:A,1+BIN2DEC(MID($B654,28,2))),"")</f>
        <v/>
      </c>
      <c r="AD654" s="1" t="s">
        <v>628</v>
      </c>
    </row>
    <row r="655" spans="1:30" x14ac:dyDescent="0.25">
      <c r="A655" s="4" t="str">
        <f t="shared" si="66"/>
        <v>28D</v>
      </c>
      <c r="B655" s="2" t="s">
        <v>68</v>
      </c>
      <c r="C655" s="3"/>
      <c r="D655" s="3"/>
      <c r="E655" s="3"/>
      <c r="F655" s="27" t="str" cm="1">
        <f t="array" ref="F655">INDEX(Sources!A:A, 1 + BIN2DEC(LEFT($B655,5)))</f>
        <v>OPR</v>
      </c>
      <c r="G655" s="27" t="str" cm="1">
        <f t="array" ref="G655">INDEX(Dest1!A:A,1+BIN2DEC(MID($B655,6,5)))</f>
        <v>TMPA</v>
      </c>
      <c r="H655" s="27" t="str" cm="1">
        <f t="array" ref="H655">INDEX(Source2!A:A,1+BIN2DEC(MID($B655,11,4)))</f>
        <v>--</v>
      </c>
      <c r="I655" s="23" cm="1">
        <f t="array" ref="I655">INDEX('D2'!A:A,1+BIN2DEC(MID($B655,16,2)))</f>
        <v>0</v>
      </c>
      <c r="J655" s="6">
        <f t="shared" si="55"/>
        <v>0</v>
      </c>
      <c r="K655" s="6">
        <f t="shared" si="51"/>
        <v>0</v>
      </c>
      <c r="L655" s="6">
        <f t="shared" si="52"/>
        <v>0</v>
      </c>
      <c r="M655" s="3" t="str" cm="1">
        <f t="array" ref="M655">INDEX(Types!A:A,1+BIN2DEC(MID($B655,20,2)))</f>
        <v>Control</v>
      </c>
      <c r="N655" s="3" t="str" cm="1">
        <f t="array" ref="N655">IF(M655="ALU",INDEX(ALUOps!A:A,1+BIN2DEC(MID($B655,22,5))),"")</f>
        <v/>
      </c>
      <c r="O655" s="3" t="str" cm="1">
        <f t="array" ref="O655">IF(M655="ALU",INDEX(TMP!A:A,1+BIN2DEC(MID($B655,27,2))),"")</f>
        <v/>
      </c>
      <c r="P655" s="6" t="str">
        <f t="shared" si="65"/>
        <v/>
      </c>
      <c r="Q655" t="str">
        <f t="shared" si="67"/>
        <v/>
      </c>
      <c r="R655" t="str">
        <f t="shared" si="68"/>
        <v/>
      </c>
      <c r="S655" cm="1">
        <f t="array" ref="S655">IF(M655="Control",INDEX(IC!A:A,1+BIN2DEC(MID($B655,21,4))),"")</f>
        <v>0</v>
      </c>
      <c r="T655" cm="1">
        <f t="array" ref="T655">IF(M655="Control",INDEX(EC!A:A,1+BIN2DEC(MID($B655,25,3))),"")</f>
        <v>0</v>
      </c>
      <c r="U655" cm="1">
        <f t="array" ref="U655">IF(M655="Control",INDEX(SR!A:A,1+BIN2DEC(MID($B655,28,2))),"")</f>
        <v>0</v>
      </c>
    </row>
    <row r="656" spans="1:30" x14ac:dyDescent="0.25">
      <c r="A656" s="4" t="str">
        <f t="shared" si="66"/>
        <v>28E</v>
      </c>
      <c r="B656" s="2" t="s">
        <v>276</v>
      </c>
      <c r="C656" s="3"/>
      <c r="D656" s="3"/>
      <c r="E656" s="3"/>
      <c r="F656" s="27" t="str" cm="1">
        <f t="array" ref="F656">INDEX(Sources!A:A, 1 + BIN2DEC(LEFT($B656,5)))</f>
        <v>TMPB</v>
      </c>
      <c r="G656" s="27" t="str" cm="1">
        <f t="array" ref="G656">INDEX(Dest1!A:A,1+BIN2DEC(MID($B656,6,5)))</f>
        <v>LC</v>
      </c>
      <c r="H656" s="27" t="str" cm="1">
        <f t="array" ref="H656">INDEX(Source2!A:A,1+BIN2DEC(MID($B656,11,4)))</f>
        <v>11</v>
      </c>
      <c r="I656" s="23" cm="1">
        <f t="array" ref="I656">INDEX('D2'!A:A,1+BIN2DEC(MID($B656,16,2)))</f>
        <v>0</v>
      </c>
      <c r="J656" s="6">
        <f t="shared" si="55"/>
        <v>0</v>
      </c>
      <c r="K656" s="6">
        <f t="shared" si="51"/>
        <v>0</v>
      </c>
      <c r="L656" s="6">
        <f t="shared" si="52"/>
        <v>0</v>
      </c>
      <c r="M656" s="3" t="str" cm="1">
        <f t="array" ref="M656">INDEX(Types!A:A,1+BIN2DEC(MID($B656,20,2)))</f>
        <v>ALU</v>
      </c>
      <c r="N656" s="3" cm="1">
        <f t="array" ref="N656">IF(M656="ALU",INDEX(ALUOps!A:A,1+BIN2DEC(MID($B656,22,5))),"")</f>
        <v>0</v>
      </c>
      <c r="O656" s="3" cm="1">
        <f t="array" ref="O656">IF(M656="ALU",INDEX(TMP!A:A,1+BIN2DEC(MID($B656,27,2))),"")</f>
        <v>2</v>
      </c>
      <c r="P656" s="6">
        <f t="shared" si="65"/>
        <v>1</v>
      </c>
      <c r="Q656" t="str">
        <f t="shared" si="67"/>
        <v/>
      </c>
      <c r="R656" t="str">
        <f t="shared" si="68"/>
        <v/>
      </c>
      <c r="S656" t="str" cm="1">
        <f t="array" ref="S656">IF(M656="Control",INDEX(IC!A:A,1+BIN2DEC(MID($B656,21,4))),"")</f>
        <v/>
      </c>
      <c r="T656" t="str" cm="1">
        <f t="array" ref="T656">IF(M656="Control",INDEX(EC!A:A,1+BIN2DEC(MID($B656,25,3))),"")</f>
        <v/>
      </c>
      <c r="U656" t="str" cm="1">
        <f t="array" ref="U656">IF(M656="Control",INDEX(SR!A:A,1+BIN2DEC(MID($B656,28,2))),"")</f>
        <v/>
      </c>
    </row>
    <row r="657" spans="1:30" x14ac:dyDescent="0.25">
      <c r="A657" s="4" t="str">
        <f t="shared" si="66"/>
        <v>28F</v>
      </c>
      <c r="B657" s="2" t="s">
        <v>277</v>
      </c>
      <c r="C657" s="3"/>
      <c r="D657" s="3"/>
      <c r="E657" s="3"/>
      <c r="F657" s="27" t="str" cm="1">
        <f t="array" ref="F657">INDEX(Sources!A:A, 1 + BIN2DEC(LEFT($B657,5)))</f>
        <v>--</v>
      </c>
      <c r="G657" s="27" t="str" cm="1">
        <f t="array" ref="G657">INDEX(Dest1!A:A,1+BIN2DEC(MID($B657,6,5)))</f>
        <v>--</v>
      </c>
      <c r="H657" s="27" t="str" cm="1">
        <f t="array" ref="H657">INDEX(Source2!A:A,1+BIN2DEC(MID($B657,11,4)))</f>
        <v>--</v>
      </c>
      <c r="I657" s="23" cm="1">
        <f t="array" ref="I657">INDEX('D2'!A:A,1+BIN2DEC(MID($B657,16,2)))</f>
        <v>0</v>
      </c>
      <c r="J657" s="6">
        <f t="shared" si="55"/>
        <v>0</v>
      </c>
      <c r="K657" s="6">
        <f t="shared" si="51"/>
        <v>0</v>
      </c>
      <c r="L657" s="6">
        <f t="shared" si="52"/>
        <v>0</v>
      </c>
      <c r="M657" s="3" t="str" cm="1">
        <f t="array" ref="M657">INDEX(Types!A:A,1+BIN2DEC(MID($B657,20,2)))</f>
        <v>Control</v>
      </c>
      <c r="N657" s="3" t="str" cm="1">
        <f t="array" ref="N657">IF(M657="ALU",INDEX(ALUOps!A:A,1+BIN2DEC(MID($B657,22,5))),"")</f>
        <v/>
      </c>
      <c r="O657" s="3" t="str" cm="1">
        <f t="array" ref="O657">IF(M657="ALU",INDEX(TMP!A:A,1+BIN2DEC(MID($B657,27,2))),"")</f>
        <v/>
      </c>
      <c r="P657" s="6" t="str">
        <f t="shared" si="65"/>
        <v/>
      </c>
      <c r="Q657" t="str">
        <f t="shared" si="67"/>
        <v/>
      </c>
      <c r="R657" t="str">
        <f t="shared" si="68"/>
        <v/>
      </c>
      <c r="S657" cm="1">
        <f t="array" ref="S657">IF(M657="Control",INDEX(IC!A:A,1+BIN2DEC(MID($B657,21,4))),"")</f>
        <v>1</v>
      </c>
      <c r="T657" cm="1">
        <f t="array" ref="T657">IF(M657="Control",INDEX(EC!A:A,1+BIN2DEC(MID($B657,25,3))),"")</f>
        <v>5</v>
      </c>
      <c r="U657" cm="1">
        <f t="array" ref="U657">IF(M657="Control",INDEX(SR!A:A,1+BIN2DEC(MID($B657,28,2))),"")</f>
        <v>2</v>
      </c>
    </row>
    <row r="658" spans="1:30" x14ac:dyDescent="0.25">
      <c r="A658" s="4" t="str">
        <f t="shared" si="66"/>
        <v>290</v>
      </c>
      <c r="B658" s="2" t="s">
        <v>63</v>
      </c>
      <c r="C658" s="2" t="s">
        <v>630</v>
      </c>
      <c r="D658" s="2" t="s">
        <v>928</v>
      </c>
      <c r="E658" s="2" t="s">
        <v>462</v>
      </c>
      <c r="F658" s="27" t="str" cm="1">
        <f t="array" ref="F658">INDEX(Sources!A:A, 1 + BIN2DEC(LEFT($B658,5)))</f>
        <v>Q</v>
      </c>
      <c r="G658" s="27" t="str" cm="1">
        <f t="array" ref="G658">INDEX(Dest1!A:A,1+BIN2DEC(MID($B658,6,5)))</f>
        <v>UNK10</v>
      </c>
      <c r="H658" s="27" t="str" cm="1">
        <f t="array" ref="H658">INDEX(Source2!A:A,1+BIN2DEC(MID($B658,11,4)))</f>
        <v>--</v>
      </c>
      <c r="I658" s="23" cm="1">
        <f t="array" ref="I658">INDEX('D2'!A:A,1+BIN2DEC(MID($B658,16,2)))</f>
        <v>0</v>
      </c>
      <c r="J658" s="6">
        <f t="shared" si="55"/>
        <v>0</v>
      </c>
      <c r="K658" s="6">
        <f t="shared" si="51"/>
        <v>0</v>
      </c>
      <c r="L658" s="6">
        <f t="shared" si="52"/>
        <v>0</v>
      </c>
      <c r="M658" s="3" t="str" cm="1">
        <f t="array" ref="M658">INDEX(Types!A:A,1+BIN2DEC(MID($B658,20,2)))</f>
        <v>Jump</v>
      </c>
      <c r="N658" s="3" t="str" cm="1">
        <f t="array" ref="N658">IF(M658="ALU",INDEX(ALUOps!A:A,1+BIN2DEC(MID($B658,22,5))),"")</f>
        <v/>
      </c>
      <c r="O658" s="3" t="str" cm="1">
        <f t="array" ref="O658">IF(M658="ALU",INDEX(TMP!A:A,1+BIN2DEC(MID($B658,27,2))),"")</f>
        <v/>
      </c>
      <c r="P658" s="6" t="str">
        <f t="shared" si="65"/>
        <v/>
      </c>
      <c r="Q658">
        <f t="shared" si="67"/>
        <v>8</v>
      </c>
      <c r="R658">
        <f t="shared" si="68"/>
        <v>2</v>
      </c>
      <c r="S658" t="str" cm="1">
        <f t="array" ref="S658">IF(M658="Control",INDEX(IC!A:A,1+BIN2DEC(MID($B658,21,4))),"")</f>
        <v/>
      </c>
      <c r="T658" t="str" cm="1">
        <f t="array" ref="T658">IF(M658="Control",INDEX(EC!A:A,1+BIN2DEC(MID($B658,25,3))),"")</f>
        <v/>
      </c>
      <c r="U658" t="str" cm="1">
        <f t="array" ref="U658">IF(M658="Control",INDEX(SR!A:A,1+BIN2DEC(MID($B658,28,2))),"")</f>
        <v/>
      </c>
      <c r="AD658" s="1" t="s">
        <v>631</v>
      </c>
    </row>
    <row r="659" spans="1:30" x14ac:dyDescent="0.25">
      <c r="A659" s="4" t="str">
        <f t="shared" si="66"/>
        <v>291</v>
      </c>
      <c r="B659" s="2" t="s">
        <v>66</v>
      </c>
      <c r="C659" s="3"/>
      <c r="D659" s="3"/>
      <c r="E659" s="3"/>
      <c r="F659" s="27" t="str" cm="1">
        <f t="array" ref="F659">INDEX(Sources!A:A, 1 + BIN2DEC(LEFT($B659,5)))</f>
        <v>Q</v>
      </c>
      <c r="G659" s="27" t="str" cm="1">
        <f t="array" ref="G659">INDEX(Dest1!A:A,1+BIN2DEC(MID($B659,6,5)))</f>
        <v>UNK8</v>
      </c>
      <c r="H659" s="27" t="str" cm="1">
        <f t="array" ref="H659">INDEX(Source2!A:A,1+BIN2DEC(MID($B659,11,4)))</f>
        <v>--</v>
      </c>
      <c r="I659" s="23" cm="1">
        <f t="array" ref="I659">INDEX('D2'!A:A,1+BIN2DEC(MID($B659,16,2)))</f>
        <v>0</v>
      </c>
      <c r="J659" s="6">
        <f t="shared" si="55"/>
        <v>0</v>
      </c>
      <c r="K659" s="6">
        <f t="shared" si="51"/>
        <v>0</v>
      </c>
      <c r="L659" s="6">
        <f t="shared" si="52"/>
        <v>0</v>
      </c>
      <c r="M659" s="3" t="str" cm="1">
        <f t="array" ref="M659">INDEX(Types!A:A,1+BIN2DEC(MID($B659,20,2)))</f>
        <v>Control</v>
      </c>
      <c r="N659" s="3" t="str" cm="1">
        <f t="array" ref="N659">IF(M659="ALU",INDEX(ALUOps!A:A,1+BIN2DEC(MID($B659,22,5))),"")</f>
        <v/>
      </c>
      <c r="O659" s="3" t="str" cm="1">
        <f t="array" ref="O659">IF(M659="ALU",INDEX(TMP!A:A,1+BIN2DEC(MID($B659,27,2))),"")</f>
        <v/>
      </c>
      <c r="P659" s="6" t="str">
        <f t="shared" si="65"/>
        <v/>
      </c>
      <c r="Q659" t="str">
        <f t="shared" si="67"/>
        <v/>
      </c>
      <c r="R659" t="str">
        <f t="shared" si="68"/>
        <v/>
      </c>
      <c r="S659" cm="1">
        <f t="array" ref="S659">IF(M659="Control",INDEX(IC!A:A,1+BIN2DEC(MID($B659,21,4))),"")</f>
        <v>0</v>
      </c>
      <c r="T659" cm="1">
        <f t="array" ref="T659">IF(M659="Control",INDEX(EC!A:A,1+BIN2DEC(MID($B659,25,3))),"")</f>
        <v>0</v>
      </c>
      <c r="U659" cm="1">
        <f t="array" ref="U659">IF(M659="Control",INDEX(SR!A:A,1+BIN2DEC(MID($B659,28,2))),"")</f>
        <v>0</v>
      </c>
    </row>
    <row r="660" spans="1:30" x14ac:dyDescent="0.25">
      <c r="A660" s="4" t="str">
        <f t="shared" si="66"/>
        <v>292</v>
      </c>
      <c r="B660" s="2" t="s">
        <v>634</v>
      </c>
      <c r="C660" s="3"/>
      <c r="D660" s="3"/>
      <c r="E660" s="3"/>
      <c r="F660" s="27" t="str" cm="1">
        <f t="array" ref="F660">INDEX(Sources!A:A, 1 + BIN2DEC(LEFT($B660,5)))</f>
        <v>OPR</v>
      </c>
      <c r="G660" s="27" t="str" cm="1">
        <f t="array" ref="G660">INDEX(Dest1!A:A,1+BIN2DEC(MID($B660,6,5)))</f>
        <v>TMPB</v>
      </c>
      <c r="H660" s="27" t="str" cm="1">
        <f t="array" ref="H660">INDEX(Source2!A:A,1+BIN2DEC(MID($B660,11,4)))</f>
        <v>--</v>
      </c>
      <c r="I660" s="23" cm="1">
        <f t="array" ref="I660">INDEX('D2'!A:A,1+BIN2DEC(MID($B660,16,2)))</f>
        <v>0</v>
      </c>
      <c r="J660" s="6">
        <f t="shared" si="55"/>
        <v>0</v>
      </c>
      <c r="K660" s="6">
        <f t="shared" si="51"/>
        <v>0</v>
      </c>
      <c r="L660" s="6">
        <f t="shared" si="52"/>
        <v>0</v>
      </c>
      <c r="M660" s="3" t="str" cm="1">
        <f t="array" ref="M660">INDEX(Types!A:A,1+BIN2DEC(MID($B660,20,2)))</f>
        <v>ALU</v>
      </c>
      <c r="N660" s="3" t="str" cm="1">
        <f t="array" ref="N660">IF(M660="ALU",INDEX(ALUOps!A:A,1+BIN2DEC(MID($B660,22,5))),"")</f>
        <v>ADJ2</v>
      </c>
      <c r="O660" s="3" cm="1">
        <f t="array" ref="O660">IF(M660="ALU",INDEX(TMP!A:A,1+BIN2DEC(MID($B660,27,2))),"")</f>
        <v>2</v>
      </c>
      <c r="P660" s="6">
        <f t="shared" si="65"/>
        <v>1</v>
      </c>
      <c r="Q660" t="str">
        <f t="shared" si="67"/>
        <v/>
      </c>
      <c r="R660" t="str">
        <f t="shared" si="68"/>
        <v/>
      </c>
      <c r="S660" t="str" cm="1">
        <f t="array" ref="S660">IF(M660="Control",INDEX(IC!A:A,1+BIN2DEC(MID($B660,21,4))),"")</f>
        <v/>
      </c>
      <c r="T660" t="str" cm="1">
        <f t="array" ref="T660">IF(M660="Control",INDEX(EC!A:A,1+BIN2DEC(MID($B660,25,3))),"")</f>
        <v/>
      </c>
      <c r="U660" t="str" cm="1">
        <f t="array" ref="U660">IF(M660="Control",INDEX(SR!A:A,1+BIN2DEC(MID($B660,28,2))),"")</f>
        <v/>
      </c>
    </row>
    <row r="661" spans="1:30" x14ac:dyDescent="0.25">
      <c r="A661" s="4" t="str">
        <f t="shared" si="66"/>
        <v>293</v>
      </c>
      <c r="B661" s="2" t="s">
        <v>635</v>
      </c>
      <c r="C661" s="3"/>
      <c r="D661" s="3"/>
      <c r="E661" s="3"/>
      <c r="F661" s="27" t="str" cm="1">
        <f t="array" ref="F661">INDEX(Sources!A:A, 1 + BIN2DEC(LEFT($B661,5)))</f>
        <v>--</v>
      </c>
      <c r="G661" s="27" t="str" cm="1">
        <f t="array" ref="G661">INDEX(Dest1!A:A,1+BIN2DEC(MID($B661,6,5)))</f>
        <v>--</v>
      </c>
      <c r="H661" s="27" t="str" cm="1">
        <f t="array" ref="H661">INDEX(Source2!A:A,1+BIN2DEC(MID($B661,11,4)))</f>
        <v>--</v>
      </c>
      <c r="I661" s="23" cm="1">
        <f t="array" ref="I661">INDEX('D2'!A:A,1+BIN2DEC(MID($B661,16,2)))</f>
        <v>0</v>
      </c>
      <c r="J661" s="6">
        <f t="shared" si="55"/>
        <v>0</v>
      </c>
      <c r="K661" s="6">
        <f t="shared" si="51"/>
        <v>0</v>
      </c>
      <c r="L661" s="6">
        <f t="shared" si="52"/>
        <v>0</v>
      </c>
      <c r="M661" s="3" t="str" cm="1">
        <f t="array" ref="M661">INDEX(Types!A:A,1+BIN2DEC(MID($B661,20,2)))</f>
        <v>Control</v>
      </c>
      <c r="N661" s="3" t="str" cm="1">
        <f t="array" ref="N661">IF(M661="ALU",INDEX(ALUOps!A:A,1+BIN2DEC(MID($B661,22,5))),"")</f>
        <v/>
      </c>
      <c r="O661" s="3" t="str" cm="1">
        <f t="array" ref="O661">IF(M661="ALU",INDEX(TMP!A:A,1+BIN2DEC(MID($B661,27,2))),"")</f>
        <v/>
      </c>
      <c r="P661" s="6" t="str">
        <f t="shared" si="65"/>
        <v/>
      </c>
      <c r="Q661" t="str">
        <f t="shared" si="67"/>
        <v/>
      </c>
      <c r="R661" t="str">
        <f t="shared" si="68"/>
        <v/>
      </c>
      <c r="S661" cm="1">
        <f t="array" ref="S661">IF(M661="Control",INDEX(IC!A:A,1+BIN2DEC(MID($B661,21,4))),"")</f>
        <v>1</v>
      </c>
      <c r="T661" cm="1">
        <f t="array" ref="T661">IF(M661="Control",INDEX(EC!A:A,1+BIN2DEC(MID($B661,25,3))),"")</f>
        <v>6</v>
      </c>
      <c r="U661" cm="1">
        <f t="array" ref="U661">IF(M661="Control",INDEX(SR!A:A,1+BIN2DEC(MID($B661,28,2))),"")</f>
        <v>0</v>
      </c>
    </row>
    <row r="662" spans="1:30" x14ac:dyDescent="0.25">
      <c r="A662" s="4" t="str">
        <f t="shared" si="66"/>
        <v>294</v>
      </c>
      <c r="B662" s="2" t="s">
        <v>349</v>
      </c>
      <c r="C662" s="2" t="s">
        <v>632</v>
      </c>
      <c r="D662" s="2" t="s">
        <v>930</v>
      </c>
      <c r="E662" s="2" t="s">
        <v>462</v>
      </c>
      <c r="F662" s="27" t="str" cm="1">
        <f t="array" ref="F662">INDEX(Sources!A:A, 1 + BIN2DEC(LEFT($B662,5)))</f>
        <v>UNK5</v>
      </c>
      <c r="G662" s="27" t="str" cm="1">
        <f t="array" ref="G662">INDEX(Dest1!A:A,1+BIN2DEC(MID($B662,6,5)))</f>
        <v>UNK26</v>
      </c>
      <c r="H662" s="27" t="str" cm="1">
        <f t="array" ref="H662">INDEX(Source2!A:A,1+BIN2DEC(MID($B662,11,4)))</f>
        <v>--</v>
      </c>
      <c r="I662" s="23" cm="1">
        <f t="array" ref="I662">INDEX('D2'!A:A,1+BIN2DEC(MID($B662,16,2)))</f>
        <v>0</v>
      </c>
      <c r="J662" s="6">
        <f t="shared" si="55"/>
        <v>0</v>
      </c>
      <c r="K662" s="6">
        <f t="shared" si="51"/>
        <v>0</v>
      </c>
      <c r="L662" s="6">
        <f t="shared" si="52"/>
        <v>0</v>
      </c>
      <c r="M662" s="3" t="str" cm="1">
        <f t="array" ref="M662">INDEX(Types!A:A,1+BIN2DEC(MID($B662,20,2)))</f>
        <v>Control</v>
      </c>
      <c r="N662" s="3" t="str" cm="1">
        <f t="array" ref="N662">IF(M662="ALU",INDEX(ALUOps!A:A,1+BIN2DEC(MID($B662,22,5))),"")</f>
        <v/>
      </c>
      <c r="O662" s="3" t="str" cm="1">
        <f t="array" ref="O662">IF(M662="ALU",INDEX(TMP!A:A,1+BIN2DEC(MID($B662,27,2))),"")</f>
        <v/>
      </c>
      <c r="P662" s="6" t="str">
        <f t="shared" si="65"/>
        <v/>
      </c>
      <c r="Q662" t="str">
        <f t="shared" si="67"/>
        <v/>
      </c>
      <c r="R662" t="str">
        <f t="shared" si="68"/>
        <v/>
      </c>
      <c r="S662" cm="1">
        <f t="array" ref="S662">IF(M662="Control",INDEX(IC!A:A,1+BIN2DEC(MID($B662,21,4))),"")</f>
        <v>0</v>
      </c>
      <c r="T662" cm="1">
        <f t="array" ref="T662">IF(M662="Control",INDEX(EC!A:A,1+BIN2DEC(MID($B662,25,3))),"")</f>
        <v>6</v>
      </c>
      <c r="U662" cm="1">
        <f t="array" ref="U662">IF(M662="Control",INDEX(SR!A:A,1+BIN2DEC(MID($B662,28,2))),"")</f>
        <v>2</v>
      </c>
      <c r="AD662" s="1" t="s">
        <v>633</v>
      </c>
    </row>
    <row r="663" spans="1:30" x14ac:dyDescent="0.25">
      <c r="A663" s="4" t="str">
        <f t="shared" si="66"/>
        <v>295</v>
      </c>
      <c r="B663" s="2" t="s">
        <v>637</v>
      </c>
      <c r="C663" s="3"/>
      <c r="D663" s="3"/>
      <c r="E663" s="3"/>
      <c r="F663" s="27" t="str" cm="1">
        <f t="array" ref="F663">INDEX(Sources!A:A, 1 + BIN2DEC(LEFT($B663,5)))</f>
        <v>UNK23</v>
      </c>
      <c r="G663" s="27" t="str" cm="1">
        <f t="array" ref="G663">INDEX(Dest1!A:A,1+BIN2DEC(MID($B663,6,5)))</f>
        <v>TMPB</v>
      </c>
      <c r="H663" s="27" t="str" cm="1">
        <f t="array" ref="H663">INDEX(Source2!A:A,1+BIN2DEC(MID($B663,11,4)))</f>
        <v>--</v>
      </c>
      <c r="I663" s="23" cm="1">
        <f t="array" ref="I663">INDEX('D2'!A:A,1+BIN2DEC(MID($B663,16,2)))</f>
        <v>0</v>
      </c>
      <c r="J663" s="6">
        <f t="shared" si="55"/>
        <v>0</v>
      </c>
      <c r="K663" s="6">
        <f t="shared" si="51"/>
        <v>0</v>
      </c>
      <c r="L663" s="6">
        <f t="shared" si="52"/>
        <v>0</v>
      </c>
      <c r="M663" s="3" t="str" cm="1">
        <f t="array" ref="M663">INDEX(Types!A:A,1+BIN2DEC(MID($B663,20,2)))</f>
        <v>Control</v>
      </c>
      <c r="N663" s="3" t="str" cm="1">
        <f t="array" ref="N663">IF(M663="ALU",INDEX(ALUOps!A:A,1+BIN2DEC(MID($B663,22,5))),"")</f>
        <v/>
      </c>
      <c r="O663" s="3" t="str" cm="1">
        <f t="array" ref="O663">IF(M663="ALU",INDEX(TMP!A:A,1+BIN2DEC(MID($B663,27,2))),"")</f>
        <v/>
      </c>
      <c r="P663" s="6" t="str">
        <f t="shared" si="65"/>
        <v/>
      </c>
      <c r="Q663" t="str">
        <f t="shared" si="67"/>
        <v/>
      </c>
      <c r="R663" t="str">
        <f t="shared" si="68"/>
        <v/>
      </c>
      <c r="S663" cm="1">
        <f t="array" ref="S663">IF(M663="Control",INDEX(IC!A:A,1+BIN2DEC(MID($B663,21,4))),"")</f>
        <v>0</v>
      </c>
      <c r="T663" cm="1">
        <f t="array" ref="T663">IF(M663="Control",INDEX(EC!A:A,1+BIN2DEC(MID($B663,25,3))),"")</f>
        <v>0</v>
      </c>
      <c r="U663" cm="1">
        <f t="array" ref="U663">IF(M663="Control",INDEX(SR!A:A,1+BIN2DEC(MID($B663,28,2))),"")</f>
        <v>0</v>
      </c>
    </row>
    <row r="664" spans="1:30" x14ac:dyDescent="0.25">
      <c r="A664" s="4" t="str">
        <f t="shared" si="66"/>
        <v>296</v>
      </c>
      <c r="B664" s="2" t="s">
        <v>147</v>
      </c>
      <c r="C664" s="3"/>
      <c r="D664" s="3"/>
      <c r="E664" s="3"/>
      <c r="F664" s="27" t="str" cm="1">
        <f t="array" ref="F664">INDEX(Sources!A:A, 1 + BIN2DEC(LEFT($B664,5)))</f>
        <v>--</v>
      </c>
      <c r="G664" s="27" t="str" cm="1">
        <f t="array" ref="G664">INDEX(Dest1!A:A,1+BIN2DEC(MID($B664,6,5)))</f>
        <v>UNK26</v>
      </c>
      <c r="H664" s="27" t="str" cm="1">
        <f t="array" ref="H664">INDEX(Source2!A:A,1+BIN2DEC(MID($B664,11,4)))</f>
        <v>--</v>
      </c>
      <c r="I664" s="23" cm="1">
        <f t="array" ref="I664">INDEX('D2'!A:A,1+BIN2DEC(MID($B664,16,2)))</f>
        <v>0</v>
      </c>
      <c r="J664" s="6">
        <f t="shared" si="55"/>
        <v>0</v>
      </c>
      <c r="K664" s="6">
        <f t="shared" si="51"/>
        <v>0</v>
      </c>
      <c r="L664" s="6">
        <f t="shared" si="52"/>
        <v>1</v>
      </c>
      <c r="M664" s="3" t="str" cm="1">
        <f t="array" ref="M664">INDEX(Types!A:A,1+BIN2DEC(MID($B664,20,2)))</f>
        <v>Control</v>
      </c>
      <c r="N664" s="3" t="str" cm="1">
        <f t="array" ref="N664">IF(M664="ALU",INDEX(ALUOps!A:A,1+BIN2DEC(MID($B664,22,5))),"")</f>
        <v/>
      </c>
      <c r="O664" s="3" t="str" cm="1">
        <f t="array" ref="O664">IF(M664="ALU",INDEX(TMP!A:A,1+BIN2DEC(MID($B664,27,2))),"")</f>
        <v/>
      </c>
      <c r="P664" s="6" t="str">
        <f t="shared" si="65"/>
        <v/>
      </c>
      <c r="Q664" t="str">
        <f t="shared" si="67"/>
        <v/>
      </c>
      <c r="R664" t="str">
        <f t="shared" si="68"/>
        <v/>
      </c>
      <c r="S664" cm="1">
        <f t="array" ref="S664">IF(M664="Control",INDEX(IC!A:A,1+BIN2DEC(MID($B664,21,4))),"")</f>
        <v>0</v>
      </c>
      <c r="T664" cm="1">
        <f t="array" ref="T664">IF(M664="Control",INDEX(EC!A:A,1+BIN2DEC(MID($B664,25,3))),"")</f>
        <v>5</v>
      </c>
      <c r="U664" cm="1">
        <f t="array" ref="U664">IF(M664="Control",INDEX(SR!A:A,1+BIN2DEC(MID($B664,28,2))),"")</f>
        <v>3</v>
      </c>
    </row>
    <row r="665" spans="1:30" x14ac:dyDescent="0.25">
      <c r="A665" s="4" t="str">
        <f t="shared" si="66"/>
        <v>297</v>
      </c>
      <c r="B665" s="2" t="s">
        <v>159</v>
      </c>
      <c r="C665" s="3"/>
      <c r="D665" s="3"/>
      <c r="E665" s="3"/>
      <c r="F665" s="27" t="str" cm="1">
        <f t="array" ref="F665">INDEX(Sources!A:A, 1 + BIN2DEC(LEFT($B665,5)))</f>
        <v>SIGMA</v>
      </c>
      <c r="G665" s="27" t="str" cm="1">
        <f t="array" ref="G665">INDEX(Dest1!A:A,1+BIN2DEC(MID($B665,6,5)))</f>
        <v>--</v>
      </c>
      <c r="H665" s="27" t="str" cm="1">
        <f t="array" ref="H665">INDEX(Source2!A:A,1+BIN2DEC(MID($B665,11,4)))</f>
        <v>--</v>
      </c>
      <c r="I665" s="23" cm="1">
        <f t="array" ref="I665">INDEX('D2'!A:A,1+BIN2DEC(MID($B665,16,2)))</f>
        <v>0</v>
      </c>
      <c r="J665" s="6">
        <f t="shared" si="55"/>
        <v>0</v>
      </c>
      <c r="K665" s="6">
        <f t="shared" si="51"/>
        <v>0</v>
      </c>
      <c r="L665" s="6">
        <f t="shared" si="52"/>
        <v>0</v>
      </c>
      <c r="M665" s="3" t="str" cm="1">
        <f t="array" ref="M665">INDEX(Types!A:A,1+BIN2DEC(MID($B665,20,2)))</f>
        <v>Control</v>
      </c>
      <c r="N665" s="3" t="str" cm="1">
        <f t="array" ref="N665">IF(M665="ALU",INDEX(ALUOps!A:A,1+BIN2DEC(MID($B665,22,5))),"")</f>
        <v/>
      </c>
      <c r="O665" s="3" t="str" cm="1">
        <f t="array" ref="O665">IF(M665="ALU",INDEX(TMP!A:A,1+BIN2DEC(MID($B665,27,2))),"")</f>
        <v/>
      </c>
      <c r="P665" s="6" t="str">
        <f t="shared" si="65"/>
        <v/>
      </c>
      <c r="Q665" t="str">
        <f t="shared" si="67"/>
        <v/>
      </c>
      <c r="R665" t="str">
        <f t="shared" si="68"/>
        <v/>
      </c>
      <c r="S665" cm="1">
        <f t="array" ref="S665">IF(M665="Control",INDEX(IC!A:A,1+BIN2DEC(MID($B665,21,4))),"")</f>
        <v>0</v>
      </c>
      <c r="T665" cm="1">
        <f t="array" ref="T665">IF(M665="Control",INDEX(EC!A:A,1+BIN2DEC(MID($B665,25,3))),"")</f>
        <v>0</v>
      </c>
      <c r="U665" cm="1">
        <f t="array" ref="U665">IF(M665="Control",INDEX(SR!A:A,1+BIN2DEC(MID($B665,28,2))),"")</f>
        <v>0</v>
      </c>
    </row>
    <row r="666" spans="1:30" x14ac:dyDescent="0.25">
      <c r="A666" s="4" t="str">
        <f t="shared" si="66"/>
        <v>298</v>
      </c>
      <c r="B666" s="2" t="s">
        <v>154</v>
      </c>
      <c r="C666" s="2" t="s">
        <v>636</v>
      </c>
      <c r="D666" s="2" t="s">
        <v>932</v>
      </c>
      <c r="E666" s="2" t="s">
        <v>462</v>
      </c>
      <c r="F666" s="27" t="str" cm="1">
        <f t="array" ref="F666">INDEX(Sources!A:A, 1 + BIN2DEC(LEFT($B666,5)))</f>
        <v>C</v>
      </c>
      <c r="G666" s="27" t="str" cm="1">
        <f t="array" ref="G666">INDEX(Dest1!A:A,1+BIN2DEC(MID($B666,6,5)))</f>
        <v>LC</v>
      </c>
      <c r="H666" s="27" t="str" cm="1">
        <f t="array" ref="H666">INDEX(Source2!A:A,1+BIN2DEC(MID($B666,11,4)))</f>
        <v>6</v>
      </c>
      <c r="I666" s="23" cm="1">
        <f t="array" ref="I666">INDEX('D2'!A:A,1+BIN2DEC(MID($B666,16,2)))</f>
        <v>0</v>
      </c>
      <c r="J666" s="6">
        <f t="shared" si="55"/>
        <v>0</v>
      </c>
      <c r="K666" s="6">
        <f t="shared" si="51"/>
        <v>0</v>
      </c>
      <c r="L666" s="6">
        <f t="shared" si="52"/>
        <v>0</v>
      </c>
      <c r="M666" s="3" t="str" cm="1">
        <f t="array" ref="M666">INDEX(Types!A:A,1+BIN2DEC(MID($B666,20,2)))</f>
        <v>ALU</v>
      </c>
      <c r="N666" s="3" cm="1">
        <f t="array" ref="N666">IF(M666="ALU",INDEX(ALUOps!A:A,1+BIN2DEC(MID($B666,22,5))),"")</f>
        <v>0</v>
      </c>
      <c r="O666" s="3" cm="1">
        <f t="array" ref="O666">IF(M666="ALU",INDEX(TMP!A:A,1+BIN2DEC(MID($B666,27,2))),"")</f>
        <v>2</v>
      </c>
      <c r="P666" s="6">
        <f t="shared" si="65"/>
        <v>1</v>
      </c>
      <c r="Q666" t="str">
        <f t="shared" si="67"/>
        <v/>
      </c>
      <c r="R666" t="str">
        <f t="shared" si="68"/>
        <v/>
      </c>
      <c r="S666" t="str" cm="1">
        <f t="array" ref="S666">IF(M666="Control",INDEX(IC!A:A,1+BIN2DEC(MID($B666,21,4))),"")</f>
        <v/>
      </c>
      <c r="T666" t="str" cm="1">
        <f t="array" ref="T666">IF(M666="Control",INDEX(EC!A:A,1+BIN2DEC(MID($B666,25,3))),"")</f>
        <v/>
      </c>
      <c r="U666" t="str" cm="1">
        <f t="array" ref="U666">IF(M666="Control",INDEX(SR!A:A,1+BIN2DEC(MID($B666,28,2))),"")</f>
        <v/>
      </c>
      <c r="AD666" s="1" t="s">
        <v>633</v>
      </c>
    </row>
    <row r="667" spans="1:30" x14ac:dyDescent="0.25">
      <c r="A667" s="4" t="str">
        <f t="shared" si="66"/>
        <v>299</v>
      </c>
      <c r="B667" s="2" t="s">
        <v>156</v>
      </c>
      <c r="C667" s="3"/>
      <c r="D667" s="3"/>
      <c r="E667" s="3"/>
      <c r="F667" s="27" t="str" cm="1">
        <f t="array" ref="F667">INDEX(Sources!A:A, 1 + BIN2DEC(LEFT($B667,5)))</f>
        <v>SIGMA</v>
      </c>
      <c r="G667" s="27" t="str" cm="1">
        <f t="array" ref="G667">INDEX(Dest1!A:A,1+BIN2DEC(MID($B667,6,5)))</f>
        <v>UNK24</v>
      </c>
      <c r="H667" s="27" t="str" cm="1">
        <f t="array" ref="H667">INDEX(Source2!A:A,1+BIN2DEC(MID($B667,11,4)))</f>
        <v>--</v>
      </c>
      <c r="I667" s="23" cm="1">
        <f t="array" ref="I667">INDEX('D2'!A:A,1+BIN2DEC(MID($B667,16,2)))</f>
        <v>0</v>
      </c>
      <c r="J667" s="6">
        <f t="shared" si="55"/>
        <v>0</v>
      </c>
      <c r="K667" s="6">
        <f t="shared" si="51"/>
        <v>0</v>
      </c>
      <c r="L667" s="6">
        <f t="shared" si="52"/>
        <v>0</v>
      </c>
      <c r="M667" s="3" t="str" cm="1">
        <f t="array" ref="M667">INDEX(Types!A:A,1+BIN2DEC(MID($B667,20,2)))</f>
        <v>ALU</v>
      </c>
      <c r="N667" s="3" cm="1">
        <f t="array" ref="N667">IF(M667="ALU",INDEX(ALUOps!A:A,1+BIN2DEC(MID($B667,22,5))),"")</f>
        <v>31</v>
      </c>
      <c r="O667" s="3" cm="1">
        <f t="array" ref="O667">IF(M667="ALU",INDEX(TMP!A:A,1+BIN2DEC(MID($B667,27,2))),"")</f>
        <v>1</v>
      </c>
      <c r="P667" s="6">
        <f t="shared" si="65"/>
        <v>1</v>
      </c>
      <c r="Q667" t="str">
        <f t="shared" si="67"/>
        <v/>
      </c>
      <c r="R667" t="str">
        <f t="shared" si="68"/>
        <v/>
      </c>
      <c r="S667" t="str" cm="1">
        <f t="array" ref="S667">IF(M667="Control",INDEX(IC!A:A,1+BIN2DEC(MID($B667,21,4))),"")</f>
        <v/>
      </c>
      <c r="T667" t="str" cm="1">
        <f t="array" ref="T667">IF(M667="Control",INDEX(EC!A:A,1+BIN2DEC(MID($B667,25,3))),"")</f>
        <v/>
      </c>
      <c r="U667" t="str" cm="1">
        <f t="array" ref="U667">IF(M667="Control",INDEX(SR!A:A,1+BIN2DEC(MID($B667,28,2))),"")</f>
        <v/>
      </c>
    </row>
    <row r="668" spans="1:30" x14ac:dyDescent="0.25">
      <c r="A668" s="4" t="str">
        <f t="shared" si="66"/>
        <v>29A</v>
      </c>
      <c r="B668" s="2" t="s">
        <v>157</v>
      </c>
      <c r="C668" s="3"/>
      <c r="D668" s="3"/>
      <c r="E668" s="3"/>
      <c r="F668" s="27" t="str" cm="1">
        <f t="array" ref="F668">INDEX(Sources!A:A, 1 + BIN2DEC(LEFT($B668,5)))</f>
        <v>UNK23</v>
      </c>
      <c r="G668" s="27" t="str" cm="1">
        <f t="array" ref="G668">INDEX(Dest1!A:A,1+BIN2DEC(MID($B668,6,5)))</f>
        <v>UNK17</v>
      </c>
      <c r="H668" s="27" t="str" cm="1">
        <f t="array" ref="H668">INDEX(Source2!A:A,1+BIN2DEC(MID($B668,11,4)))</f>
        <v>--</v>
      </c>
      <c r="I668" s="23" cm="1">
        <f t="array" ref="I668">INDEX('D2'!A:A,1+BIN2DEC(MID($B668,16,2)))</f>
        <v>0</v>
      </c>
      <c r="J668" s="6">
        <f t="shared" si="55"/>
        <v>0</v>
      </c>
      <c r="K668" s="6">
        <f t="shared" si="51"/>
        <v>0</v>
      </c>
      <c r="L668" s="6">
        <f t="shared" si="52"/>
        <v>0</v>
      </c>
      <c r="M668" s="3" t="str" cm="1">
        <f t="array" ref="M668">INDEX(Types!A:A,1+BIN2DEC(MID($B668,20,2)))</f>
        <v>Jump</v>
      </c>
      <c r="N668" s="3" t="str" cm="1">
        <f t="array" ref="N668">IF(M668="ALU",INDEX(ALUOps!A:A,1+BIN2DEC(MID($B668,22,5))),"")</f>
        <v/>
      </c>
      <c r="O668" s="3" t="str" cm="1">
        <f t="array" ref="O668">IF(M668="ALU",INDEX(TMP!A:A,1+BIN2DEC(MID($B668,27,2))),"")</f>
        <v/>
      </c>
      <c r="P668" s="6" t="str">
        <f t="shared" si="65"/>
        <v/>
      </c>
      <c r="Q668">
        <f t="shared" si="67"/>
        <v>13</v>
      </c>
      <c r="R668">
        <f t="shared" si="68"/>
        <v>7</v>
      </c>
      <c r="S668" t="str" cm="1">
        <f t="array" ref="S668">IF(M668="Control",INDEX(IC!A:A,1+BIN2DEC(MID($B668,21,4))),"")</f>
        <v/>
      </c>
      <c r="T668" t="str" cm="1">
        <f t="array" ref="T668">IF(M668="Control",INDEX(EC!A:A,1+BIN2DEC(MID($B668,25,3))),"")</f>
        <v/>
      </c>
      <c r="U668" t="str" cm="1">
        <f t="array" ref="U668">IF(M668="Control",INDEX(SR!A:A,1+BIN2DEC(MID($B668,28,2))),"")</f>
        <v/>
      </c>
    </row>
    <row r="669" spans="1:30" x14ac:dyDescent="0.25">
      <c r="A669" s="4" t="str">
        <f t="shared" si="66"/>
        <v>29B</v>
      </c>
      <c r="B669" s="2" t="s">
        <v>349</v>
      </c>
      <c r="C669" s="3"/>
      <c r="D669" s="3"/>
      <c r="E669" s="3"/>
      <c r="F669" s="27" t="str" cm="1">
        <f t="array" ref="F669">INDEX(Sources!A:A, 1 + BIN2DEC(LEFT($B669,5)))</f>
        <v>UNK5</v>
      </c>
      <c r="G669" s="27" t="str" cm="1">
        <f t="array" ref="G669">INDEX(Dest1!A:A,1+BIN2DEC(MID($B669,6,5)))</f>
        <v>UNK26</v>
      </c>
      <c r="H669" s="27" t="str" cm="1">
        <f t="array" ref="H669">INDEX(Source2!A:A,1+BIN2DEC(MID($B669,11,4)))</f>
        <v>--</v>
      </c>
      <c r="I669" s="23" cm="1">
        <f t="array" ref="I669">INDEX('D2'!A:A,1+BIN2DEC(MID($B669,16,2)))</f>
        <v>0</v>
      </c>
      <c r="J669" s="6">
        <f t="shared" si="55"/>
        <v>0</v>
      </c>
      <c r="K669" s="6">
        <f t="shared" si="51"/>
        <v>0</v>
      </c>
      <c r="L669" s="6">
        <f t="shared" si="52"/>
        <v>0</v>
      </c>
      <c r="M669" s="3" t="str" cm="1">
        <f t="array" ref="M669">INDEX(Types!A:A,1+BIN2DEC(MID($B669,20,2)))</f>
        <v>Control</v>
      </c>
      <c r="N669" s="3" t="str" cm="1">
        <f t="array" ref="N669">IF(M669="ALU",INDEX(ALUOps!A:A,1+BIN2DEC(MID($B669,22,5))),"")</f>
        <v/>
      </c>
      <c r="O669" s="3" t="str" cm="1">
        <f t="array" ref="O669">IF(M669="ALU",INDEX(TMP!A:A,1+BIN2DEC(MID($B669,27,2))),"")</f>
        <v/>
      </c>
      <c r="P669" s="6" t="str">
        <f t="shared" si="65"/>
        <v/>
      </c>
      <c r="Q669" t="str">
        <f t="shared" si="67"/>
        <v/>
      </c>
      <c r="R669" t="str">
        <f t="shared" si="68"/>
        <v/>
      </c>
      <c r="S669" cm="1">
        <f t="array" ref="S669">IF(M669="Control",INDEX(IC!A:A,1+BIN2DEC(MID($B669,21,4))),"")</f>
        <v>0</v>
      </c>
      <c r="T669" cm="1">
        <f t="array" ref="T669">IF(M669="Control",INDEX(EC!A:A,1+BIN2DEC(MID($B669,25,3))),"")</f>
        <v>6</v>
      </c>
      <c r="U669" cm="1">
        <f t="array" ref="U669">IF(M669="Control",INDEX(SR!A:A,1+BIN2DEC(MID($B669,28,2))),"")</f>
        <v>2</v>
      </c>
    </row>
    <row r="670" spans="1:30" x14ac:dyDescent="0.25">
      <c r="A670" s="4" t="str">
        <f t="shared" si="66"/>
        <v>29C</v>
      </c>
      <c r="B670" s="2" t="s">
        <v>4</v>
      </c>
      <c r="C670" s="2" t="s">
        <v>638</v>
      </c>
      <c r="D670" s="2" t="s">
        <v>932</v>
      </c>
      <c r="E670" s="2" t="s">
        <v>929</v>
      </c>
      <c r="F670" s="27" t="str" cm="1">
        <f t="array" ref="F670">INDEX(Sources!A:A, 1 + BIN2DEC(LEFT($B670,5)))</f>
        <v>--</v>
      </c>
      <c r="G670" s="27" t="str" cm="1">
        <f t="array" ref="G670">INDEX(Dest1!A:A,1+BIN2DEC(MID($B670,6,5)))</f>
        <v>--</v>
      </c>
      <c r="H670" s="27" t="str" cm="1">
        <f t="array" ref="H670">INDEX(Source2!A:A,1+BIN2DEC(MID($B670,11,4)))</f>
        <v>--</v>
      </c>
      <c r="I670" s="23" cm="1">
        <f t="array" ref="I670">INDEX('D2'!A:A,1+BIN2DEC(MID($B670,16,2)))</f>
        <v>0</v>
      </c>
      <c r="J670" s="6">
        <f t="shared" si="55"/>
        <v>0</v>
      </c>
      <c r="K670" s="6">
        <f t="shared" si="51"/>
        <v>0</v>
      </c>
      <c r="L670" s="6">
        <f t="shared" si="52"/>
        <v>0</v>
      </c>
      <c r="M670" s="3" t="str" cm="1">
        <f t="array" ref="M670">INDEX(Types!A:A,1+BIN2DEC(MID($B670,20,2)))</f>
        <v>Control</v>
      </c>
      <c r="N670" s="3" t="str" cm="1">
        <f t="array" ref="N670">IF(M670="ALU",INDEX(ALUOps!A:A,1+BIN2DEC(MID($B670,22,5))),"")</f>
        <v/>
      </c>
      <c r="O670" s="3" t="str" cm="1">
        <f t="array" ref="O670">IF(M670="ALU",INDEX(TMP!A:A,1+BIN2DEC(MID($B670,27,2))),"")</f>
        <v/>
      </c>
      <c r="P670" s="6" t="str">
        <f t="shared" si="65"/>
        <v/>
      </c>
      <c r="Q670" t="str">
        <f t="shared" si="67"/>
        <v/>
      </c>
      <c r="R670" t="str">
        <f t="shared" si="68"/>
        <v/>
      </c>
      <c r="S670" cm="1">
        <f t="array" ref="S670">IF(M670="Control",INDEX(IC!A:A,1+BIN2DEC(MID($B670,21,4))),"")</f>
        <v>0</v>
      </c>
      <c r="T670" cm="1">
        <f t="array" ref="T670">IF(M670="Control",INDEX(EC!A:A,1+BIN2DEC(MID($B670,25,3))),"")</f>
        <v>0</v>
      </c>
      <c r="U670" cm="1">
        <f t="array" ref="U670">IF(M670="Control",INDEX(SR!A:A,1+BIN2DEC(MID($B670,28,2))),"")</f>
        <v>0</v>
      </c>
      <c r="AD670" s="1" t="s">
        <v>633</v>
      </c>
    </row>
    <row r="671" spans="1:30" x14ac:dyDescent="0.25">
      <c r="A671" s="4" t="str">
        <f t="shared" si="66"/>
        <v>29D</v>
      </c>
      <c r="B671" s="2" t="s">
        <v>202</v>
      </c>
      <c r="C671" s="3"/>
      <c r="D671" s="3"/>
      <c r="E671" s="3"/>
      <c r="F671" s="27" t="str" cm="1">
        <f t="array" ref="F671">INDEX(Sources!A:A, 1 + BIN2DEC(LEFT($B671,5)))</f>
        <v>--</v>
      </c>
      <c r="G671" s="27" t="str" cm="1">
        <f t="array" ref="G671">INDEX(Dest1!A:A,1+BIN2DEC(MID($B671,6,5)))</f>
        <v>UNK26</v>
      </c>
      <c r="H671" s="27" t="str" cm="1">
        <f t="array" ref="H671">INDEX(Source2!A:A,1+BIN2DEC(MID($B671,11,4)))</f>
        <v>--</v>
      </c>
      <c r="I671" s="23" cm="1">
        <f t="array" ref="I671">INDEX('D2'!A:A,1+BIN2DEC(MID($B671,16,2)))</f>
        <v>0</v>
      </c>
      <c r="J671" s="6">
        <f t="shared" si="55"/>
        <v>0</v>
      </c>
      <c r="K671" s="6">
        <f t="shared" si="51"/>
        <v>0</v>
      </c>
      <c r="L671" s="6">
        <f t="shared" si="52"/>
        <v>0</v>
      </c>
      <c r="M671" s="3" t="str" cm="1">
        <f t="array" ref="M671">INDEX(Types!A:A,1+BIN2DEC(MID($B671,20,2)))</f>
        <v>Control</v>
      </c>
      <c r="N671" s="3" t="str" cm="1">
        <f t="array" ref="N671">IF(M671="ALU",INDEX(ALUOps!A:A,1+BIN2DEC(MID($B671,22,5))),"")</f>
        <v/>
      </c>
      <c r="O671" s="3" t="str" cm="1">
        <f t="array" ref="O671">IF(M671="ALU",INDEX(TMP!A:A,1+BIN2DEC(MID($B671,27,2))),"")</f>
        <v/>
      </c>
      <c r="P671" s="6" t="str">
        <f t="shared" si="65"/>
        <v/>
      </c>
      <c r="Q671" t="str">
        <f t="shared" si="67"/>
        <v/>
      </c>
      <c r="R671" t="str">
        <f t="shared" si="68"/>
        <v/>
      </c>
      <c r="S671" cm="1">
        <f t="array" ref="S671">IF(M671="Control",INDEX(IC!A:A,1+BIN2DEC(MID($B671,21,4))),"")</f>
        <v>0</v>
      </c>
      <c r="T671" cm="1">
        <f t="array" ref="T671">IF(M671="Control",INDEX(EC!A:A,1+BIN2DEC(MID($B671,25,3))),"")</f>
        <v>5</v>
      </c>
      <c r="U671" cm="1">
        <f t="array" ref="U671">IF(M671="Control",INDEX(SR!A:A,1+BIN2DEC(MID($B671,28,2))),"")</f>
        <v>3</v>
      </c>
    </row>
    <row r="672" spans="1:30" x14ac:dyDescent="0.25">
      <c r="A672" s="4" t="str">
        <f t="shared" si="66"/>
        <v>29E</v>
      </c>
      <c r="B672" s="2" t="s">
        <v>203</v>
      </c>
      <c r="C672" s="3"/>
      <c r="D672" s="3"/>
      <c r="E672" s="3"/>
      <c r="F672" s="27" t="str" cm="1">
        <f t="array" ref="F672">INDEX(Sources!A:A, 1 + BIN2DEC(LEFT($B672,5)))</f>
        <v>SIGMA</v>
      </c>
      <c r="G672" s="27" t="str" cm="1">
        <f t="array" ref="G672">INDEX(Dest1!A:A,1+BIN2DEC(MID($B672,6,5)))</f>
        <v>--</v>
      </c>
      <c r="H672" s="27" t="str" cm="1">
        <f t="array" ref="H672">INDEX(Source2!A:A,1+BIN2DEC(MID($B672,11,4)))</f>
        <v>--</v>
      </c>
      <c r="I672" s="23" cm="1">
        <f t="array" ref="I672">INDEX('D2'!A:A,1+BIN2DEC(MID($B672,16,2)))</f>
        <v>0</v>
      </c>
      <c r="J672" s="6">
        <f t="shared" si="55"/>
        <v>0</v>
      </c>
      <c r="K672" s="6">
        <f t="shared" si="51"/>
        <v>0</v>
      </c>
      <c r="L672" s="6">
        <f t="shared" si="52"/>
        <v>0</v>
      </c>
      <c r="M672" s="3" t="str" cm="1">
        <f t="array" ref="M672">INDEX(Types!A:A,1+BIN2DEC(MID($B672,20,2)))</f>
        <v>Jump</v>
      </c>
      <c r="N672" s="3" t="str" cm="1">
        <f t="array" ref="N672">IF(M672="ALU",INDEX(ALUOps!A:A,1+BIN2DEC(MID($B672,22,5))),"")</f>
        <v/>
      </c>
      <c r="O672" s="3" t="str" cm="1">
        <f t="array" ref="O672">IF(M672="ALU",INDEX(TMP!A:A,1+BIN2DEC(MID($B672,27,2))),"")</f>
        <v/>
      </c>
      <c r="P672" s="6" t="str">
        <f t="shared" si="65"/>
        <v/>
      </c>
      <c r="Q672">
        <f t="shared" si="67"/>
        <v>3</v>
      </c>
      <c r="R672">
        <f t="shared" si="68"/>
        <v>3</v>
      </c>
      <c r="S672" t="str" cm="1">
        <f t="array" ref="S672">IF(M672="Control",INDEX(IC!A:A,1+BIN2DEC(MID($B672,21,4))),"")</f>
        <v/>
      </c>
      <c r="T672" t="str" cm="1">
        <f t="array" ref="T672">IF(M672="Control",INDEX(EC!A:A,1+BIN2DEC(MID($B672,25,3))),"")</f>
        <v/>
      </c>
      <c r="U672" t="str" cm="1">
        <f t="array" ref="U672">IF(M672="Control",INDEX(SR!A:A,1+BIN2DEC(MID($B672,28,2))),"")</f>
        <v/>
      </c>
    </row>
    <row r="673" spans="1:30" x14ac:dyDescent="0.25">
      <c r="A673" s="4" t="str">
        <f t="shared" si="66"/>
        <v>29F</v>
      </c>
      <c r="B673" s="2" t="s">
        <v>163</v>
      </c>
      <c r="C673" s="3"/>
      <c r="D673" s="3"/>
      <c r="E673" s="3"/>
      <c r="F673" s="27" t="str" cm="1">
        <f t="array" ref="F673">INDEX(Sources!A:A, 1 + BIN2DEC(LEFT($B673,5)))</f>
        <v>LC</v>
      </c>
      <c r="G673" s="27" t="str" cm="1">
        <f t="array" ref="G673">INDEX(Dest1!A:A,1+BIN2DEC(MID($B673,6,5)))</f>
        <v>C</v>
      </c>
      <c r="H673" s="27" t="str" cm="1">
        <f t="array" ref="H673">INDEX(Source2!A:A,1+BIN2DEC(MID($B673,11,4)))</f>
        <v>--</v>
      </c>
      <c r="I673" s="23" cm="1">
        <f t="array" ref="I673">INDEX('D2'!A:A,1+BIN2DEC(MID($B673,16,2)))</f>
        <v>0</v>
      </c>
      <c r="J673" s="6">
        <f t="shared" si="55"/>
        <v>0</v>
      </c>
      <c r="K673" s="6">
        <f t="shared" si="51"/>
        <v>0</v>
      </c>
      <c r="L673" s="6">
        <f t="shared" si="52"/>
        <v>0</v>
      </c>
      <c r="M673" s="3" t="str" cm="1">
        <f t="array" ref="M673">INDEX(Types!A:A,1+BIN2DEC(MID($B673,20,2)))</f>
        <v>Control</v>
      </c>
      <c r="N673" s="3" t="str" cm="1">
        <f t="array" ref="N673">IF(M673="ALU",INDEX(ALUOps!A:A,1+BIN2DEC(MID($B673,22,5))),"")</f>
        <v/>
      </c>
      <c r="O673" s="3" t="str" cm="1">
        <f t="array" ref="O673">IF(M673="ALU",INDEX(TMP!A:A,1+BIN2DEC(MID($B673,27,2))),"")</f>
        <v/>
      </c>
      <c r="P673" s="6" t="str">
        <f t="shared" si="65"/>
        <v/>
      </c>
      <c r="Q673" t="str">
        <f t="shared" si="67"/>
        <v/>
      </c>
      <c r="R673" t="str">
        <f t="shared" si="68"/>
        <v/>
      </c>
      <c r="S673" cm="1">
        <f t="array" ref="S673">IF(M673="Control",INDEX(IC!A:A,1+BIN2DEC(MID($B673,21,4))),"")</f>
        <v>1</v>
      </c>
      <c r="T673" cm="1">
        <f t="array" ref="T673">IF(M673="Control",INDEX(EC!A:A,1+BIN2DEC(MID($B673,25,3))),"")</f>
        <v>5</v>
      </c>
      <c r="U673" cm="1">
        <f t="array" ref="U673">IF(M673="Control",INDEX(SR!A:A,1+BIN2DEC(MID($B673,28,2))),"")</f>
        <v>3</v>
      </c>
    </row>
    <row r="674" spans="1:30" x14ac:dyDescent="0.25">
      <c r="A674" s="4" t="str">
        <f t="shared" si="66"/>
        <v>2A0</v>
      </c>
      <c r="B674" s="2" t="s">
        <v>145</v>
      </c>
      <c r="C674" s="2" t="s">
        <v>639</v>
      </c>
      <c r="D674" s="2" t="s">
        <v>930</v>
      </c>
      <c r="E674" s="2" t="s">
        <v>462</v>
      </c>
      <c r="F674" s="27" t="str" cm="1">
        <f t="array" ref="F674">INDEX(Sources!A:A, 1 + BIN2DEC(LEFT($B674,5)))</f>
        <v>UNK1</v>
      </c>
      <c r="G674" s="27" t="str" cm="1">
        <f t="array" ref="G674">INDEX(Dest1!A:A,1+BIN2DEC(MID($B674,6,5)))</f>
        <v>UNK26</v>
      </c>
      <c r="H674" s="27" t="str" cm="1">
        <f t="array" ref="H674">INDEX(Source2!A:A,1+BIN2DEC(MID($B674,11,4)))</f>
        <v>--</v>
      </c>
      <c r="I674" s="23" cm="1">
        <f t="array" ref="I674">INDEX('D2'!A:A,1+BIN2DEC(MID($B674,16,2)))</f>
        <v>0</v>
      </c>
      <c r="J674" s="6">
        <f t="shared" si="55"/>
        <v>0</v>
      </c>
      <c r="K674" s="6">
        <f t="shared" si="51"/>
        <v>0</v>
      </c>
      <c r="L674" s="6">
        <f t="shared" si="52"/>
        <v>0</v>
      </c>
      <c r="M674" s="3" t="str" cm="1">
        <f t="array" ref="M674">INDEX(Types!A:A,1+BIN2DEC(MID($B674,20,2)))</f>
        <v>Control</v>
      </c>
      <c r="N674" s="3" t="str" cm="1">
        <f t="array" ref="N674">IF(M674="ALU",INDEX(ALUOps!A:A,1+BIN2DEC(MID($B674,22,5))),"")</f>
        <v/>
      </c>
      <c r="O674" s="3" t="str" cm="1">
        <f t="array" ref="O674">IF(M674="ALU",INDEX(TMP!A:A,1+BIN2DEC(MID($B674,27,2))),"")</f>
        <v/>
      </c>
      <c r="P674" s="6" t="str">
        <f t="shared" si="65"/>
        <v/>
      </c>
      <c r="Q674" t="str">
        <f t="shared" si="67"/>
        <v/>
      </c>
      <c r="R674" t="str">
        <f t="shared" si="68"/>
        <v/>
      </c>
      <c r="S674" cm="1">
        <f t="array" ref="S674">IF(M674="Control",INDEX(IC!A:A,1+BIN2DEC(MID($B674,21,4))),"")</f>
        <v>0</v>
      </c>
      <c r="T674" cm="1">
        <f t="array" ref="T674">IF(M674="Control",INDEX(EC!A:A,1+BIN2DEC(MID($B674,25,3))),"")</f>
        <v>6</v>
      </c>
      <c r="U674" cm="1">
        <f t="array" ref="U674">IF(M674="Control",INDEX(SR!A:A,1+BIN2DEC(MID($B674,28,2))),"")</f>
        <v>0</v>
      </c>
      <c r="AD674" s="1" t="s">
        <v>640</v>
      </c>
    </row>
    <row r="675" spans="1:30" x14ac:dyDescent="0.25">
      <c r="A675" s="4" t="str">
        <f t="shared" si="66"/>
        <v>2A1</v>
      </c>
      <c r="B675" s="2" t="s">
        <v>642</v>
      </c>
      <c r="C675" s="3"/>
      <c r="D675" s="3"/>
      <c r="E675" s="3"/>
      <c r="F675" s="27" t="str" cm="1">
        <f t="array" ref="F675">INDEX(Sources!A:A, 1 + BIN2DEC(LEFT($B675,5)))</f>
        <v>UNK23</v>
      </c>
      <c r="G675" s="27" t="str" cm="1">
        <f t="array" ref="G675">INDEX(Dest1!A:A,1+BIN2DEC(MID($B675,6,5)))</f>
        <v>TMPB</v>
      </c>
      <c r="H675" s="27" t="str" cm="1">
        <f t="array" ref="H675">INDEX(Source2!A:A,1+BIN2DEC(MID($B675,11,4)))</f>
        <v>1</v>
      </c>
      <c r="I675" s="23" cm="1">
        <f t="array" ref="I675">INDEX('D2'!A:A,1+BIN2DEC(MID($B675,16,2)))</f>
        <v>0</v>
      </c>
      <c r="J675" s="6">
        <f t="shared" si="55"/>
        <v>0</v>
      </c>
      <c r="K675" s="6">
        <f t="shared" si="51"/>
        <v>0</v>
      </c>
      <c r="L675" s="6">
        <f t="shared" si="52"/>
        <v>0</v>
      </c>
      <c r="M675" s="3" t="str" cm="1">
        <f t="array" ref="M675">INDEX(Types!A:A,1+BIN2DEC(MID($B675,20,2)))</f>
        <v>Control</v>
      </c>
      <c r="N675" s="3" t="str" cm="1">
        <f t="array" ref="N675">IF(M675="ALU",INDEX(ALUOps!A:A,1+BIN2DEC(MID($B675,22,5))),"")</f>
        <v/>
      </c>
      <c r="O675" s="3" t="str" cm="1">
        <f t="array" ref="O675">IF(M675="ALU",INDEX(TMP!A:A,1+BIN2DEC(MID($B675,27,2))),"")</f>
        <v/>
      </c>
      <c r="P675" s="6" t="str">
        <f t="shared" si="65"/>
        <v/>
      </c>
      <c r="Q675" t="str">
        <f t="shared" si="67"/>
        <v/>
      </c>
      <c r="R675" t="str">
        <f t="shared" si="68"/>
        <v/>
      </c>
      <c r="S675" cm="1">
        <f t="array" ref="S675">IF(M675="Control",INDEX(IC!A:A,1+BIN2DEC(MID($B675,21,4))),"")</f>
        <v>0</v>
      </c>
      <c r="T675" cm="1">
        <f t="array" ref="T675">IF(M675="Control",INDEX(EC!A:A,1+BIN2DEC(MID($B675,25,3))),"")</f>
        <v>0</v>
      </c>
      <c r="U675" cm="1">
        <f t="array" ref="U675">IF(M675="Control",INDEX(SR!A:A,1+BIN2DEC(MID($B675,28,2))),"")</f>
        <v>0</v>
      </c>
    </row>
    <row r="676" spans="1:30" x14ac:dyDescent="0.25">
      <c r="A676" s="4" t="str">
        <f t="shared" si="66"/>
        <v>2A2</v>
      </c>
      <c r="B676" s="2" t="s">
        <v>352</v>
      </c>
      <c r="C676" s="3"/>
      <c r="D676" s="3"/>
      <c r="E676" s="3"/>
      <c r="F676" s="27" t="str" cm="1">
        <f t="array" ref="F676">INDEX(Sources!A:A, 1 + BIN2DEC(LEFT($B676,5)))</f>
        <v>UNK5</v>
      </c>
      <c r="G676" s="27" t="str" cm="1">
        <f t="array" ref="G676">INDEX(Dest1!A:A,1+BIN2DEC(MID($B676,6,5)))</f>
        <v>UNK26</v>
      </c>
      <c r="H676" s="27" t="str" cm="1">
        <f t="array" ref="H676">INDEX(Source2!A:A,1+BIN2DEC(MID($B676,11,4)))</f>
        <v>--</v>
      </c>
      <c r="I676" s="23" cm="1">
        <f t="array" ref="I676">INDEX('D2'!A:A,1+BIN2DEC(MID($B676,16,2)))</f>
        <v>0</v>
      </c>
      <c r="J676" s="6">
        <f t="shared" si="55"/>
        <v>0</v>
      </c>
      <c r="K676" s="6">
        <f t="shared" si="51"/>
        <v>0</v>
      </c>
      <c r="L676" s="6">
        <f t="shared" si="52"/>
        <v>1</v>
      </c>
      <c r="M676" s="3" t="str" cm="1">
        <f t="array" ref="M676">INDEX(Types!A:A,1+BIN2DEC(MID($B676,20,2)))</f>
        <v>Control</v>
      </c>
      <c r="N676" s="3" t="str" cm="1">
        <f t="array" ref="N676">IF(M676="ALU",INDEX(ALUOps!A:A,1+BIN2DEC(MID($B676,22,5))),"")</f>
        <v/>
      </c>
      <c r="O676" s="3" t="str" cm="1">
        <f t="array" ref="O676">IF(M676="ALU",INDEX(TMP!A:A,1+BIN2DEC(MID($B676,27,2))),"")</f>
        <v/>
      </c>
      <c r="P676" s="6" t="str">
        <f t="shared" si="65"/>
        <v/>
      </c>
      <c r="Q676" t="str">
        <f t="shared" si="67"/>
        <v/>
      </c>
      <c r="R676" t="str">
        <f t="shared" si="68"/>
        <v/>
      </c>
      <c r="S676" cm="1">
        <f t="array" ref="S676">IF(M676="Control",INDEX(IC!A:A,1+BIN2DEC(MID($B676,21,4))),"")</f>
        <v>0</v>
      </c>
      <c r="T676" cm="1">
        <f t="array" ref="T676">IF(M676="Control",INDEX(EC!A:A,1+BIN2DEC(MID($B676,25,3))),"")</f>
        <v>5</v>
      </c>
      <c r="U676" cm="1">
        <f t="array" ref="U676">IF(M676="Control",INDEX(SR!A:A,1+BIN2DEC(MID($B676,28,2))),"")</f>
        <v>2</v>
      </c>
    </row>
    <row r="677" spans="1:30" x14ac:dyDescent="0.25">
      <c r="A677" s="4" t="str">
        <f t="shared" si="66"/>
        <v>2A3</v>
      </c>
      <c r="B677" s="2" t="s">
        <v>207</v>
      </c>
      <c r="C677" s="3"/>
      <c r="D677" s="3"/>
      <c r="E677" s="3"/>
      <c r="F677" s="27" t="str" cm="1">
        <f t="array" ref="F677">INDEX(Sources!A:A, 1 + BIN2DEC(LEFT($B677,5)))</f>
        <v>SIGMA</v>
      </c>
      <c r="G677" s="27" t="str" cm="1">
        <f t="array" ref="G677">INDEX(Dest1!A:A,1+BIN2DEC(MID($B677,6,5)))</f>
        <v>UNK1</v>
      </c>
      <c r="H677" s="27" t="str" cm="1">
        <f t="array" ref="H677">INDEX(Source2!A:A,1+BIN2DEC(MID($B677,11,4)))</f>
        <v>--</v>
      </c>
      <c r="I677" s="23" cm="1">
        <f t="array" ref="I677">INDEX('D2'!A:A,1+BIN2DEC(MID($B677,16,2)))</f>
        <v>0</v>
      </c>
      <c r="J677" s="6">
        <f t="shared" si="55"/>
        <v>0</v>
      </c>
      <c r="K677" s="6">
        <f t="shared" si="51"/>
        <v>0</v>
      </c>
      <c r="L677" s="6">
        <f t="shared" si="52"/>
        <v>0</v>
      </c>
      <c r="M677" s="3" t="str" cm="1">
        <f t="array" ref="M677">INDEX(Types!A:A,1+BIN2DEC(MID($B677,20,2)))</f>
        <v>Control</v>
      </c>
      <c r="N677" s="3" t="str" cm="1">
        <f t="array" ref="N677">IF(M677="ALU",INDEX(ALUOps!A:A,1+BIN2DEC(MID($B677,22,5))),"")</f>
        <v/>
      </c>
      <c r="O677" s="3" t="str" cm="1">
        <f t="array" ref="O677">IF(M677="ALU",INDEX(TMP!A:A,1+BIN2DEC(MID($B677,27,2))),"")</f>
        <v/>
      </c>
      <c r="P677" s="6" t="str">
        <f t="shared" si="65"/>
        <v/>
      </c>
      <c r="Q677" t="str">
        <f t="shared" si="67"/>
        <v/>
      </c>
      <c r="R677" t="str">
        <f t="shared" si="68"/>
        <v/>
      </c>
      <c r="S677" cm="1">
        <f t="array" ref="S677">IF(M677="Control",INDEX(IC!A:A,1+BIN2DEC(MID($B677,21,4))),"")</f>
        <v>0</v>
      </c>
      <c r="T677" cm="1">
        <f t="array" ref="T677">IF(M677="Control",INDEX(EC!A:A,1+BIN2DEC(MID($B677,25,3))),"")</f>
        <v>0</v>
      </c>
      <c r="U677" cm="1">
        <f t="array" ref="U677">IF(M677="Control",INDEX(SR!A:A,1+BIN2DEC(MID($B677,28,2))),"")</f>
        <v>0</v>
      </c>
    </row>
    <row r="678" spans="1:30" x14ac:dyDescent="0.25">
      <c r="A678" s="4" t="str">
        <f t="shared" si="66"/>
        <v>2A4</v>
      </c>
      <c r="B678" s="2" t="s">
        <v>154</v>
      </c>
      <c r="C678" s="2" t="s">
        <v>641</v>
      </c>
      <c r="D678" s="2" t="s">
        <v>932</v>
      </c>
      <c r="E678" s="2" t="s">
        <v>462</v>
      </c>
      <c r="F678" s="27" t="str" cm="1">
        <f t="array" ref="F678">INDEX(Sources!A:A, 1 + BIN2DEC(LEFT($B678,5)))</f>
        <v>C</v>
      </c>
      <c r="G678" s="27" t="str" cm="1">
        <f t="array" ref="G678">INDEX(Dest1!A:A,1+BIN2DEC(MID($B678,6,5)))</f>
        <v>LC</v>
      </c>
      <c r="H678" s="27" t="str" cm="1">
        <f t="array" ref="H678">INDEX(Source2!A:A,1+BIN2DEC(MID($B678,11,4)))</f>
        <v>6</v>
      </c>
      <c r="I678" s="23" cm="1">
        <f t="array" ref="I678">INDEX('D2'!A:A,1+BIN2DEC(MID($B678,16,2)))</f>
        <v>0</v>
      </c>
      <c r="J678" s="6">
        <f t="shared" si="55"/>
        <v>0</v>
      </c>
      <c r="K678" s="6">
        <f t="shared" si="51"/>
        <v>0</v>
      </c>
      <c r="L678" s="6">
        <f t="shared" si="52"/>
        <v>0</v>
      </c>
      <c r="M678" s="3" t="str" cm="1">
        <f t="array" ref="M678">INDEX(Types!A:A,1+BIN2DEC(MID($B678,20,2)))</f>
        <v>ALU</v>
      </c>
      <c r="N678" s="3" cm="1">
        <f t="array" ref="N678">IF(M678="ALU",INDEX(ALUOps!A:A,1+BIN2DEC(MID($B678,22,5))),"")</f>
        <v>0</v>
      </c>
      <c r="O678" s="3" cm="1">
        <f t="array" ref="O678">IF(M678="ALU",INDEX(TMP!A:A,1+BIN2DEC(MID($B678,27,2))),"")</f>
        <v>2</v>
      </c>
      <c r="P678" s="6">
        <f t="shared" si="65"/>
        <v>1</v>
      </c>
      <c r="Q678" t="str">
        <f t="shared" si="67"/>
        <v/>
      </c>
      <c r="R678" t="str">
        <f t="shared" si="68"/>
        <v/>
      </c>
      <c r="S678" t="str" cm="1">
        <f t="array" ref="S678">IF(M678="Control",INDEX(IC!A:A,1+BIN2DEC(MID($B678,21,4))),"")</f>
        <v/>
      </c>
      <c r="T678" t="str" cm="1">
        <f t="array" ref="T678">IF(M678="Control",INDEX(EC!A:A,1+BIN2DEC(MID($B678,25,3))),"")</f>
        <v/>
      </c>
      <c r="U678" t="str" cm="1">
        <f t="array" ref="U678">IF(M678="Control",INDEX(SR!A:A,1+BIN2DEC(MID($B678,28,2))),"")</f>
        <v/>
      </c>
      <c r="AD678" s="1" t="s">
        <v>640</v>
      </c>
    </row>
    <row r="679" spans="1:30" x14ac:dyDescent="0.25">
      <c r="A679" s="4" t="str">
        <f t="shared" si="66"/>
        <v>2A5</v>
      </c>
      <c r="B679" s="2" t="s">
        <v>156</v>
      </c>
      <c r="C679" s="3"/>
      <c r="D679" s="3"/>
      <c r="E679" s="3"/>
      <c r="F679" s="27" t="str" cm="1">
        <f t="array" ref="F679">INDEX(Sources!A:A, 1 + BIN2DEC(LEFT($B679,5)))</f>
        <v>SIGMA</v>
      </c>
      <c r="G679" s="27" t="str" cm="1">
        <f t="array" ref="G679">INDEX(Dest1!A:A,1+BIN2DEC(MID($B679,6,5)))</f>
        <v>UNK24</v>
      </c>
      <c r="H679" s="27" t="str" cm="1">
        <f t="array" ref="H679">INDEX(Source2!A:A,1+BIN2DEC(MID($B679,11,4)))</f>
        <v>--</v>
      </c>
      <c r="I679" s="23" cm="1">
        <f t="array" ref="I679">INDEX('D2'!A:A,1+BIN2DEC(MID($B679,16,2)))</f>
        <v>0</v>
      </c>
      <c r="J679" s="6">
        <f t="shared" si="55"/>
        <v>0</v>
      </c>
      <c r="K679" s="6">
        <f t="shared" si="51"/>
        <v>0</v>
      </c>
      <c r="L679" s="6">
        <f t="shared" si="52"/>
        <v>0</v>
      </c>
      <c r="M679" s="3" t="str" cm="1">
        <f t="array" ref="M679">INDEX(Types!A:A,1+BIN2DEC(MID($B679,20,2)))</f>
        <v>ALU</v>
      </c>
      <c r="N679" s="3" cm="1">
        <f t="array" ref="N679">IF(M679="ALU",INDEX(ALUOps!A:A,1+BIN2DEC(MID($B679,22,5))),"")</f>
        <v>31</v>
      </c>
      <c r="O679" s="3" cm="1">
        <f t="array" ref="O679">IF(M679="ALU",INDEX(TMP!A:A,1+BIN2DEC(MID($B679,27,2))),"")</f>
        <v>1</v>
      </c>
      <c r="P679" s="6">
        <f t="shared" si="65"/>
        <v>1</v>
      </c>
      <c r="Q679" t="str">
        <f t="shared" si="67"/>
        <v/>
      </c>
      <c r="R679" t="str">
        <f t="shared" si="68"/>
        <v/>
      </c>
      <c r="S679" t="str" cm="1">
        <f t="array" ref="S679">IF(M679="Control",INDEX(IC!A:A,1+BIN2DEC(MID($B679,21,4))),"")</f>
        <v/>
      </c>
      <c r="T679" t="str" cm="1">
        <f t="array" ref="T679">IF(M679="Control",INDEX(EC!A:A,1+BIN2DEC(MID($B679,25,3))),"")</f>
        <v/>
      </c>
      <c r="U679" t="str" cm="1">
        <f t="array" ref="U679">IF(M679="Control",INDEX(SR!A:A,1+BIN2DEC(MID($B679,28,2))),"")</f>
        <v/>
      </c>
    </row>
    <row r="680" spans="1:30" x14ac:dyDescent="0.25">
      <c r="A680" s="4" t="str">
        <f t="shared" si="66"/>
        <v>2A6</v>
      </c>
      <c r="B680" s="2" t="s">
        <v>157</v>
      </c>
      <c r="C680" s="3"/>
      <c r="D680" s="3"/>
      <c r="E680" s="3"/>
      <c r="F680" s="27" t="str" cm="1">
        <f t="array" ref="F680">INDEX(Sources!A:A, 1 + BIN2DEC(LEFT($B680,5)))</f>
        <v>UNK23</v>
      </c>
      <c r="G680" s="27" t="str" cm="1">
        <f t="array" ref="G680">INDEX(Dest1!A:A,1+BIN2DEC(MID($B680,6,5)))</f>
        <v>UNK17</v>
      </c>
      <c r="H680" s="27" t="str" cm="1">
        <f t="array" ref="H680">INDEX(Source2!A:A,1+BIN2DEC(MID($B680,11,4)))</f>
        <v>--</v>
      </c>
      <c r="I680" s="23" cm="1">
        <f t="array" ref="I680">INDEX('D2'!A:A,1+BIN2DEC(MID($B680,16,2)))</f>
        <v>0</v>
      </c>
      <c r="J680" s="6">
        <f t="shared" si="55"/>
        <v>0</v>
      </c>
      <c r="K680" s="6">
        <f t="shared" si="51"/>
        <v>0</v>
      </c>
      <c r="L680" s="6">
        <f t="shared" si="52"/>
        <v>0</v>
      </c>
      <c r="M680" s="3" t="str" cm="1">
        <f t="array" ref="M680">INDEX(Types!A:A,1+BIN2DEC(MID($B680,20,2)))</f>
        <v>Jump</v>
      </c>
      <c r="N680" s="3" t="str" cm="1">
        <f t="array" ref="N680">IF(M680="ALU",INDEX(ALUOps!A:A,1+BIN2DEC(MID($B680,22,5))),"")</f>
        <v/>
      </c>
      <c r="O680" s="3" t="str" cm="1">
        <f t="array" ref="O680">IF(M680="ALU",INDEX(TMP!A:A,1+BIN2DEC(MID($B680,27,2))),"")</f>
        <v/>
      </c>
      <c r="P680" s="6" t="str">
        <f t="shared" si="65"/>
        <v/>
      </c>
      <c r="Q680">
        <f t="shared" si="67"/>
        <v>13</v>
      </c>
      <c r="R680">
        <f t="shared" si="68"/>
        <v>7</v>
      </c>
      <c r="S680" t="str" cm="1">
        <f t="array" ref="S680">IF(M680="Control",INDEX(IC!A:A,1+BIN2DEC(MID($B680,21,4))),"")</f>
        <v/>
      </c>
      <c r="T680" t="str" cm="1">
        <f t="array" ref="T680">IF(M680="Control",INDEX(EC!A:A,1+BIN2DEC(MID($B680,25,3))),"")</f>
        <v/>
      </c>
      <c r="U680" t="str" cm="1">
        <f t="array" ref="U680">IF(M680="Control",INDEX(SR!A:A,1+BIN2DEC(MID($B680,28,2))),"")</f>
        <v/>
      </c>
    </row>
    <row r="681" spans="1:30" x14ac:dyDescent="0.25">
      <c r="A681" s="4" t="str">
        <f t="shared" si="66"/>
        <v>2A7</v>
      </c>
      <c r="B681" s="2" t="s">
        <v>210</v>
      </c>
      <c r="C681" s="3"/>
      <c r="D681" s="3"/>
      <c r="E681" s="3"/>
      <c r="F681" s="27" t="str" cm="1">
        <f t="array" ref="F681">INDEX(Sources!A:A, 1 + BIN2DEC(LEFT($B681,5)))</f>
        <v>UNK1</v>
      </c>
      <c r="G681" s="27" t="str" cm="1">
        <f t="array" ref="G681">INDEX(Dest1!A:A,1+BIN2DEC(MID($B681,6,5)))</f>
        <v>UNK26</v>
      </c>
      <c r="H681" s="27" t="str" cm="1">
        <f t="array" ref="H681">INDEX(Source2!A:A,1+BIN2DEC(MID($B681,11,4)))</f>
        <v>1</v>
      </c>
      <c r="I681" s="23" cm="1">
        <f t="array" ref="I681">INDEX('D2'!A:A,1+BIN2DEC(MID($B681,16,2)))</f>
        <v>0</v>
      </c>
      <c r="J681" s="6">
        <f t="shared" si="55"/>
        <v>0</v>
      </c>
      <c r="K681" s="6">
        <f t="shared" si="51"/>
        <v>0</v>
      </c>
      <c r="L681" s="6">
        <f t="shared" si="52"/>
        <v>0</v>
      </c>
      <c r="M681" s="3" t="str" cm="1">
        <f t="array" ref="M681">INDEX(Types!A:A,1+BIN2DEC(MID($B681,20,2)))</f>
        <v>Control</v>
      </c>
      <c r="N681" s="3" t="str" cm="1">
        <f t="array" ref="N681">IF(M681="ALU",INDEX(ALUOps!A:A,1+BIN2DEC(MID($B681,22,5))),"")</f>
        <v/>
      </c>
      <c r="O681" s="3" t="str" cm="1">
        <f t="array" ref="O681">IF(M681="ALU",INDEX(TMP!A:A,1+BIN2DEC(MID($B681,27,2))),"")</f>
        <v/>
      </c>
      <c r="P681" s="6" t="str">
        <f t="shared" si="65"/>
        <v/>
      </c>
      <c r="Q681" t="str">
        <f t="shared" si="67"/>
        <v/>
      </c>
      <c r="R681" t="str">
        <f t="shared" si="68"/>
        <v/>
      </c>
      <c r="S681" cm="1">
        <f t="array" ref="S681">IF(M681="Control",INDEX(IC!A:A,1+BIN2DEC(MID($B681,21,4))),"")</f>
        <v>0</v>
      </c>
      <c r="T681" cm="1">
        <f t="array" ref="T681">IF(M681="Control",INDEX(EC!A:A,1+BIN2DEC(MID($B681,25,3))),"")</f>
        <v>6</v>
      </c>
      <c r="U681" cm="1">
        <f t="array" ref="U681">IF(M681="Control",INDEX(SR!A:A,1+BIN2DEC(MID($B681,28,2))),"")</f>
        <v>0</v>
      </c>
    </row>
    <row r="682" spans="1:30" x14ac:dyDescent="0.25">
      <c r="A682" s="4" t="str">
        <f t="shared" si="66"/>
        <v>2A8</v>
      </c>
      <c r="B682" s="2" t="s">
        <v>207</v>
      </c>
      <c r="C682" s="2" t="s">
        <v>643</v>
      </c>
      <c r="D682" s="2" t="s">
        <v>932</v>
      </c>
      <c r="E682" s="2" t="s">
        <v>929</v>
      </c>
      <c r="F682" s="27" t="str" cm="1">
        <f t="array" ref="F682">INDEX(Sources!A:A, 1 + BIN2DEC(LEFT($B682,5)))</f>
        <v>SIGMA</v>
      </c>
      <c r="G682" s="27" t="str" cm="1">
        <f t="array" ref="G682">INDEX(Dest1!A:A,1+BIN2DEC(MID($B682,6,5)))</f>
        <v>UNK1</v>
      </c>
      <c r="H682" s="27" t="str" cm="1">
        <f t="array" ref="H682">INDEX(Source2!A:A,1+BIN2DEC(MID($B682,11,4)))</f>
        <v>--</v>
      </c>
      <c r="I682" s="23" cm="1">
        <f t="array" ref="I682">INDEX('D2'!A:A,1+BIN2DEC(MID($B682,16,2)))</f>
        <v>0</v>
      </c>
      <c r="J682" s="6">
        <f t="shared" si="55"/>
        <v>0</v>
      </c>
      <c r="K682" s="6">
        <f t="shared" si="51"/>
        <v>0</v>
      </c>
      <c r="L682" s="6">
        <f t="shared" si="52"/>
        <v>0</v>
      </c>
      <c r="M682" s="3" t="str" cm="1">
        <f t="array" ref="M682">INDEX(Types!A:A,1+BIN2DEC(MID($B682,20,2)))</f>
        <v>Control</v>
      </c>
      <c r="N682" s="3" t="str" cm="1">
        <f t="array" ref="N682">IF(M682="ALU",INDEX(ALUOps!A:A,1+BIN2DEC(MID($B682,22,5))),"")</f>
        <v/>
      </c>
      <c r="O682" s="3" t="str" cm="1">
        <f t="array" ref="O682">IF(M682="ALU",INDEX(TMP!A:A,1+BIN2DEC(MID($B682,27,2))),"")</f>
        <v/>
      </c>
      <c r="P682" s="6" t="str">
        <f t="shared" si="65"/>
        <v/>
      </c>
      <c r="Q682" t="str">
        <f t="shared" si="67"/>
        <v/>
      </c>
      <c r="R682" t="str">
        <f t="shared" si="68"/>
        <v/>
      </c>
      <c r="S682" cm="1">
        <f t="array" ref="S682">IF(M682="Control",INDEX(IC!A:A,1+BIN2DEC(MID($B682,21,4))),"")</f>
        <v>0</v>
      </c>
      <c r="T682" cm="1">
        <f t="array" ref="T682">IF(M682="Control",INDEX(EC!A:A,1+BIN2DEC(MID($B682,25,3))),"")</f>
        <v>0</v>
      </c>
      <c r="U682" cm="1">
        <f t="array" ref="U682">IF(M682="Control",INDEX(SR!A:A,1+BIN2DEC(MID($B682,28,2))),"")</f>
        <v>0</v>
      </c>
      <c r="AD682" s="1" t="s">
        <v>640</v>
      </c>
    </row>
    <row r="683" spans="1:30" x14ac:dyDescent="0.25">
      <c r="A683" s="4" t="str">
        <f t="shared" si="66"/>
        <v>2A9</v>
      </c>
      <c r="B683" s="2" t="s">
        <v>646</v>
      </c>
      <c r="C683" s="3"/>
      <c r="D683" s="3"/>
      <c r="E683" s="3"/>
      <c r="F683" s="27" t="str" cm="1">
        <f t="array" ref="F683">INDEX(Sources!A:A, 1 + BIN2DEC(LEFT($B683,5)))</f>
        <v>UNK5</v>
      </c>
      <c r="G683" s="27" t="str" cm="1">
        <f t="array" ref="G683">INDEX(Dest1!A:A,1+BIN2DEC(MID($B683,6,5)))</f>
        <v>UNK26</v>
      </c>
      <c r="H683" s="27" t="str" cm="1">
        <f t="array" ref="H683">INDEX(Source2!A:A,1+BIN2DEC(MID($B683,11,4)))</f>
        <v>--</v>
      </c>
      <c r="I683" s="23" cm="1">
        <f t="array" ref="I683">INDEX('D2'!A:A,1+BIN2DEC(MID($B683,16,2)))</f>
        <v>0</v>
      </c>
      <c r="J683" s="6">
        <f t="shared" si="55"/>
        <v>0</v>
      </c>
      <c r="K683" s="6">
        <f t="shared" si="51"/>
        <v>0</v>
      </c>
      <c r="L683" s="6">
        <f t="shared" si="52"/>
        <v>0</v>
      </c>
      <c r="M683" s="3" t="str" cm="1">
        <f t="array" ref="M683">INDEX(Types!A:A,1+BIN2DEC(MID($B683,20,2)))</f>
        <v>Control</v>
      </c>
      <c r="N683" s="3" t="str" cm="1">
        <f t="array" ref="N683">IF(M683="ALU",INDEX(ALUOps!A:A,1+BIN2DEC(MID($B683,22,5))),"")</f>
        <v/>
      </c>
      <c r="O683" s="3" t="str" cm="1">
        <f t="array" ref="O683">IF(M683="ALU",INDEX(TMP!A:A,1+BIN2DEC(MID($B683,27,2))),"")</f>
        <v/>
      </c>
      <c r="P683" s="6" t="str">
        <f t="shared" si="65"/>
        <v/>
      </c>
      <c r="Q683" t="str">
        <f t="shared" si="67"/>
        <v/>
      </c>
      <c r="R683" t="str">
        <f t="shared" si="68"/>
        <v/>
      </c>
      <c r="S683" cm="1">
        <f t="array" ref="S683">IF(M683="Control",INDEX(IC!A:A,1+BIN2DEC(MID($B683,21,4))),"")</f>
        <v>0</v>
      </c>
      <c r="T683" cm="1">
        <f t="array" ref="T683">IF(M683="Control",INDEX(EC!A:A,1+BIN2DEC(MID($B683,25,3))),"")</f>
        <v>5</v>
      </c>
      <c r="U683" cm="1">
        <f t="array" ref="U683">IF(M683="Control",INDEX(SR!A:A,1+BIN2DEC(MID($B683,28,2))),"")</f>
        <v>2</v>
      </c>
    </row>
    <row r="684" spans="1:30" x14ac:dyDescent="0.25">
      <c r="A684" s="4" t="str">
        <f t="shared" si="66"/>
        <v>2AA</v>
      </c>
      <c r="B684" s="2" t="s">
        <v>184</v>
      </c>
      <c r="C684" s="3"/>
      <c r="D684" s="3"/>
      <c r="E684" s="3"/>
      <c r="F684" s="27" t="str" cm="1">
        <f t="array" ref="F684">INDEX(Sources!A:A, 1 + BIN2DEC(LEFT($B684,5)))</f>
        <v>--</v>
      </c>
      <c r="G684" s="27" t="str" cm="1">
        <f t="array" ref="G684">INDEX(Dest1!A:A,1+BIN2DEC(MID($B684,6,5)))</f>
        <v>--</v>
      </c>
      <c r="H684" s="27" t="str" cm="1">
        <f t="array" ref="H684">INDEX(Source2!A:A,1+BIN2DEC(MID($B684,11,4)))</f>
        <v>--</v>
      </c>
      <c r="I684" s="23" cm="1">
        <f t="array" ref="I684">INDEX('D2'!A:A,1+BIN2DEC(MID($B684,16,2)))</f>
        <v>0</v>
      </c>
      <c r="J684" s="6">
        <f t="shared" si="55"/>
        <v>0</v>
      </c>
      <c r="K684" s="6">
        <f t="shared" si="51"/>
        <v>0</v>
      </c>
      <c r="L684" s="6">
        <f t="shared" si="52"/>
        <v>0</v>
      </c>
      <c r="M684" s="3" t="str" cm="1">
        <f t="array" ref="M684">INDEX(Types!A:A,1+BIN2DEC(MID($B684,20,2)))</f>
        <v>Jump</v>
      </c>
      <c r="N684" s="3" t="str" cm="1">
        <f t="array" ref="N684">IF(M684="ALU",INDEX(ALUOps!A:A,1+BIN2DEC(MID($B684,22,5))),"")</f>
        <v/>
      </c>
      <c r="O684" s="3" t="str" cm="1">
        <f t="array" ref="O684">IF(M684="ALU",INDEX(TMP!A:A,1+BIN2DEC(MID($B684,27,2))),"")</f>
        <v/>
      </c>
      <c r="P684" s="6" t="str">
        <f t="shared" si="65"/>
        <v/>
      </c>
      <c r="Q684">
        <f t="shared" si="67"/>
        <v>3</v>
      </c>
      <c r="R684">
        <f t="shared" si="68"/>
        <v>3</v>
      </c>
      <c r="S684" t="str" cm="1">
        <f t="array" ref="S684">IF(M684="Control",INDEX(IC!A:A,1+BIN2DEC(MID($B684,21,4))),"")</f>
        <v/>
      </c>
      <c r="T684" t="str" cm="1">
        <f t="array" ref="T684">IF(M684="Control",INDEX(EC!A:A,1+BIN2DEC(MID($B684,25,3))),"")</f>
        <v/>
      </c>
      <c r="U684" t="str" cm="1">
        <f t="array" ref="U684">IF(M684="Control",INDEX(SR!A:A,1+BIN2DEC(MID($B684,28,2))),"")</f>
        <v/>
      </c>
    </row>
    <row r="685" spans="1:30" x14ac:dyDescent="0.25">
      <c r="A685" s="4" t="str">
        <f t="shared" si="66"/>
        <v>2AB</v>
      </c>
      <c r="B685" s="2" t="s">
        <v>163</v>
      </c>
      <c r="C685" s="3"/>
      <c r="D685" s="3"/>
      <c r="E685" s="3"/>
      <c r="F685" s="27" t="str" cm="1">
        <f t="array" ref="F685">INDEX(Sources!A:A, 1 + BIN2DEC(LEFT($B685,5)))</f>
        <v>LC</v>
      </c>
      <c r="G685" s="27" t="str" cm="1">
        <f t="array" ref="G685">INDEX(Dest1!A:A,1+BIN2DEC(MID($B685,6,5)))</f>
        <v>C</v>
      </c>
      <c r="H685" s="27" t="str" cm="1">
        <f t="array" ref="H685">INDEX(Source2!A:A,1+BIN2DEC(MID($B685,11,4)))</f>
        <v>--</v>
      </c>
      <c r="I685" s="23" cm="1">
        <f t="array" ref="I685">INDEX('D2'!A:A,1+BIN2DEC(MID($B685,16,2)))</f>
        <v>0</v>
      </c>
      <c r="J685" s="6">
        <f t="shared" si="55"/>
        <v>0</v>
      </c>
      <c r="K685" s="6">
        <f t="shared" si="51"/>
        <v>0</v>
      </c>
      <c r="L685" s="6">
        <f t="shared" si="52"/>
        <v>0</v>
      </c>
      <c r="M685" s="3" t="str" cm="1">
        <f t="array" ref="M685">INDEX(Types!A:A,1+BIN2DEC(MID($B685,20,2)))</f>
        <v>Control</v>
      </c>
      <c r="N685" s="3" t="str" cm="1">
        <f t="array" ref="N685">IF(M685="ALU",INDEX(ALUOps!A:A,1+BIN2DEC(MID($B685,22,5))),"")</f>
        <v/>
      </c>
      <c r="O685" s="3" t="str" cm="1">
        <f t="array" ref="O685">IF(M685="ALU",INDEX(TMP!A:A,1+BIN2DEC(MID($B685,27,2))),"")</f>
        <v/>
      </c>
      <c r="P685" s="6" t="str">
        <f t="shared" si="65"/>
        <v/>
      </c>
      <c r="Q685" t="str">
        <f t="shared" si="67"/>
        <v/>
      </c>
      <c r="R685" t="str">
        <f t="shared" si="68"/>
        <v/>
      </c>
      <c r="S685" cm="1">
        <f t="array" ref="S685">IF(M685="Control",INDEX(IC!A:A,1+BIN2DEC(MID($B685,21,4))),"")</f>
        <v>1</v>
      </c>
      <c r="T685" cm="1">
        <f t="array" ref="T685">IF(M685="Control",INDEX(EC!A:A,1+BIN2DEC(MID($B685,25,3))),"")</f>
        <v>5</v>
      </c>
      <c r="U685" cm="1">
        <f t="array" ref="U685">IF(M685="Control",INDEX(SR!A:A,1+BIN2DEC(MID($B685,28,2))),"")</f>
        <v>3</v>
      </c>
    </row>
    <row r="686" spans="1:30" x14ac:dyDescent="0.25">
      <c r="A686" s="4" t="str">
        <f t="shared" si="66"/>
        <v>2AC</v>
      </c>
      <c r="B686" s="2" t="s">
        <v>647</v>
      </c>
      <c r="C686" s="2" t="s">
        <v>644</v>
      </c>
      <c r="D686" s="2" t="s">
        <v>936</v>
      </c>
      <c r="E686" s="2" t="s">
        <v>462</v>
      </c>
      <c r="F686" s="27" t="str" cm="1">
        <f t="array" ref="F686">INDEX(Sources!A:A, 1 + BIN2DEC(LEFT($B686,5)))</f>
        <v>OPR</v>
      </c>
      <c r="G686" s="27" t="str" cm="1">
        <f t="array" ref="G686">INDEX(Dest1!A:A,1+BIN2DEC(MID($B686,6,5)))</f>
        <v>TMPA</v>
      </c>
      <c r="H686" s="27" t="str" cm="1">
        <f t="array" ref="H686">INDEX(Source2!A:A,1+BIN2DEC(MID($B686,11,4)))</f>
        <v>6</v>
      </c>
      <c r="I686" s="23" t="str" cm="1">
        <f t="array" ref="I686">INDEX('D2'!A:A,1+BIN2DEC(MID($B686,16,2)))</f>
        <v>TMPB</v>
      </c>
      <c r="J686" s="6">
        <f t="shared" si="55"/>
        <v>0</v>
      </c>
      <c r="K686" s="6">
        <f t="shared" si="51"/>
        <v>0</v>
      </c>
      <c r="L686" s="6">
        <f t="shared" si="52"/>
        <v>0</v>
      </c>
      <c r="M686" s="3" t="str" cm="1">
        <f t="array" ref="M686">INDEX(Types!A:A,1+BIN2DEC(MID($B686,20,2)))</f>
        <v>ALU</v>
      </c>
      <c r="N686" s="3" cm="1">
        <f t="array" ref="N686">IF(M686="ALU",INDEX(ALUOps!A:A,1+BIN2DEC(MID($B686,22,5))),"")</f>
        <v>8</v>
      </c>
      <c r="O686" s="3" cm="1">
        <f t="array" ref="O686">IF(M686="ALU",INDEX(TMP!A:A,1+BIN2DEC(MID($B686,27,2))),"")</f>
        <v>3</v>
      </c>
      <c r="P686" s="6">
        <f t="shared" si="65"/>
        <v>1</v>
      </c>
      <c r="Q686" t="str">
        <f t="shared" si="67"/>
        <v/>
      </c>
      <c r="R686" t="str">
        <f t="shared" si="68"/>
        <v/>
      </c>
      <c r="S686" t="str" cm="1">
        <f t="array" ref="S686">IF(M686="Control",INDEX(IC!A:A,1+BIN2DEC(MID($B686,21,4))),"")</f>
        <v/>
      </c>
      <c r="T686" t="str" cm="1">
        <f t="array" ref="T686">IF(M686="Control",INDEX(EC!A:A,1+BIN2DEC(MID($B686,25,3))),"")</f>
        <v/>
      </c>
      <c r="U686" t="str" cm="1">
        <f t="array" ref="U686">IF(M686="Control",INDEX(SR!A:A,1+BIN2DEC(MID($B686,28,2))),"")</f>
        <v/>
      </c>
      <c r="X686" t="s">
        <v>1101</v>
      </c>
      <c r="AD686" s="1" t="s">
        <v>645</v>
      </c>
    </row>
    <row r="687" spans="1:30" x14ac:dyDescent="0.25">
      <c r="A687" s="4" t="str">
        <f t="shared" si="66"/>
        <v>2AD</v>
      </c>
      <c r="B687" s="2" t="s">
        <v>650</v>
      </c>
      <c r="C687" s="3"/>
      <c r="D687" s="3"/>
      <c r="E687" s="3"/>
      <c r="F687" s="27" t="str" cm="1">
        <f t="array" ref="F687">INDEX(Sources!A:A, 1 + BIN2DEC(LEFT($B687,5)))</f>
        <v>UNK10</v>
      </c>
      <c r="G687" s="27" t="str" cm="1">
        <f t="array" ref="G687">INDEX(Dest1!A:A,1+BIN2DEC(MID($B687,6,5)))</f>
        <v>TMPB</v>
      </c>
      <c r="H687" s="27" t="str" cm="1">
        <f t="array" ref="H687">INDEX(Source2!A:A,1+BIN2DEC(MID($B687,11,4)))</f>
        <v>--</v>
      </c>
      <c r="I687" s="23" cm="1">
        <f t="array" ref="I687">INDEX('D2'!A:A,1+BIN2DEC(MID($B687,16,2)))</f>
        <v>0</v>
      </c>
      <c r="J687" s="6">
        <f t="shared" si="55"/>
        <v>0</v>
      </c>
      <c r="K687" s="6">
        <f t="shared" si="51"/>
        <v>0</v>
      </c>
      <c r="L687" s="6">
        <f t="shared" si="52"/>
        <v>0</v>
      </c>
      <c r="M687" s="3" t="str" cm="1">
        <f t="array" ref="M687">INDEX(Types!A:A,1+BIN2DEC(MID($B687,20,2)))</f>
        <v>ALU</v>
      </c>
      <c r="N687" s="3" cm="1">
        <f t="array" ref="N687">IF(M687="ALU",INDEX(ALUOps!A:A,1+BIN2DEC(MID($B687,22,5))),"")</f>
        <v>27</v>
      </c>
      <c r="O687" s="3" cm="1">
        <f t="array" ref="O687">IF(M687="ALU",INDEX(TMP!A:A,1+BIN2DEC(MID($B687,27,2))),"")</f>
        <v>3</v>
      </c>
      <c r="P687" s="6">
        <f t="shared" si="65"/>
        <v>1</v>
      </c>
      <c r="Q687" t="str">
        <f t="shared" si="67"/>
        <v/>
      </c>
      <c r="R687" t="str">
        <f t="shared" si="68"/>
        <v/>
      </c>
      <c r="S687" t="str" cm="1">
        <f t="array" ref="S687">IF(M687="Control",INDEX(IC!A:A,1+BIN2DEC(MID($B687,21,4))),"")</f>
        <v/>
      </c>
      <c r="T687" t="str" cm="1">
        <f t="array" ref="T687">IF(M687="Control",INDEX(EC!A:A,1+BIN2DEC(MID($B687,25,3))),"")</f>
        <v/>
      </c>
      <c r="U687" t="str" cm="1">
        <f t="array" ref="U687">IF(M687="Control",INDEX(SR!A:A,1+BIN2DEC(MID($B687,28,2))),"")</f>
        <v/>
      </c>
    </row>
    <row r="688" spans="1:30" x14ac:dyDescent="0.25">
      <c r="A688" s="4" t="str">
        <f t="shared" si="66"/>
        <v>2AE</v>
      </c>
      <c r="B688" s="2" t="s">
        <v>218</v>
      </c>
      <c r="C688" s="3"/>
      <c r="D688" s="3"/>
      <c r="E688" s="3"/>
      <c r="F688" s="27" t="str" cm="1">
        <f t="array" ref="F688">INDEX(Sources!A:A, 1 + BIN2DEC(LEFT($B688,5)))</f>
        <v>SIGMA</v>
      </c>
      <c r="G688" s="27" t="str" cm="1">
        <f t="array" ref="G688">INDEX(Dest1!A:A,1+BIN2DEC(MID($B688,6,5)))</f>
        <v>UNK24</v>
      </c>
      <c r="H688" s="27" t="str" cm="1">
        <f t="array" ref="H688">INDEX(Source2!A:A,1+BIN2DEC(MID($B688,11,4)))</f>
        <v>--</v>
      </c>
      <c r="I688" s="23" cm="1">
        <f t="array" ref="I688">INDEX('D2'!A:A,1+BIN2DEC(MID($B688,16,2)))</f>
        <v>0</v>
      </c>
      <c r="J688" s="6">
        <f t="shared" si="55"/>
        <v>0</v>
      </c>
      <c r="K688" s="6">
        <f t="shared" si="51"/>
        <v>1</v>
      </c>
      <c r="L688" s="6">
        <f t="shared" si="52"/>
        <v>1</v>
      </c>
      <c r="M688" s="3" t="str" cm="1">
        <f t="array" ref="M688">INDEX(Types!A:A,1+BIN2DEC(MID($B688,20,2)))</f>
        <v>Control</v>
      </c>
      <c r="N688" s="3" t="str" cm="1">
        <f t="array" ref="N688">IF(M688="ALU",INDEX(ALUOps!A:A,1+BIN2DEC(MID($B688,22,5))),"")</f>
        <v/>
      </c>
      <c r="O688" s="3" t="str" cm="1">
        <f t="array" ref="O688">IF(M688="ALU",INDEX(TMP!A:A,1+BIN2DEC(MID($B688,27,2))),"")</f>
        <v/>
      </c>
      <c r="P688" s="6" t="str">
        <f t="shared" si="65"/>
        <v/>
      </c>
      <c r="Q688" t="str">
        <f t="shared" si="67"/>
        <v/>
      </c>
      <c r="R688" t="str">
        <f t="shared" si="68"/>
        <v/>
      </c>
      <c r="S688" cm="1">
        <f t="array" ref="S688">IF(M688="Control",INDEX(IC!A:A,1+BIN2DEC(MID($B688,21,4))),"")</f>
        <v>0</v>
      </c>
      <c r="T688" cm="1">
        <f t="array" ref="T688">IF(M688="Control",INDEX(EC!A:A,1+BIN2DEC(MID($B688,25,3))),"")</f>
        <v>0</v>
      </c>
      <c r="U688" cm="1">
        <f t="array" ref="U688">IF(M688="Control",INDEX(SR!A:A,1+BIN2DEC(MID($B688,28,2))),"")</f>
        <v>0</v>
      </c>
    </row>
    <row r="689" spans="1:30" x14ac:dyDescent="0.25">
      <c r="A689" s="4" t="str">
        <f t="shared" si="66"/>
        <v>2AF</v>
      </c>
      <c r="B689" s="2" t="s">
        <v>4</v>
      </c>
      <c r="C689" s="3"/>
      <c r="D689" s="3"/>
      <c r="E689" s="3"/>
      <c r="F689" s="27" t="str" cm="1">
        <f t="array" ref="F689">INDEX(Sources!A:A, 1 + BIN2DEC(LEFT($B689,5)))</f>
        <v>--</v>
      </c>
      <c r="G689" s="27" t="str" cm="1">
        <f t="array" ref="G689">INDEX(Dest1!A:A,1+BIN2DEC(MID($B689,6,5)))</f>
        <v>--</v>
      </c>
      <c r="H689" s="27" t="str" cm="1">
        <f t="array" ref="H689">INDEX(Source2!A:A,1+BIN2DEC(MID($B689,11,4)))</f>
        <v>--</v>
      </c>
      <c r="I689" s="23" cm="1">
        <f t="array" ref="I689">INDEX('D2'!A:A,1+BIN2DEC(MID($B689,16,2)))</f>
        <v>0</v>
      </c>
      <c r="J689" s="6">
        <f t="shared" si="55"/>
        <v>0</v>
      </c>
      <c r="K689" s="6">
        <f t="shared" si="51"/>
        <v>0</v>
      </c>
      <c r="L689" s="6">
        <f t="shared" si="52"/>
        <v>0</v>
      </c>
      <c r="M689" s="3" t="str" cm="1">
        <f t="array" ref="M689">INDEX(Types!A:A,1+BIN2DEC(MID($B689,20,2)))</f>
        <v>Control</v>
      </c>
      <c r="N689" s="3" t="str" cm="1">
        <f t="array" ref="N689">IF(M689="ALU",INDEX(ALUOps!A:A,1+BIN2DEC(MID($B689,22,5))),"")</f>
        <v/>
      </c>
      <c r="O689" s="3" t="str" cm="1">
        <f t="array" ref="O689">IF(M689="ALU",INDEX(TMP!A:A,1+BIN2DEC(MID($B689,27,2))),"")</f>
        <v/>
      </c>
      <c r="P689" s="6" t="str">
        <f t="shared" si="65"/>
        <v/>
      </c>
      <c r="Q689" t="str">
        <f t="shared" si="67"/>
        <v/>
      </c>
      <c r="R689" t="str">
        <f t="shared" si="68"/>
        <v/>
      </c>
      <c r="S689" cm="1">
        <f t="array" ref="S689">IF(M689="Control",INDEX(IC!A:A,1+BIN2DEC(MID($B689,21,4))),"")</f>
        <v>0</v>
      </c>
      <c r="T689" cm="1">
        <f t="array" ref="T689">IF(M689="Control",INDEX(EC!A:A,1+BIN2DEC(MID($B689,25,3))),"")</f>
        <v>0</v>
      </c>
      <c r="U689" cm="1">
        <f t="array" ref="U689">IF(M689="Control",INDEX(SR!A:A,1+BIN2DEC(MID($B689,28,2))),"")</f>
        <v>0</v>
      </c>
    </row>
    <row r="690" spans="1:30" x14ac:dyDescent="0.25">
      <c r="A690" s="4" t="str">
        <f t="shared" si="66"/>
        <v>2B0</v>
      </c>
      <c r="B690" s="2" t="s">
        <v>651</v>
      </c>
      <c r="C690" s="2" t="s">
        <v>648</v>
      </c>
      <c r="D690" s="2" t="s">
        <v>936</v>
      </c>
      <c r="E690" s="2" t="s">
        <v>462</v>
      </c>
      <c r="F690" s="27" t="str" cm="1">
        <f t="array" ref="F690">INDEX(Sources!A:A, 1 + BIN2DEC(LEFT($B690,5)))</f>
        <v>OPR</v>
      </c>
      <c r="G690" s="27" t="str" cm="1">
        <f t="array" ref="G690">INDEX(Dest1!A:A,1+BIN2DEC(MID($B690,6,5)))</f>
        <v>TMPA</v>
      </c>
      <c r="H690" s="27" t="str" cm="1">
        <f t="array" ref="H690">INDEX(Source2!A:A,1+BIN2DEC(MID($B690,11,4)))</f>
        <v>Q</v>
      </c>
      <c r="I690" s="23" t="str" cm="1">
        <f t="array" ref="I690">INDEX('D2'!A:A,1+BIN2DEC(MID($B690,16,2)))</f>
        <v>TMPB</v>
      </c>
      <c r="J690" s="6">
        <f t="shared" si="55"/>
        <v>0</v>
      </c>
      <c r="K690" s="6">
        <f t="shared" si="51"/>
        <v>0</v>
      </c>
      <c r="L690" s="6">
        <f t="shared" si="52"/>
        <v>0</v>
      </c>
      <c r="M690" s="3" t="str" cm="1">
        <f t="array" ref="M690">INDEX(Types!A:A,1+BIN2DEC(MID($B690,20,2)))</f>
        <v>ALU</v>
      </c>
      <c r="N690" s="3" cm="1">
        <f t="array" ref="N690">IF(M690="ALU",INDEX(ALUOps!A:A,1+BIN2DEC(MID($B690,22,5))),"")</f>
        <v>8</v>
      </c>
      <c r="O690" s="3" cm="1">
        <f t="array" ref="O690">IF(M690="ALU",INDEX(TMP!A:A,1+BIN2DEC(MID($B690,27,2))),"")</f>
        <v>3</v>
      </c>
      <c r="P690" s="6">
        <f t="shared" si="65"/>
        <v>1</v>
      </c>
      <c r="Q690" t="str">
        <f t="shared" si="67"/>
        <v/>
      </c>
      <c r="R690" t="str">
        <f t="shared" si="68"/>
        <v/>
      </c>
      <c r="S690" t="str" cm="1">
        <f t="array" ref="S690">IF(M690="Control",INDEX(IC!A:A,1+BIN2DEC(MID($B690,21,4))),"")</f>
        <v/>
      </c>
      <c r="T690" t="str" cm="1">
        <f t="array" ref="T690">IF(M690="Control",INDEX(EC!A:A,1+BIN2DEC(MID($B690,25,3))),"")</f>
        <v/>
      </c>
      <c r="U690" t="str" cm="1">
        <f t="array" ref="U690">IF(M690="Control",INDEX(SR!A:A,1+BIN2DEC(MID($B690,28,2))),"")</f>
        <v/>
      </c>
      <c r="X690" t="s">
        <v>1102</v>
      </c>
      <c r="AD690" s="1" t="s">
        <v>649</v>
      </c>
    </row>
    <row r="691" spans="1:30" x14ac:dyDescent="0.25">
      <c r="A691" s="4" t="str">
        <f t="shared" si="66"/>
        <v>2B1</v>
      </c>
      <c r="B691" s="2" t="s">
        <v>650</v>
      </c>
      <c r="C691" s="3"/>
      <c r="D691" s="3"/>
      <c r="E691" s="3"/>
      <c r="F691" s="27" t="str" cm="1">
        <f t="array" ref="F691">INDEX(Sources!A:A, 1 + BIN2DEC(LEFT($B691,5)))</f>
        <v>UNK10</v>
      </c>
      <c r="G691" s="27" t="str" cm="1">
        <f t="array" ref="G691">INDEX(Dest1!A:A,1+BIN2DEC(MID($B691,6,5)))</f>
        <v>TMPB</v>
      </c>
      <c r="H691" s="27" t="str" cm="1">
        <f t="array" ref="H691">INDEX(Source2!A:A,1+BIN2DEC(MID($B691,11,4)))</f>
        <v>--</v>
      </c>
      <c r="I691" s="23" cm="1">
        <f t="array" ref="I691">INDEX('D2'!A:A,1+BIN2DEC(MID($B691,16,2)))</f>
        <v>0</v>
      </c>
      <c r="J691" s="6">
        <f t="shared" si="55"/>
        <v>0</v>
      </c>
      <c r="K691" s="6">
        <f t="shared" si="51"/>
        <v>0</v>
      </c>
      <c r="L691" s="6">
        <f t="shared" si="52"/>
        <v>0</v>
      </c>
      <c r="M691" s="3" t="str" cm="1">
        <f t="array" ref="M691">INDEX(Types!A:A,1+BIN2DEC(MID($B691,20,2)))</f>
        <v>ALU</v>
      </c>
      <c r="N691" s="3" cm="1">
        <f t="array" ref="N691">IF(M691="ALU",INDEX(ALUOps!A:A,1+BIN2DEC(MID($B691,22,5))),"")</f>
        <v>27</v>
      </c>
      <c r="O691" s="3" cm="1">
        <f t="array" ref="O691">IF(M691="ALU",INDEX(TMP!A:A,1+BIN2DEC(MID($B691,27,2))),"")</f>
        <v>3</v>
      </c>
      <c r="P691" s="6">
        <f t="shared" si="65"/>
        <v>1</v>
      </c>
      <c r="Q691" t="str">
        <f t="shared" si="67"/>
        <v/>
      </c>
      <c r="R691" t="str">
        <f t="shared" si="68"/>
        <v/>
      </c>
      <c r="S691" t="str" cm="1">
        <f t="array" ref="S691">IF(M691="Control",INDEX(IC!A:A,1+BIN2DEC(MID($B691,21,4))),"")</f>
        <v/>
      </c>
      <c r="T691" t="str" cm="1">
        <f t="array" ref="T691">IF(M691="Control",INDEX(EC!A:A,1+BIN2DEC(MID($B691,25,3))),"")</f>
        <v/>
      </c>
      <c r="U691" t="str" cm="1">
        <f t="array" ref="U691">IF(M691="Control",INDEX(SR!A:A,1+BIN2DEC(MID($B691,28,2))),"")</f>
        <v/>
      </c>
    </row>
    <row r="692" spans="1:30" x14ac:dyDescent="0.25">
      <c r="A692" s="4" t="str">
        <f t="shared" si="66"/>
        <v>2B2</v>
      </c>
      <c r="B692" s="2" t="s">
        <v>218</v>
      </c>
      <c r="C692" s="3"/>
      <c r="D692" s="3"/>
      <c r="E692" s="3"/>
      <c r="F692" s="27" t="str" cm="1">
        <f t="array" ref="F692">INDEX(Sources!A:A, 1 + BIN2DEC(LEFT($B692,5)))</f>
        <v>SIGMA</v>
      </c>
      <c r="G692" s="27" t="str" cm="1">
        <f t="array" ref="G692">INDEX(Dest1!A:A,1+BIN2DEC(MID($B692,6,5)))</f>
        <v>UNK24</v>
      </c>
      <c r="H692" s="27" t="str" cm="1">
        <f t="array" ref="H692">INDEX(Source2!A:A,1+BIN2DEC(MID($B692,11,4)))</f>
        <v>--</v>
      </c>
      <c r="I692" s="23" cm="1">
        <f t="array" ref="I692">INDEX('D2'!A:A,1+BIN2DEC(MID($B692,16,2)))</f>
        <v>0</v>
      </c>
      <c r="J692" s="6">
        <f t="shared" si="55"/>
        <v>0</v>
      </c>
      <c r="K692" s="6">
        <f t="shared" si="51"/>
        <v>1</v>
      </c>
      <c r="L692" s="6">
        <f t="shared" si="52"/>
        <v>1</v>
      </c>
      <c r="M692" s="3" t="str" cm="1">
        <f t="array" ref="M692">INDEX(Types!A:A,1+BIN2DEC(MID($B692,20,2)))</f>
        <v>Control</v>
      </c>
      <c r="N692" s="3" t="str" cm="1">
        <f t="array" ref="N692">IF(M692="ALU",INDEX(ALUOps!A:A,1+BIN2DEC(MID($B692,22,5))),"")</f>
        <v/>
      </c>
      <c r="O692" s="3" t="str" cm="1">
        <f t="array" ref="O692">IF(M692="ALU",INDEX(TMP!A:A,1+BIN2DEC(MID($B692,27,2))),"")</f>
        <v/>
      </c>
      <c r="P692" s="6" t="str">
        <f t="shared" si="65"/>
        <v/>
      </c>
      <c r="Q692" t="str">
        <f t="shared" si="67"/>
        <v/>
      </c>
      <c r="R692" t="str">
        <f t="shared" si="68"/>
        <v/>
      </c>
      <c r="S692" cm="1">
        <f t="array" ref="S692">IF(M692="Control",INDEX(IC!A:A,1+BIN2DEC(MID($B692,21,4))),"")</f>
        <v>0</v>
      </c>
      <c r="T692" cm="1">
        <f t="array" ref="T692">IF(M692="Control",INDEX(EC!A:A,1+BIN2DEC(MID($B692,25,3))),"")</f>
        <v>0</v>
      </c>
      <c r="U692" cm="1">
        <f t="array" ref="U692">IF(M692="Control",INDEX(SR!A:A,1+BIN2DEC(MID($B692,28,2))),"")</f>
        <v>0</v>
      </c>
    </row>
    <row r="693" spans="1:30" x14ac:dyDescent="0.25">
      <c r="A693" s="4" t="str">
        <f t="shared" si="66"/>
        <v>2B3</v>
      </c>
      <c r="B693" s="2" t="s">
        <v>4</v>
      </c>
      <c r="C693" s="3"/>
      <c r="D693" s="3"/>
      <c r="E693" s="3"/>
      <c r="F693" s="27" t="str" cm="1">
        <f t="array" ref="F693">INDEX(Sources!A:A, 1 + BIN2DEC(LEFT($B693,5)))</f>
        <v>--</v>
      </c>
      <c r="G693" s="27" t="str" cm="1">
        <f t="array" ref="G693">INDEX(Dest1!A:A,1+BIN2DEC(MID($B693,6,5)))</f>
        <v>--</v>
      </c>
      <c r="H693" s="27" t="str" cm="1">
        <f t="array" ref="H693">INDEX(Source2!A:A,1+BIN2DEC(MID($B693,11,4)))</f>
        <v>--</v>
      </c>
      <c r="I693" s="23" cm="1">
        <f t="array" ref="I693">INDEX('D2'!A:A,1+BIN2DEC(MID($B693,16,2)))</f>
        <v>0</v>
      </c>
      <c r="J693" s="6">
        <f t="shared" si="55"/>
        <v>0</v>
      </c>
      <c r="K693" s="6">
        <f t="shared" si="51"/>
        <v>0</v>
      </c>
      <c r="L693" s="6">
        <f t="shared" si="52"/>
        <v>0</v>
      </c>
      <c r="M693" s="3" t="str" cm="1">
        <f t="array" ref="M693">INDEX(Types!A:A,1+BIN2DEC(MID($B693,20,2)))</f>
        <v>Control</v>
      </c>
      <c r="N693" s="3" t="str" cm="1">
        <f t="array" ref="N693">IF(M693="ALU",INDEX(ALUOps!A:A,1+BIN2DEC(MID($B693,22,5))),"")</f>
        <v/>
      </c>
      <c r="O693" s="3" t="str" cm="1">
        <f t="array" ref="O693">IF(M693="ALU",INDEX(TMP!A:A,1+BIN2DEC(MID($B693,27,2))),"")</f>
        <v/>
      </c>
      <c r="P693" s="6" t="str">
        <f t="shared" si="65"/>
        <v/>
      </c>
      <c r="Q693" t="str">
        <f t="shared" si="67"/>
        <v/>
      </c>
      <c r="R693" t="str">
        <f t="shared" si="68"/>
        <v/>
      </c>
      <c r="S693" cm="1">
        <f t="array" ref="S693">IF(M693="Control",INDEX(IC!A:A,1+BIN2DEC(MID($B693,21,4))),"")</f>
        <v>0</v>
      </c>
      <c r="T693" cm="1">
        <f t="array" ref="T693">IF(M693="Control",INDEX(EC!A:A,1+BIN2DEC(MID($B693,25,3))),"")</f>
        <v>0</v>
      </c>
      <c r="U693" cm="1">
        <f t="array" ref="U693">IF(M693="Control",INDEX(SR!A:A,1+BIN2DEC(MID($B693,28,2))),"")</f>
        <v>0</v>
      </c>
    </row>
    <row r="694" spans="1:30" x14ac:dyDescent="0.25">
      <c r="A694" s="4" t="str">
        <f t="shared" si="66"/>
        <v>2B4</v>
      </c>
      <c r="B694" s="2" t="s">
        <v>647</v>
      </c>
      <c r="C694" s="2" t="s">
        <v>652</v>
      </c>
      <c r="D694" s="2" t="s">
        <v>936</v>
      </c>
      <c r="E694" s="2" t="s">
        <v>462</v>
      </c>
      <c r="F694" s="27" t="str" cm="1">
        <f t="array" ref="F694">INDEX(Sources!A:A, 1 + BIN2DEC(LEFT($B694,5)))</f>
        <v>OPR</v>
      </c>
      <c r="G694" s="27" t="str" cm="1">
        <f t="array" ref="G694">INDEX(Dest1!A:A,1+BIN2DEC(MID($B694,6,5)))</f>
        <v>TMPA</v>
      </c>
      <c r="H694" s="27" t="str" cm="1">
        <f t="array" ref="H694">INDEX(Source2!A:A,1+BIN2DEC(MID($B694,11,4)))</f>
        <v>6</v>
      </c>
      <c r="I694" s="23" t="str" cm="1">
        <f t="array" ref="I694">INDEX('D2'!A:A,1+BIN2DEC(MID($B694,16,2)))</f>
        <v>TMPB</v>
      </c>
      <c r="J694" s="6">
        <f t="shared" si="55"/>
        <v>0</v>
      </c>
      <c r="K694" s="6">
        <f t="shared" si="51"/>
        <v>0</v>
      </c>
      <c r="L694" s="6">
        <f t="shared" si="52"/>
        <v>0</v>
      </c>
      <c r="M694" s="3" t="str" cm="1">
        <f t="array" ref="M694">INDEX(Types!A:A,1+BIN2DEC(MID($B694,20,2)))</f>
        <v>ALU</v>
      </c>
      <c r="N694" s="3" cm="1">
        <f t="array" ref="N694">IF(M694="ALU",INDEX(ALUOps!A:A,1+BIN2DEC(MID($B694,22,5))),"")</f>
        <v>8</v>
      </c>
      <c r="O694" s="3" cm="1">
        <f t="array" ref="O694">IF(M694="ALU",INDEX(TMP!A:A,1+BIN2DEC(MID($B694,27,2))),"")</f>
        <v>3</v>
      </c>
      <c r="P694" s="6">
        <f t="shared" si="65"/>
        <v>1</v>
      </c>
      <c r="Q694" t="str">
        <f t="shared" si="67"/>
        <v/>
      </c>
      <c r="R694" t="str">
        <f t="shared" si="68"/>
        <v/>
      </c>
      <c r="S694" t="str" cm="1">
        <f t="array" ref="S694">IF(M694="Control",INDEX(IC!A:A,1+BIN2DEC(MID($B694,21,4))),"")</f>
        <v/>
      </c>
      <c r="T694" t="str" cm="1">
        <f t="array" ref="T694">IF(M694="Control",INDEX(EC!A:A,1+BIN2DEC(MID($B694,25,3))),"")</f>
        <v/>
      </c>
      <c r="U694" t="str" cm="1">
        <f t="array" ref="U694">IF(M694="Control",INDEX(SR!A:A,1+BIN2DEC(MID($B694,28,2))),"")</f>
        <v/>
      </c>
      <c r="X694" t="s">
        <v>1104</v>
      </c>
      <c r="AD694" s="1" t="s">
        <v>653</v>
      </c>
    </row>
    <row r="695" spans="1:30" x14ac:dyDescent="0.25">
      <c r="A695" s="4" t="str">
        <f t="shared" si="66"/>
        <v>2B5</v>
      </c>
      <c r="B695" s="2" t="s">
        <v>656</v>
      </c>
      <c r="C695" s="3"/>
      <c r="D695" s="3"/>
      <c r="E695" s="3"/>
      <c r="F695" s="27" t="str" cm="1">
        <f t="array" ref="F695">INDEX(Sources!A:A, 1 + BIN2DEC(LEFT($B695,5)))</f>
        <v>UNK10</v>
      </c>
      <c r="G695" s="27" t="str" cm="1">
        <f t="array" ref="G695">INDEX(Dest1!A:A,1+BIN2DEC(MID($B695,6,5)))</f>
        <v>TMPB</v>
      </c>
      <c r="H695" s="27" t="str" cm="1">
        <f t="array" ref="H695">INDEX(Source2!A:A,1+BIN2DEC(MID($B695,11,4)))</f>
        <v>--</v>
      </c>
      <c r="I695" s="23" cm="1">
        <f t="array" ref="I695">INDEX('D2'!A:A,1+BIN2DEC(MID($B695,16,2)))</f>
        <v>0</v>
      </c>
      <c r="J695" s="6">
        <f t="shared" si="55"/>
        <v>0</v>
      </c>
      <c r="K695" s="6">
        <f t="shared" si="51"/>
        <v>0</v>
      </c>
      <c r="L695" s="6">
        <f t="shared" si="52"/>
        <v>0</v>
      </c>
      <c r="M695" s="3" t="str" cm="1">
        <f t="array" ref="M695">INDEX(Types!A:A,1+BIN2DEC(MID($B695,20,2)))</f>
        <v>ALU</v>
      </c>
      <c r="N695" s="3" cm="1">
        <f t="array" ref="N695">IF(M695="ALU",INDEX(ALUOps!A:A,1+BIN2DEC(MID($B695,22,5))),"")</f>
        <v>30</v>
      </c>
      <c r="O695" s="3" cm="1">
        <f t="array" ref="O695">IF(M695="ALU",INDEX(TMP!A:A,1+BIN2DEC(MID($B695,27,2))),"")</f>
        <v>3</v>
      </c>
      <c r="P695" s="6">
        <f t="shared" si="65"/>
        <v>1</v>
      </c>
      <c r="Q695" t="str">
        <f t="shared" si="67"/>
        <v/>
      </c>
      <c r="R695" t="str">
        <f t="shared" si="68"/>
        <v/>
      </c>
      <c r="S695" t="str" cm="1">
        <f t="array" ref="S695">IF(M695="Control",INDEX(IC!A:A,1+BIN2DEC(MID($B695,21,4))),"")</f>
        <v/>
      </c>
      <c r="T695" t="str" cm="1">
        <f t="array" ref="T695">IF(M695="Control",INDEX(EC!A:A,1+BIN2DEC(MID($B695,25,3))),"")</f>
        <v/>
      </c>
      <c r="U695" t="str" cm="1">
        <f t="array" ref="U695">IF(M695="Control",INDEX(SR!A:A,1+BIN2DEC(MID($B695,28,2))),"")</f>
        <v/>
      </c>
    </row>
    <row r="696" spans="1:30" x14ac:dyDescent="0.25">
      <c r="A696" s="4" t="str">
        <f t="shared" si="66"/>
        <v>2B6</v>
      </c>
      <c r="B696" s="2" t="s">
        <v>271</v>
      </c>
      <c r="C696" s="3"/>
      <c r="D696" s="3"/>
      <c r="E696" s="3"/>
      <c r="F696" s="27" t="str" cm="1">
        <f t="array" ref="F696">INDEX(Sources!A:A, 1 + BIN2DEC(LEFT($B696,5)))</f>
        <v>SIGMA</v>
      </c>
      <c r="G696" s="27" t="str" cm="1">
        <f t="array" ref="G696">INDEX(Dest1!A:A,1+BIN2DEC(MID($B696,6,5)))</f>
        <v>OPR</v>
      </c>
      <c r="H696" s="27" t="str" cm="1">
        <f t="array" ref="H696">INDEX(Source2!A:A,1+BIN2DEC(MID($B696,11,4)))</f>
        <v>--</v>
      </c>
      <c r="I696" s="23" cm="1">
        <f t="array" ref="I696">INDEX('D2'!A:A,1+BIN2DEC(MID($B696,16,2)))</f>
        <v>0</v>
      </c>
      <c r="J696" s="6">
        <f t="shared" si="55"/>
        <v>0</v>
      </c>
      <c r="K696" s="6">
        <f t="shared" si="51"/>
        <v>0</v>
      </c>
      <c r="L696" s="6">
        <f t="shared" si="52"/>
        <v>1</v>
      </c>
      <c r="M696" s="3" t="str" cm="1">
        <f t="array" ref="M696">INDEX(Types!A:A,1+BIN2DEC(MID($B696,20,2)))</f>
        <v>Control</v>
      </c>
      <c r="N696" s="3" t="str" cm="1">
        <f t="array" ref="N696">IF(M696="ALU",INDEX(ALUOps!A:A,1+BIN2DEC(MID($B696,22,5))),"")</f>
        <v/>
      </c>
      <c r="O696" s="3" t="str" cm="1">
        <f t="array" ref="O696">IF(M696="ALU",INDEX(TMP!A:A,1+BIN2DEC(MID($B696,27,2))),"")</f>
        <v/>
      </c>
      <c r="P696" s="6" t="str">
        <f t="shared" si="65"/>
        <v/>
      </c>
      <c r="Q696" t="str">
        <f t="shared" si="67"/>
        <v/>
      </c>
      <c r="R696" t="str">
        <f t="shared" si="68"/>
        <v/>
      </c>
      <c r="S696" cm="1">
        <f t="array" ref="S696">IF(M696="Control",INDEX(IC!A:A,1+BIN2DEC(MID($B696,21,4))),"")</f>
        <v>0</v>
      </c>
      <c r="T696" cm="1">
        <f t="array" ref="T696">IF(M696="Control",INDEX(EC!A:A,1+BIN2DEC(MID($B696,25,3))),"")</f>
        <v>1</v>
      </c>
      <c r="U696" cm="1">
        <f t="array" ref="U696">IF(M696="Control",INDEX(SR!A:A,1+BIN2DEC(MID($B696,28,2))),"")</f>
        <v>0</v>
      </c>
    </row>
    <row r="697" spans="1:30" x14ac:dyDescent="0.25">
      <c r="A697" s="4" t="str">
        <f t="shared" si="66"/>
        <v>2B7</v>
      </c>
      <c r="B697" s="2" t="s">
        <v>4</v>
      </c>
      <c r="C697" s="3"/>
      <c r="D697" s="3"/>
      <c r="E697" s="3"/>
      <c r="F697" s="27" t="str" cm="1">
        <f t="array" ref="F697">INDEX(Sources!A:A, 1 + BIN2DEC(LEFT($B697,5)))</f>
        <v>--</v>
      </c>
      <c r="G697" s="27" t="str" cm="1">
        <f t="array" ref="G697">INDEX(Dest1!A:A,1+BIN2DEC(MID($B697,6,5)))</f>
        <v>--</v>
      </c>
      <c r="H697" s="27" t="str" cm="1">
        <f t="array" ref="H697">INDEX(Source2!A:A,1+BIN2DEC(MID($B697,11,4)))</f>
        <v>--</v>
      </c>
      <c r="I697" s="23" cm="1">
        <f t="array" ref="I697">INDEX('D2'!A:A,1+BIN2DEC(MID($B697,16,2)))</f>
        <v>0</v>
      </c>
      <c r="J697" s="6">
        <f t="shared" si="55"/>
        <v>0</v>
      </c>
      <c r="K697" s="6">
        <f t="shared" si="51"/>
        <v>0</v>
      </c>
      <c r="L697" s="6">
        <f t="shared" si="52"/>
        <v>0</v>
      </c>
      <c r="M697" s="3" t="str" cm="1">
        <f t="array" ref="M697">INDEX(Types!A:A,1+BIN2DEC(MID($B697,20,2)))</f>
        <v>Control</v>
      </c>
      <c r="N697" s="3" t="str" cm="1">
        <f t="array" ref="N697">IF(M697="ALU",INDEX(ALUOps!A:A,1+BIN2DEC(MID($B697,22,5))),"")</f>
        <v/>
      </c>
      <c r="O697" s="3" t="str" cm="1">
        <f t="array" ref="O697">IF(M697="ALU",INDEX(TMP!A:A,1+BIN2DEC(MID($B697,27,2))),"")</f>
        <v/>
      </c>
      <c r="P697" s="6" t="str">
        <f t="shared" si="65"/>
        <v/>
      </c>
      <c r="Q697" t="str">
        <f t="shared" si="67"/>
        <v/>
      </c>
      <c r="R697" t="str">
        <f t="shared" si="68"/>
        <v/>
      </c>
      <c r="S697" cm="1">
        <f t="array" ref="S697">IF(M697="Control",INDEX(IC!A:A,1+BIN2DEC(MID($B697,21,4))),"")</f>
        <v>0</v>
      </c>
      <c r="T697" cm="1">
        <f t="array" ref="T697">IF(M697="Control",INDEX(EC!A:A,1+BIN2DEC(MID($B697,25,3))),"")</f>
        <v>0</v>
      </c>
      <c r="U697" cm="1">
        <f t="array" ref="U697">IF(M697="Control",INDEX(SR!A:A,1+BIN2DEC(MID($B697,28,2))),"")</f>
        <v>0</v>
      </c>
    </row>
    <row r="698" spans="1:30" x14ac:dyDescent="0.25">
      <c r="A698" s="4" t="str">
        <f t="shared" si="66"/>
        <v>2B8</v>
      </c>
      <c r="B698" s="2" t="s">
        <v>651</v>
      </c>
      <c r="C698" s="2" t="s">
        <v>654</v>
      </c>
      <c r="D698" s="2" t="s">
        <v>936</v>
      </c>
      <c r="E698" s="2" t="s">
        <v>462</v>
      </c>
      <c r="F698" s="27" t="str" cm="1">
        <f t="array" ref="F698">INDEX(Sources!A:A, 1 + BIN2DEC(LEFT($B698,5)))</f>
        <v>OPR</v>
      </c>
      <c r="G698" s="27" t="str" cm="1">
        <f t="array" ref="G698">INDEX(Dest1!A:A,1+BIN2DEC(MID($B698,6,5)))</f>
        <v>TMPA</v>
      </c>
      <c r="H698" s="27" t="str" cm="1">
        <f t="array" ref="H698">INDEX(Source2!A:A,1+BIN2DEC(MID($B698,11,4)))</f>
        <v>Q</v>
      </c>
      <c r="I698" s="23" t="str" cm="1">
        <f t="array" ref="I698">INDEX('D2'!A:A,1+BIN2DEC(MID($B698,16,2)))</f>
        <v>TMPB</v>
      </c>
      <c r="J698" s="6">
        <f t="shared" si="55"/>
        <v>0</v>
      </c>
      <c r="K698" s="6">
        <f t="shared" si="51"/>
        <v>0</v>
      </c>
      <c r="L698" s="6">
        <f t="shared" si="52"/>
        <v>0</v>
      </c>
      <c r="M698" s="3" t="str" cm="1">
        <f t="array" ref="M698">INDEX(Types!A:A,1+BIN2DEC(MID($B698,20,2)))</f>
        <v>ALU</v>
      </c>
      <c r="N698" s="3" cm="1">
        <f t="array" ref="N698">IF(M698="ALU",INDEX(ALUOps!A:A,1+BIN2DEC(MID($B698,22,5))),"")</f>
        <v>8</v>
      </c>
      <c r="O698" s="3" cm="1">
        <f t="array" ref="O698">IF(M698="ALU",INDEX(TMP!A:A,1+BIN2DEC(MID($B698,27,2))),"")</f>
        <v>3</v>
      </c>
      <c r="P698" s="6">
        <f t="shared" si="65"/>
        <v>1</v>
      </c>
      <c r="Q698" t="str">
        <f t="shared" si="67"/>
        <v/>
      </c>
      <c r="R698" t="str">
        <f t="shared" si="68"/>
        <v/>
      </c>
      <c r="S698" t="str" cm="1">
        <f t="array" ref="S698">IF(M698="Control",INDEX(IC!A:A,1+BIN2DEC(MID($B698,21,4))),"")</f>
        <v/>
      </c>
      <c r="T698" t="str" cm="1">
        <f t="array" ref="T698">IF(M698="Control",INDEX(EC!A:A,1+BIN2DEC(MID($B698,25,3))),"")</f>
        <v/>
      </c>
      <c r="U698" t="str" cm="1">
        <f t="array" ref="U698">IF(M698="Control",INDEX(SR!A:A,1+BIN2DEC(MID($B698,28,2))),"")</f>
        <v/>
      </c>
      <c r="X698" t="s">
        <v>1105</v>
      </c>
      <c r="AD698" s="1" t="s">
        <v>655</v>
      </c>
    </row>
    <row r="699" spans="1:30" x14ac:dyDescent="0.25">
      <c r="A699" s="4" t="str">
        <f t="shared" si="66"/>
        <v>2B9</v>
      </c>
      <c r="B699" s="2" t="s">
        <v>656</v>
      </c>
      <c r="C699" s="3"/>
      <c r="D699" s="3"/>
      <c r="E699" s="3"/>
      <c r="F699" s="27" t="str" cm="1">
        <f t="array" ref="F699">INDEX(Sources!A:A, 1 + BIN2DEC(LEFT($B699,5)))</f>
        <v>UNK10</v>
      </c>
      <c r="G699" s="27" t="str" cm="1">
        <f t="array" ref="G699">INDEX(Dest1!A:A,1+BIN2DEC(MID($B699,6,5)))</f>
        <v>TMPB</v>
      </c>
      <c r="H699" s="27" t="str" cm="1">
        <f t="array" ref="H699">INDEX(Source2!A:A,1+BIN2DEC(MID($B699,11,4)))</f>
        <v>--</v>
      </c>
      <c r="I699" s="23" cm="1">
        <f t="array" ref="I699">INDEX('D2'!A:A,1+BIN2DEC(MID($B699,16,2)))</f>
        <v>0</v>
      </c>
      <c r="J699" s="6">
        <f t="shared" si="55"/>
        <v>0</v>
      </c>
      <c r="K699" s="6">
        <f t="shared" si="51"/>
        <v>0</v>
      </c>
      <c r="L699" s="6">
        <f t="shared" si="52"/>
        <v>0</v>
      </c>
      <c r="M699" s="3" t="str" cm="1">
        <f t="array" ref="M699">INDEX(Types!A:A,1+BIN2DEC(MID($B699,20,2)))</f>
        <v>ALU</v>
      </c>
      <c r="N699" s="3" cm="1">
        <f t="array" ref="N699">IF(M699="ALU",INDEX(ALUOps!A:A,1+BIN2DEC(MID($B699,22,5))),"")</f>
        <v>30</v>
      </c>
      <c r="O699" s="3" cm="1">
        <f t="array" ref="O699">IF(M699="ALU",INDEX(TMP!A:A,1+BIN2DEC(MID($B699,27,2))),"")</f>
        <v>3</v>
      </c>
      <c r="P699" s="6">
        <f t="shared" si="65"/>
        <v>1</v>
      </c>
      <c r="Q699" t="str">
        <f t="shared" si="67"/>
        <v/>
      </c>
      <c r="R699" t="str">
        <f t="shared" si="68"/>
        <v/>
      </c>
      <c r="S699" t="str" cm="1">
        <f t="array" ref="S699">IF(M699="Control",INDEX(IC!A:A,1+BIN2DEC(MID($B699,21,4))),"")</f>
        <v/>
      </c>
      <c r="T699" t="str" cm="1">
        <f t="array" ref="T699">IF(M699="Control",INDEX(EC!A:A,1+BIN2DEC(MID($B699,25,3))),"")</f>
        <v/>
      </c>
      <c r="U699" t="str" cm="1">
        <f t="array" ref="U699">IF(M699="Control",INDEX(SR!A:A,1+BIN2DEC(MID($B699,28,2))),"")</f>
        <v/>
      </c>
    </row>
    <row r="700" spans="1:30" x14ac:dyDescent="0.25">
      <c r="A700" s="4" t="str">
        <f t="shared" si="66"/>
        <v>2BA</v>
      </c>
      <c r="B700" s="2" t="s">
        <v>271</v>
      </c>
      <c r="C700" s="3"/>
      <c r="D700" s="3"/>
      <c r="E700" s="3"/>
      <c r="F700" s="27" t="str" cm="1">
        <f t="array" ref="F700">INDEX(Sources!A:A, 1 + BIN2DEC(LEFT($B700,5)))</f>
        <v>SIGMA</v>
      </c>
      <c r="G700" s="27" t="str" cm="1">
        <f t="array" ref="G700">INDEX(Dest1!A:A,1+BIN2DEC(MID($B700,6,5)))</f>
        <v>OPR</v>
      </c>
      <c r="H700" s="27" t="str" cm="1">
        <f t="array" ref="H700">INDEX(Source2!A:A,1+BIN2DEC(MID($B700,11,4)))</f>
        <v>--</v>
      </c>
      <c r="I700" s="23" cm="1">
        <f t="array" ref="I700">INDEX('D2'!A:A,1+BIN2DEC(MID($B700,16,2)))</f>
        <v>0</v>
      </c>
      <c r="J700" s="6">
        <f t="shared" si="55"/>
        <v>0</v>
      </c>
      <c r="K700" s="6">
        <f t="shared" si="51"/>
        <v>0</v>
      </c>
      <c r="L700" s="6">
        <f t="shared" si="52"/>
        <v>1</v>
      </c>
      <c r="M700" s="3" t="str" cm="1">
        <f t="array" ref="M700">INDEX(Types!A:A,1+BIN2DEC(MID($B700,20,2)))</f>
        <v>Control</v>
      </c>
      <c r="N700" s="3" t="str" cm="1">
        <f t="array" ref="N700">IF(M700="ALU",INDEX(ALUOps!A:A,1+BIN2DEC(MID($B700,22,5))),"")</f>
        <v/>
      </c>
      <c r="O700" s="3" t="str" cm="1">
        <f t="array" ref="O700">IF(M700="ALU",INDEX(TMP!A:A,1+BIN2DEC(MID($B700,27,2))),"")</f>
        <v/>
      </c>
      <c r="P700" s="6" t="str">
        <f t="shared" si="65"/>
        <v/>
      </c>
      <c r="Q700" t="str">
        <f t="shared" si="67"/>
        <v/>
      </c>
      <c r="R700" t="str">
        <f t="shared" si="68"/>
        <v/>
      </c>
      <c r="S700" cm="1">
        <f t="array" ref="S700">IF(M700="Control",INDEX(IC!A:A,1+BIN2DEC(MID($B700,21,4))),"")</f>
        <v>0</v>
      </c>
      <c r="T700" cm="1">
        <f t="array" ref="T700">IF(M700="Control",INDEX(EC!A:A,1+BIN2DEC(MID($B700,25,3))),"")</f>
        <v>1</v>
      </c>
      <c r="U700" cm="1">
        <f t="array" ref="U700">IF(M700="Control",INDEX(SR!A:A,1+BIN2DEC(MID($B700,28,2))),"")</f>
        <v>0</v>
      </c>
    </row>
    <row r="701" spans="1:30" x14ac:dyDescent="0.25">
      <c r="A701" s="4" t="str">
        <f t="shared" si="66"/>
        <v>2BB</v>
      </c>
      <c r="B701" s="2" t="s">
        <v>4</v>
      </c>
      <c r="C701" s="3"/>
      <c r="D701" s="3"/>
      <c r="E701" s="3"/>
      <c r="F701" s="27" t="str" cm="1">
        <f t="array" ref="F701">INDEX(Sources!A:A, 1 + BIN2DEC(LEFT($B701,5)))</f>
        <v>--</v>
      </c>
      <c r="G701" s="27" t="str" cm="1">
        <f t="array" ref="G701">INDEX(Dest1!A:A,1+BIN2DEC(MID($B701,6,5)))</f>
        <v>--</v>
      </c>
      <c r="H701" s="27" t="str" cm="1">
        <f t="array" ref="H701">INDEX(Source2!A:A,1+BIN2DEC(MID($B701,11,4)))</f>
        <v>--</v>
      </c>
      <c r="I701" s="23" cm="1">
        <f t="array" ref="I701">INDEX('D2'!A:A,1+BIN2DEC(MID($B701,16,2)))</f>
        <v>0</v>
      </c>
      <c r="J701" s="6">
        <f t="shared" si="55"/>
        <v>0</v>
      </c>
      <c r="K701" s="6">
        <f t="shared" si="51"/>
        <v>0</v>
      </c>
      <c r="L701" s="6">
        <f t="shared" si="52"/>
        <v>0</v>
      </c>
      <c r="M701" s="3" t="str" cm="1">
        <f t="array" ref="M701">INDEX(Types!A:A,1+BIN2DEC(MID($B701,20,2)))</f>
        <v>Control</v>
      </c>
      <c r="N701" s="3" t="str" cm="1">
        <f t="array" ref="N701">IF(M701="ALU",INDEX(ALUOps!A:A,1+BIN2DEC(MID($B701,22,5))),"")</f>
        <v/>
      </c>
      <c r="O701" s="3" t="str" cm="1">
        <f t="array" ref="O701">IF(M701="ALU",INDEX(TMP!A:A,1+BIN2DEC(MID($B701,27,2))),"")</f>
        <v/>
      </c>
      <c r="P701" s="6" t="str">
        <f t="shared" si="65"/>
        <v/>
      </c>
      <c r="Q701" t="str">
        <f t="shared" si="67"/>
        <v/>
      </c>
      <c r="R701" t="str">
        <f t="shared" si="68"/>
        <v/>
      </c>
      <c r="S701" cm="1">
        <f t="array" ref="S701">IF(M701="Control",INDEX(IC!A:A,1+BIN2DEC(MID($B701,21,4))),"")</f>
        <v>0</v>
      </c>
      <c r="T701" cm="1">
        <f t="array" ref="T701">IF(M701="Control",INDEX(EC!A:A,1+BIN2DEC(MID($B701,25,3))),"")</f>
        <v>0</v>
      </c>
      <c r="U701" cm="1">
        <f t="array" ref="U701">IF(M701="Control",INDEX(SR!A:A,1+BIN2DEC(MID($B701,28,2))),"")</f>
        <v>0</v>
      </c>
    </row>
    <row r="702" spans="1:30" x14ac:dyDescent="0.25">
      <c r="A702" s="4" t="str">
        <f t="shared" si="66"/>
        <v>2BC</v>
      </c>
      <c r="B702" s="2" t="s">
        <v>647</v>
      </c>
      <c r="C702" s="2" t="s">
        <v>657</v>
      </c>
      <c r="D702" s="2" t="s">
        <v>936</v>
      </c>
      <c r="E702" s="2" t="s">
        <v>462</v>
      </c>
      <c r="F702" s="27" t="str" cm="1">
        <f t="array" ref="F702">INDEX(Sources!A:A, 1 + BIN2DEC(LEFT($B702,5)))</f>
        <v>OPR</v>
      </c>
      <c r="G702" s="27" t="str" cm="1">
        <f t="array" ref="G702">INDEX(Dest1!A:A,1+BIN2DEC(MID($B702,6,5)))</f>
        <v>TMPA</v>
      </c>
      <c r="H702" s="27" t="str" cm="1">
        <f t="array" ref="H702">INDEX(Source2!A:A,1+BIN2DEC(MID($B702,11,4)))</f>
        <v>6</v>
      </c>
      <c r="I702" s="23" t="str" cm="1">
        <f t="array" ref="I702">INDEX('D2'!A:A,1+BIN2DEC(MID($B702,16,2)))</f>
        <v>TMPB</v>
      </c>
      <c r="J702" s="6">
        <f t="shared" si="55"/>
        <v>0</v>
      </c>
      <c r="K702" s="6">
        <f t="shared" si="51"/>
        <v>0</v>
      </c>
      <c r="L702" s="6">
        <f t="shared" si="52"/>
        <v>0</v>
      </c>
      <c r="M702" s="3" t="str" cm="1">
        <f t="array" ref="M702">INDEX(Types!A:A,1+BIN2DEC(MID($B702,20,2)))</f>
        <v>ALU</v>
      </c>
      <c r="N702" s="3" cm="1">
        <f t="array" ref="N702">IF(M702="ALU",INDEX(ALUOps!A:A,1+BIN2DEC(MID($B702,22,5))),"")</f>
        <v>8</v>
      </c>
      <c r="O702" s="3" cm="1">
        <f t="array" ref="O702">IF(M702="ALU",INDEX(TMP!A:A,1+BIN2DEC(MID($B702,27,2))),"")</f>
        <v>3</v>
      </c>
      <c r="P702" s="6">
        <f t="shared" si="65"/>
        <v>1</v>
      </c>
      <c r="Q702" t="str">
        <f t="shared" si="67"/>
        <v/>
      </c>
      <c r="R702" t="str">
        <f t="shared" si="68"/>
        <v/>
      </c>
      <c r="S702" t="str" cm="1">
        <f t="array" ref="S702">IF(M702="Control",INDEX(IC!A:A,1+BIN2DEC(MID($B702,21,4))),"")</f>
        <v/>
      </c>
      <c r="T702" t="str" cm="1">
        <f t="array" ref="T702">IF(M702="Control",INDEX(EC!A:A,1+BIN2DEC(MID($B702,25,3))),"")</f>
        <v/>
      </c>
      <c r="U702" t="str" cm="1">
        <f t="array" ref="U702">IF(M702="Control",INDEX(SR!A:A,1+BIN2DEC(MID($B702,28,2))),"")</f>
        <v/>
      </c>
      <c r="X702" t="s">
        <v>1103</v>
      </c>
      <c r="AD702" s="1" t="s">
        <v>658</v>
      </c>
    </row>
    <row r="703" spans="1:30" x14ac:dyDescent="0.25">
      <c r="A703" s="4" t="str">
        <f t="shared" si="66"/>
        <v>2BD</v>
      </c>
      <c r="B703" s="2" t="s">
        <v>661</v>
      </c>
      <c r="C703" s="3"/>
      <c r="D703" s="3"/>
      <c r="E703" s="3"/>
      <c r="F703" s="27" t="str" cm="1">
        <f t="array" ref="F703">INDEX(Sources!A:A, 1 + BIN2DEC(LEFT($B703,5)))</f>
        <v>UNK10</v>
      </c>
      <c r="G703" s="27" t="str" cm="1">
        <f t="array" ref="G703">INDEX(Dest1!A:A,1+BIN2DEC(MID($B703,6,5)))</f>
        <v>TMPB</v>
      </c>
      <c r="H703" s="27" t="str" cm="1">
        <f t="array" ref="H703">INDEX(Source2!A:A,1+BIN2DEC(MID($B703,11,4)))</f>
        <v>--</v>
      </c>
      <c r="I703" s="23" cm="1">
        <f t="array" ref="I703">INDEX('D2'!A:A,1+BIN2DEC(MID($B703,16,2)))</f>
        <v>0</v>
      </c>
      <c r="J703" s="6">
        <f t="shared" si="55"/>
        <v>0</v>
      </c>
      <c r="K703" s="6">
        <f t="shared" si="51"/>
        <v>0</v>
      </c>
      <c r="L703" s="6">
        <f t="shared" si="52"/>
        <v>0</v>
      </c>
      <c r="M703" s="3" t="str" cm="1">
        <f t="array" ref="M703">INDEX(Types!A:A,1+BIN2DEC(MID($B703,20,2)))</f>
        <v>ALU</v>
      </c>
      <c r="N703" s="3" cm="1">
        <f t="array" ref="N703">IF(M703="ALU",INDEX(ALUOps!A:A,1+BIN2DEC(MID($B703,22,5))),"")</f>
        <v>5</v>
      </c>
      <c r="O703" s="3" cm="1">
        <f t="array" ref="O703">IF(M703="ALU",INDEX(TMP!A:A,1+BIN2DEC(MID($B703,27,2))),"")</f>
        <v>3</v>
      </c>
      <c r="P703" s="6">
        <f t="shared" si="65"/>
        <v>1</v>
      </c>
      <c r="Q703" t="str">
        <f t="shared" si="67"/>
        <v/>
      </c>
      <c r="R703" t="str">
        <f t="shared" si="68"/>
        <v/>
      </c>
      <c r="S703" t="str" cm="1">
        <f t="array" ref="S703">IF(M703="Control",INDEX(IC!A:A,1+BIN2DEC(MID($B703,21,4))),"")</f>
        <v/>
      </c>
      <c r="T703" t="str" cm="1">
        <f t="array" ref="T703">IF(M703="Control",INDEX(EC!A:A,1+BIN2DEC(MID($B703,25,3))),"")</f>
        <v/>
      </c>
      <c r="U703" t="str" cm="1">
        <f t="array" ref="U703">IF(M703="Control",INDEX(SR!A:A,1+BIN2DEC(MID($B703,28,2))),"")</f>
        <v/>
      </c>
    </row>
    <row r="704" spans="1:30" x14ac:dyDescent="0.25">
      <c r="A704" s="4" t="str">
        <f t="shared" si="66"/>
        <v>2BE</v>
      </c>
      <c r="B704" s="2" t="s">
        <v>662</v>
      </c>
      <c r="C704" s="3"/>
      <c r="D704" s="3"/>
      <c r="E704" s="3"/>
      <c r="F704" s="27" t="str" cm="1">
        <f t="array" ref="F704">INDEX(Sources!A:A, 1 + BIN2DEC(LEFT($B704,5)))</f>
        <v>SIGMA</v>
      </c>
      <c r="G704" s="27" t="str" cm="1">
        <f t="array" ref="G704">INDEX(Dest1!A:A,1+BIN2DEC(MID($B704,6,5)))</f>
        <v>TMPB</v>
      </c>
      <c r="H704" s="27" t="str" cm="1">
        <f t="array" ref="H704">INDEX(Source2!A:A,1+BIN2DEC(MID($B704,11,4)))</f>
        <v>--</v>
      </c>
      <c r="I704" s="23" cm="1">
        <f t="array" ref="I704">INDEX('D2'!A:A,1+BIN2DEC(MID($B704,16,2)))</f>
        <v>0</v>
      </c>
      <c r="J704" s="6">
        <f t="shared" si="55"/>
        <v>0</v>
      </c>
      <c r="K704" s="6">
        <f t="shared" si="51"/>
        <v>0</v>
      </c>
      <c r="L704" s="6">
        <f t="shared" si="52"/>
        <v>0</v>
      </c>
      <c r="M704" s="3" t="str" cm="1">
        <f t="array" ref="M704">INDEX(Types!A:A,1+BIN2DEC(MID($B704,20,2)))</f>
        <v>ALU</v>
      </c>
      <c r="N704" s="3" cm="1">
        <f t="array" ref="N704">IF(M704="ALU",INDEX(ALUOps!A:A,1+BIN2DEC(MID($B704,22,5))),"")</f>
        <v>27</v>
      </c>
      <c r="O704" s="3" cm="1">
        <f t="array" ref="O704">IF(M704="ALU",INDEX(TMP!A:A,1+BIN2DEC(MID($B704,27,2))),"")</f>
        <v>3</v>
      </c>
      <c r="P704" s="6">
        <f t="shared" si="65"/>
        <v>1</v>
      </c>
      <c r="Q704" t="str">
        <f t="shared" si="67"/>
        <v/>
      </c>
      <c r="R704" t="str">
        <f t="shared" si="68"/>
        <v/>
      </c>
      <c r="S704" t="str" cm="1">
        <f t="array" ref="S704">IF(M704="Control",INDEX(IC!A:A,1+BIN2DEC(MID($B704,21,4))),"")</f>
        <v/>
      </c>
      <c r="T704" t="str" cm="1">
        <f t="array" ref="T704">IF(M704="Control",INDEX(EC!A:A,1+BIN2DEC(MID($B704,25,3))),"")</f>
        <v/>
      </c>
      <c r="U704" t="str" cm="1">
        <f t="array" ref="U704">IF(M704="Control",INDEX(SR!A:A,1+BIN2DEC(MID($B704,28,2))),"")</f>
        <v/>
      </c>
    </row>
    <row r="705" spans="1:30" x14ac:dyDescent="0.25">
      <c r="A705" s="4" t="str">
        <f t="shared" si="66"/>
        <v>2BF</v>
      </c>
      <c r="B705" s="2" t="s">
        <v>271</v>
      </c>
      <c r="C705" s="3"/>
      <c r="D705" s="3"/>
      <c r="E705" s="3"/>
      <c r="F705" s="27" t="str" cm="1">
        <f t="array" ref="F705">INDEX(Sources!A:A, 1 + BIN2DEC(LEFT($B705,5)))</f>
        <v>SIGMA</v>
      </c>
      <c r="G705" s="27" t="str" cm="1">
        <f t="array" ref="G705">INDEX(Dest1!A:A,1+BIN2DEC(MID($B705,6,5)))</f>
        <v>OPR</v>
      </c>
      <c r="H705" s="27" t="str" cm="1">
        <f t="array" ref="H705">INDEX(Source2!A:A,1+BIN2DEC(MID($B705,11,4)))</f>
        <v>--</v>
      </c>
      <c r="I705" s="23" cm="1">
        <f t="array" ref="I705">INDEX('D2'!A:A,1+BIN2DEC(MID($B705,16,2)))</f>
        <v>0</v>
      </c>
      <c r="J705" s="6">
        <f t="shared" si="55"/>
        <v>0</v>
      </c>
      <c r="K705" s="6">
        <f t="shared" si="51"/>
        <v>0</v>
      </c>
      <c r="L705" s="6">
        <f t="shared" si="52"/>
        <v>1</v>
      </c>
      <c r="M705" s="3" t="str" cm="1">
        <f t="array" ref="M705">INDEX(Types!A:A,1+BIN2DEC(MID($B705,20,2)))</f>
        <v>Control</v>
      </c>
      <c r="N705" s="3" t="str" cm="1">
        <f t="array" ref="N705">IF(M705="ALU",INDEX(ALUOps!A:A,1+BIN2DEC(MID($B705,22,5))),"")</f>
        <v/>
      </c>
      <c r="O705" s="3" t="str" cm="1">
        <f t="array" ref="O705">IF(M705="ALU",INDEX(TMP!A:A,1+BIN2DEC(MID($B705,27,2))),"")</f>
        <v/>
      </c>
      <c r="P705" s="6" t="str">
        <f t="shared" si="65"/>
        <v/>
      </c>
      <c r="Q705" t="str">
        <f t="shared" si="67"/>
        <v/>
      </c>
      <c r="R705" t="str">
        <f t="shared" si="68"/>
        <v/>
      </c>
      <c r="S705" cm="1">
        <f t="array" ref="S705">IF(M705="Control",INDEX(IC!A:A,1+BIN2DEC(MID($B705,21,4))),"")</f>
        <v>0</v>
      </c>
      <c r="T705" cm="1">
        <f t="array" ref="T705">IF(M705="Control",INDEX(EC!A:A,1+BIN2DEC(MID($B705,25,3))),"")</f>
        <v>1</v>
      </c>
      <c r="U705" cm="1">
        <f t="array" ref="U705">IF(M705="Control",INDEX(SR!A:A,1+BIN2DEC(MID($B705,28,2))),"")</f>
        <v>0</v>
      </c>
    </row>
    <row r="706" spans="1:30" x14ac:dyDescent="0.25">
      <c r="A706" s="4" t="str">
        <f t="shared" si="66"/>
        <v>2C0</v>
      </c>
      <c r="B706" s="2" t="s">
        <v>651</v>
      </c>
      <c r="C706" s="2" t="s">
        <v>659</v>
      </c>
      <c r="D706" s="2" t="s">
        <v>936</v>
      </c>
      <c r="E706" s="2" t="s">
        <v>462</v>
      </c>
      <c r="F706" s="27" t="str" cm="1">
        <f t="array" ref="F706">INDEX(Sources!A:A, 1 + BIN2DEC(LEFT($B706,5)))</f>
        <v>OPR</v>
      </c>
      <c r="G706" s="27" t="str" cm="1">
        <f t="array" ref="G706">INDEX(Dest1!A:A,1+BIN2DEC(MID($B706,6,5)))</f>
        <v>TMPA</v>
      </c>
      <c r="H706" s="27" t="str" cm="1">
        <f t="array" ref="H706">INDEX(Source2!A:A,1+BIN2DEC(MID($B706,11,4)))</f>
        <v>Q</v>
      </c>
      <c r="I706" s="23" t="str" cm="1">
        <f t="array" ref="I706">INDEX('D2'!A:A,1+BIN2DEC(MID($B706,16,2)))</f>
        <v>TMPB</v>
      </c>
      <c r="J706" s="6">
        <f t="shared" si="55"/>
        <v>0</v>
      </c>
      <c r="K706" s="6">
        <f t="shared" ref="K706:K769" si="69">BIN2DEC(MID($B706,18,1))</f>
        <v>0</v>
      </c>
      <c r="L706" s="6">
        <f t="shared" ref="L706:L769" si="70">BIN2DEC(MID($B706,19,1))</f>
        <v>0</v>
      </c>
      <c r="M706" s="3" t="str" cm="1">
        <f t="array" ref="M706">INDEX(Types!A:A,1+BIN2DEC(MID($B706,20,2)))</f>
        <v>ALU</v>
      </c>
      <c r="N706" s="3" cm="1">
        <f t="array" ref="N706">IF(M706="ALU",INDEX(ALUOps!A:A,1+BIN2DEC(MID($B706,22,5))),"")</f>
        <v>8</v>
      </c>
      <c r="O706" s="3" cm="1">
        <f t="array" ref="O706">IF(M706="ALU",INDEX(TMP!A:A,1+BIN2DEC(MID($B706,27,2))),"")</f>
        <v>3</v>
      </c>
      <c r="P706" s="6">
        <f t="shared" ref="P706:P769" si="71">IF(M706="ALU",BIN2DEC(MID($B706,29,1)),"")</f>
        <v>1</v>
      </c>
      <c r="Q706" t="str">
        <f t="shared" si="67"/>
        <v/>
      </c>
      <c r="R706" t="str">
        <f t="shared" si="68"/>
        <v/>
      </c>
      <c r="S706" t="str" cm="1">
        <f t="array" ref="S706">IF(M706="Control",INDEX(IC!A:A,1+BIN2DEC(MID($B706,21,4))),"")</f>
        <v/>
      </c>
      <c r="T706" t="str" cm="1">
        <f t="array" ref="T706">IF(M706="Control",INDEX(EC!A:A,1+BIN2DEC(MID($B706,25,3))),"")</f>
        <v/>
      </c>
      <c r="U706" t="str" cm="1">
        <f t="array" ref="U706">IF(M706="Control",INDEX(SR!A:A,1+BIN2DEC(MID($B706,28,2))),"")</f>
        <v/>
      </c>
      <c r="X706" t="s">
        <v>1106</v>
      </c>
      <c r="AD706" s="1" t="s">
        <v>660</v>
      </c>
    </row>
    <row r="707" spans="1:30" x14ac:dyDescent="0.25">
      <c r="A707" s="4" t="str">
        <f t="shared" ref="A707:A770" si="72">DEC2HEX(ROW(A706)-ROW($A$1),3)</f>
        <v>2C1</v>
      </c>
      <c r="B707" s="2" t="s">
        <v>661</v>
      </c>
      <c r="C707" s="3"/>
      <c r="D707" s="3"/>
      <c r="E707" s="3"/>
      <c r="F707" s="27" t="str" cm="1">
        <f t="array" ref="F707">INDEX(Sources!A:A, 1 + BIN2DEC(LEFT($B707,5)))</f>
        <v>UNK10</v>
      </c>
      <c r="G707" s="27" t="str" cm="1">
        <f t="array" ref="G707">INDEX(Dest1!A:A,1+BIN2DEC(MID($B707,6,5)))</f>
        <v>TMPB</v>
      </c>
      <c r="H707" s="27" t="str" cm="1">
        <f t="array" ref="H707">INDEX(Source2!A:A,1+BIN2DEC(MID($B707,11,4)))</f>
        <v>--</v>
      </c>
      <c r="I707" s="23" cm="1">
        <f t="array" ref="I707">INDEX('D2'!A:A,1+BIN2DEC(MID($B707,16,2)))</f>
        <v>0</v>
      </c>
      <c r="J707" s="6">
        <f t="shared" ref="J707:J770" si="73">BIN2DEC(MID($B707,17,1))</f>
        <v>0</v>
      </c>
      <c r="K707" s="6">
        <f t="shared" si="69"/>
        <v>0</v>
      </c>
      <c r="L707" s="6">
        <f t="shared" si="70"/>
        <v>0</v>
      </c>
      <c r="M707" s="3" t="str" cm="1">
        <f t="array" ref="M707">INDEX(Types!A:A,1+BIN2DEC(MID($B707,20,2)))</f>
        <v>ALU</v>
      </c>
      <c r="N707" s="3" cm="1">
        <f t="array" ref="N707">IF(M707="ALU",INDEX(ALUOps!A:A,1+BIN2DEC(MID($B707,22,5))),"")</f>
        <v>5</v>
      </c>
      <c r="O707" s="3" cm="1">
        <f t="array" ref="O707">IF(M707="ALU",INDEX(TMP!A:A,1+BIN2DEC(MID($B707,27,2))),"")</f>
        <v>3</v>
      </c>
      <c r="P707" s="6">
        <f t="shared" si="71"/>
        <v>1</v>
      </c>
      <c r="Q707" t="str">
        <f t="shared" ref="Q707:Q770" si="74">IF(M707="Jump",BIN2DEC(MID($B707,22,4)),"")</f>
        <v/>
      </c>
      <c r="R707" t="str">
        <f t="shared" si="68"/>
        <v/>
      </c>
      <c r="S707" t="str" cm="1">
        <f t="array" ref="S707">IF(M707="Control",INDEX(IC!A:A,1+BIN2DEC(MID($B707,21,4))),"")</f>
        <v/>
      </c>
      <c r="T707" t="str" cm="1">
        <f t="array" ref="T707">IF(M707="Control",INDEX(EC!A:A,1+BIN2DEC(MID($B707,25,3))),"")</f>
        <v/>
      </c>
      <c r="U707" t="str" cm="1">
        <f t="array" ref="U707">IF(M707="Control",INDEX(SR!A:A,1+BIN2DEC(MID($B707,28,2))),"")</f>
        <v/>
      </c>
    </row>
    <row r="708" spans="1:30" x14ac:dyDescent="0.25">
      <c r="A708" s="4" t="str">
        <f t="shared" si="72"/>
        <v>2C2</v>
      </c>
      <c r="B708" s="2" t="s">
        <v>662</v>
      </c>
      <c r="C708" s="3"/>
      <c r="D708" s="3"/>
      <c r="E708" s="3"/>
      <c r="F708" s="27" t="str" cm="1">
        <f t="array" ref="F708">INDEX(Sources!A:A, 1 + BIN2DEC(LEFT($B708,5)))</f>
        <v>SIGMA</v>
      </c>
      <c r="G708" s="27" t="str" cm="1">
        <f t="array" ref="G708">INDEX(Dest1!A:A,1+BIN2DEC(MID($B708,6,5)))</f>
        <v>TMPB</v>
      </c>
      <c r="H708" s="27" t="str" cm="1">
        <f t="array" ref="H708">INDEX(Source2!A:A,1+BIN2DEC(MID($B708,11,4)))</f>
        <v>--</v>
      </c>
      <c r="I708" s="23" cm="1">
        <f t="array" ref="I708">INDEX('D2'!A:A,1+BIN2DEC(MID($B708,16,2)))</f>
        <v>0</v>
      </c>
      <c r="J708" s="6">
        <f t="shared" si="73"/>
        <v>0</v>
      </c>
      <c r="K708" s="6">
        <f t="shared" si="69"/>
        <v>0</v>
      </c>
      <c r="L708" s="6">
        <f t="shared" si="70"/>
        <v>0</v>
      </c>
      <c r="M708" s="3" t="str" cm="1">
        <f t="array" ref="M708">INDEX(Types!A:A,1+BIN2DEC(MID($B708,20,2)))</f>
        <v>ALU</v>
      </c>
      <c r="N708" s="3" cm="1">
        <f t="array" ref="N708">IF(M708="ALU",INDEX(ALUOps!A:A,1+BIN2DEC(MID($B708,22,5))),"")</f>
        <v>27</v>
      </c>
      <c r="O708" s="3" cm="1">
        <f t="array" ref="O708">IF(M708="ALU",INDEX(TMP!A:A,1+BIN2DEC(MID($B708,27,2))),"")</f>
        <v>3</v>
      </c>
      <c r="P708" s="6">
        <f t="shared" si="71"/>
        <v>1</v>
      </c>
      <c r="Q708" t="str">
        <f t="shared" si="74"/>
        <v/>
      </c>
      <c r="R708" t="str">
        <f t="shared" si="68"/>
        <v/>
      </c>
      <c r="S708" t="str" cm="1">
        <f t="array" ref="S708">IF(M708="Control",INDEX(IC!A:A,1+BIN2DEC(MID($B708,21,4))),"")</f>
        <v/>
      </c>
      <c r="T708" t="str" cm="1">
        <f t="array" ref="T708">IF(M708="Control",INDEX(EC!A:A,1+BIN2DEC(MID($B708,25,3))),"")</f>
        <v/>
      </c>
      <c r="U708" t="str" cm="1">
        <f t="array" ref="U708">IF(M708="Control",INDEX(SR!A:A,1+BIN2DEC(MID($B708,28,2))),"")</f>
        <v/>
      </c>
    </row>
    <row r="709" spans="1:30" x14ac:dyDescent="0.25">
      <c r="A709" s="4" t="str">
        <f t="shared" si="72"/>
        <v>2C3</v>
      </c>
      <c r="B709" s="2" t="s">
        <v>271</v>
      </c>
      <c r="C709" s="3"/>
      <c r="D709" s="3"/>
      <c r="E709" s="3"/>
      <c r="F709" s="27" t="str" cm="1">
        <f t="array" ref="F709">INDEX(Sources!A:A, 1 + BIN2DEC(LEFT($B709,5)))</f>
        <v>SIGMA</v>
      </c>
      <c r="G709" s="27" t="str" cm="1">
        <f t="array" ref="G709">INDEX(Dest1!A:A,1+BIN2DEC(MID($B709,6,5)))</f>
        <v>OPR</v>
      </c>
      <c r="H709" s="27" t="str" cm="1">
        <f t="array" ref="H709">INDEX(Source2!A:A,1+BIN2DEC(MID($B709,11,4)))</f>
        <v>--</v>
      </c>
      <c r="I709" s="23" cm="1">
        <f t="array" ref="I709">INDEX('D2'!A:A,1+BIN2DEC(MID($B709,16,2)))</f>
        <v>0</v>
      </c>
      <c r="J709" s="6">
        <f t="shared" si="73"/>
        <v>0</v>
      </c>
      <c r="K709" s="6">
        <f t="shared" si="69"/>
        <v>0</v>
      </c>
      <c r="L709" s="6">
        <f t="shared" si="70"/>
        <v>1</v>
      </c>
      <c r="M709" s="3" t="str" cm="1">
        <f t="array" ref="M709">INDEX(Types!A:A,1+BIN2DEC(MID($B709,20,2)))</f>
        <v>Control</v>
      </c>
      <c r="N709" s="3" t="str" cm="1">
        <f t="array" ref="N709">IF(M709="ALU",INDEX(ALUOps!A:A,1+BIN2DEC(MID($B709,22,5))),"")</f>
        <v/>
      </c>
      <c r="O709" s="3" t="str" cm="1">
        <f t="array" ref="O709">IF(M709="ALU",INDEX(TMP!A:A,1+BIN2DEC(MID($B709,27,2))),"")</f>
        <v/>
      </c>
      <c r="P709" s="6" t="str">
        <f t="shared" si="71"/>
        <v/>
      </c>
      <c r="Q709" t="str">
        <f t="shared" si="74"/>
        <v/>
      </c>
      <c r="R709" t="str">
        <f t="shared" si="68"/>
        <v/>
      </c>
      <c r="S709" cm="1">
        <f t="array" ref="S709">IF(M709="Control",INDEX(IC!A:A,1+BIN2DEC(MID($B709,21,4))),"")</f>
        <v>0</v>
      </c>
      <c r="T709" cm="1">
        <f t="array" ref="T709">IF(M709="Control",INDEX(EC!A:A,1+BIN2DEC(MID($B709,25,3))),"")</f>
        <v>1</v>
      </c>
      <c r="U709" cm="1">
        <f t="array" ref="U709">IF(M709="Control",INDEX(SR!A:A,1+BIN2DEC(MID($B709,28,2))),"")</f>
        <v>0</v>
      </c>
    </row>
    <row r="710" spans="1:30" x14ac:dyDescent="0.25">
      <c r="A710" s="4" t="str">
        <f t="shared" si="72"/>
        <v>2C4</v>
      </c>
      <c r="B710" s="2" t="s">
        <v>647</v>
      </c>
      <c r="C710" s="2" t="s">
        <v>663</v>
      </c>
      <c r="D710" s="2" t="s">
        <v>936</v>
      </c>
      <c r="E710" s="2" t="s">
        <v>462</v>
      </c>
      <c r="F710" s="27" t="str" cm="1">
        <f t="array" ref="F710">INDEX(Sources!A:A, 1 + BIN2DEC(LEFT($B710,5)))</f>
        <v>OPR</v>
      </c>
      <c r="G710" s="27" t="str" cm="1">
        <f t="array" ref="G710">INDEX(Dest1!A:A,1+BIN2DEC(MID($B710,6,5)))</f>
        <v>TMPA</v>
      </c>
      <c r="H710" s="27" t="str" cm="1">
        <f t="array" ref="H710">INDEX(Source2!A:A,1+BIN2DEC(MID($B710,11,4)))</f>
        <v>6</v>
      </c>
      <c r="I710" s="23" t="str" cm="1">
        <f t="array" ref="I710">INDEX('D2'!A:A,1+BIN2DEC(MID($B710,16,2)))</f>
        <v>TMPB</v>
      </c>
      <c r="J710" s="6">
        <f t="shared" si="73"/>
        <v>0</v>
      </c>
      <c r="K710" s="6">
        <f t="shared" si="69"/>
        <v>0</v>
      </c>
      <c r="L710" s="6">
        <f t="shared" si="70"/>
        <v>0</v>
      </c>
      <c r="M710" s="3" t="str" cm="1">
        <f t="array" ref="M710">INDEX(Types!A:A,1+BIN2DEC(MID($B710,20,2)))</f>
        <v>ALU</v>
      </c>
      <c r="N710" s="3" cm="1">
        <f t="array" ref="N710">IF(M710="ALU",INDEX(ALUOps!A:A,1+BIN2DEC(MID($B710,22,5))),"")</f>
        <v>8</v>
      </c>
      <c r="O710" s="3" cm="1">
        <f t="array" ref="O710">IF(M710="ALU",INDEX(TMP!A:A,1+BIN2DEC(MID($B710,27,2))),"")</f>
        <v>3</v>
      </c>
      <c r="P710" s="6">
        <f t="shared" si="71"/>
        <v>1</v>
      </c>
      <c r="Q710" t="str">
        <f t="shared" si="74"/>
        <v/>
      </c>
      <c r="R710" t="str">
        <f t="shared" si="68"/>
        <v/>
      </c>
      <c r="S710" t="str" cm="1">
        <f t="array" ref="S710">IF(M710="Control",INDEX(IC!A:A,1+BIN2DEC(MID($B710,21,4))),"")</f>
        <v/>
      </c>
      <c r="T710" t="str" cm="1">
        <f t="array" ref="T710">IF(M710="Control",INDEX(EC!A:A,1+BIN2DEC(MID($B710,25,3))),"")</f>
        <v/>
      </c>
      <c r="U710" t="str" cm="1">
        <f t="array" ref="U710">IF(M710="Control",INDEX(SR!A:A,1+BIN2DEC(MID($B710,28,2))),"")</f>
        <v/>
      </c>
      <c r="X710" t="s">
        <v>1107</v>
      </c>
      <c r="AD710" s="1" t="s">
        <v>664</v>
      </c>
    </row>
    <row r="711" spans="1:30" x14ac:dyDescent="0.25">
      <c r="A711" s="4" t="str">
        <f t="shared" si="72"/>
        <v>2C5</v>
      </c>
      <c r="B711" s="2" t="s">
        <v>667</v>
      </c>
      <c r="C711" s="3"/>
      <c r="D711" s="3"/>
      <c r="E711" s="3"/>
      <c r="F711" s="27" t="str" cm="1">
        <f t="array" ref="F711">INDEX(Sources!A:A, 1 + BIN2DEC(LEFT($B711,5)))</f>
        <v>UNK10</v>
      </c>
      <c r="G711" s="27" t="str" cm="1">
        <f t="array" ref="G711">INDEX(Dest1!A:A,1+BIN2DEC(MID($B711,6,5)))</f>
        <v>TMPB</v>
      </c>
      <c r="H711" s="27" t="str" cm="1">
        <f t="array" ref="H711">INDEX(Source2!A:A,1+BIN2DEC(MID($B711,11,4)))</f>
        <v>--</v>
      </c>
      <c r="I711" s="23" cm="1">
        <f t="array" ref="I711">INDEX('D2'!A:A,1+BIN2DEC(MID($B711,16,2)))</f>
        <v>0</v>
      </c>
      <c r="J711" s="6">
        <f t="shared" si="73"/>
        <v>0</v>
      </c>
      <c r="K711" s="6">
        <f t="shared" si="69"/>
        <v>0</v>
      </c>
      <c r="L711" s="6">
        <f t="shared" si="70"/>
        <v>0</v>
      </c>
      <c r="M711" s="3" t="str" cm="1">
        <f t="array" ref="M711">INDEX(Types!A:A,1+BIN2DEC(MID($B711,20,2)))</f>
        <v>ALU</v>
      </c>
      <c r="N711" s="3" cm="1">
        <f t="array" ref="N711">IF(M711="ALU",INDEX(ALUOps!A:A,1+BIN2DEC(MID($B711,22,5))),"")</f>
        <v>25</v>
      </c>
      <c r="O711" s="3" cm="1">
        <f t="array" ref="O711">IF(M711="ALU",INDEX(TMP!A:A,1+BIN2DEC(MID($B711,27,2))),"")</f>
        <v>3</v>
      </c>
      <c r="P711" s="6">
        <f t="shared" si="71"/>
        <v>1</v>
      </c>
      <c r="Q711" t="str">
        <f t="shared" si="74"/>
        <v/>
      </c>
      <c r="R711" t="str">
        <f t="shared" ref="R711:R774" si="75">IF(M711="Jump",15-BIN2DEC(MID($B711,26,4)),"")</f>
        <v/>
      </c>
      <c r="S711" t="str" cm="1">
        <f t="array" ref="S711">IF(M711="Control",INDEX(IC!A:A,1+BIN2DEC(MID($B711,21,4))),"")</f>
        <v/>
      </c>
      <c r="T711" t="str" cm="1">
        <f t="array" ref="T711">IF(M711="Control",INDEX(EC!A:A,1+BIN2DEC(MID($B711,25,3))),"")</f>
        <v/>
      </c>
      <c r="U711" t="str" cm="1">
        <f t="array" ref="U711">IF(M711="Control",INDEX(SR!A:A,1+BIN2DEC(MID($B711,28,2))),"")</f>
        <v/>
      </c>
    </row>
    <row r="712" spans="1:30" x14ac:dyDescent="0.25">
      <c r="A712" s="4" t="str">
        <f t="shared" si="72"/>
        <v>2C6</v>
      </c>
      <c r="B712" s="2" t="s">
        <v>271</v>
      </c>
      <c r="C712" s="3"/>
      <c r="D712" s="3"/>
      <c r="E712" s="3"/>
      <c r="F712" s="27" t="str" cm="1">
        <f t="array" ref="F712">INDEX(Sources!A:A, 1 + BIN2DEC(LEFT($B712,5)))</f>
        <v>SIGMA</v>
      </c>
      <c r="G712" s="27" t="str" cm="1">
        <f t="array" ref="G712">INDEX(Dest1!A:A,1+BIN2DEC(MID($B712,6,5)))</f>
        <v>OPR</v>
      </c>
      <c r="H712" s="27" t="str" cm="1">
        <f t="array" ref="H712">INDEX(Source2!A:A,1+BIN2DEC(MID($B712,11,4)))</f>
        <v>--</v>
      </c>
      <c r="I712" s="23" cm="1">
        <f t="array" ref="I712">INDEX('D2'!A:A,1+BIN2DEC(MID($B712,16,2)))</f>
        <v>0</v>
      </c>
      <c r="J712" s="6">
        <f t="shared" si="73"/>
        <v>0</v>
      </c>
      <c r="K712" s="6">
        <f t="shared" si="69"/>
        <v>0</v>
      </c>
      <c r="L712" s="6">
        <f t="shared" si="70"/>
        <v>1</v>
      </c>
      <c r="M712" s="3" t="str" cm="1">
        <f t="array" ref="M712">INDEX(Types!A:A,1+BIN2DEC(MID($B712,20,2)))</f>
        <v>Control</v>
      </c>
      <c r="N712" s="3" t="str" cm="1">
        <f t="array" ref="N712">IF(M712="ALU",INDEX(ALUOps!A:A,1+BIN2DEC(MID($B712,22,5))),"")</f>
        <v/>
      </c>
      <c r="O712" s="3" t="str" cm="1">
        <f t="array" ref="O712">IF(M712="ALU",INDEX(TMP!A:A,1+BIN2DEC(MID($B712,27,2))),"")</f>
        <v/>
      </c>
      <c r="P712" s="6" t="str">
        <f t="shared" si="71"/>
        <v/>
      </c>
      <c r="Q712" t="str">
        <f t="shared" si="74"/>
        <v/>
      </c>
      <c r="R712" t="str">
        <f t="shared" si="75"/>
        <v/>
      </c>
      <c r="S712" cm="1">
        <f t="array" ref="S712">IF(M712="Control",INDEX(IC!A:A,1+BIN2DEC(MID($B712,21,4))),"")</f>
        <v>0</v>
      </c>
      <c r="T712" cm="1">
        <f t="array" ref="T712">IF(M712="Control",INDEX(EC!A:A,1+BIN2DEC(MID($B712,25,3))),"")</f>
        <v>1</v>
      </c>
      <c r="U712" cm="1">
        <f t="array" ref="U712">IF(M712="Control",INDEX(SR!A:A,1+BIN2DEC(MID($B712,28,2))),"")</f>
        <v>0</v>
      </c>
    </row>
    <row r="713" spans="1:30" x14ac:dyDescent="0.25">
      <c r="A713" s="4" t="str">
        <f t="shared" si="72"/>
        <v>2C7</v>
      </c>
      <c r="B713" s="2" t="s">
        <v>4</v>
      </c>
      <c r="C713" s="3"/>
      <c r="D713" s="3"/>
      <c r="E713" s="3"/>
      <c r="F713" s="27" t="str" cm="1">
        <f t="array" ref="F713">INDEX(Sources!A:A, 1 + BIN2DEC(LEFT($B713,5)))</f>
        <v>--</v>
      </c>
      <c r="G713" s="27" t="str" cm="1">
        <f t="array" ref="G713">INDEX(Dest1!A:A,1+BIN2DEC(MID($B713,6,5)))</f>
        <v>--</v>
      </c>
      <c r="H713" s="27" t="str" cm="1">
        <f t="array" ref="H713">INDEX(Source2!A:A,1+BIN2DEC(MID($B713,11,4)))</f>
        <v>--</v>
      </c>
      <c r="I713" s="23" cm="1">
        <f t="array" ref="I713">INDEX('D2'!A:A,1+BIN2DEC(MID($B713,16,2)))</f>
        <v>0</v>
      </c>
      <c r="J713" s="6">
        <f t="shared" si="73"/>
        <v>0</v>
      </c>
      <c r="K713" s="6">
        <f t="shared" si="69"/>
        <v>0</v>
      </c>
      <c r="L713" s="6">
        <f t="shared" si="70"/>
        <v>0</v>
      </c>
      <c r="M713" s="3" t="str" cm="1">
        <f t="array" ref="M713">INDEX(Types!A:A,1+BIN2DEC(MID($B713,20,2)))</f>
        <v>Control</v>
      </c>
      <c r="N713" s="3" t="str" cm="1">
        <f t="array" ref="N713">IF(M713="ALU",INDEX(ALUOps!A:A,1+BIN2DEC(MID($B713,22,5))),"")</f>
        <v/>
      </c>
      <c r="O713" s="3" t="str" cm="1">
        <f t="array" ref="O713">IF(M713="ALU",INDEX(TMP!A:A,1+BIN2DEC(MID($B713,27,2))),"")</f>
        <v/>
      </c>
      <c r="P713" s="6" t="str">
        <f t="shared" si="71"/>
        <v/>
      </c>
      <c r="Q713" t="str">
        <f t="shared" si="74"/>
        <v/>
      </c>
      <c r="R713" t="str">
        <f t="shared" si="75"/>
        <v/>
      </c>
      <c r="S713" cm="1">
        <f t="array" ref="S713">IF(M713="Control",INDEX(IC!A:A,1+BIN2DEC(MID($B713,21,4))),"")</f>
        <v>0</v>
      </c>
      <c r="T713" cm="1">
        <f t="array" ref="T713">IF(M713="Control",INDEX(EC!A:A,1+BIN2DEC(MID($B713,25,3))),"")</f>
        <v>0</v>
      </c>
      <c r="U713" cm="1">
        <f t="array" ref="U713">IF(M713="Control",INDEX(SR!A:A,1+BIN2DEC(MID($B713,28,2))),"")</f>
        <v>0</v>
      </c>
    </row>
    <row r="714" spans="1:30" x14ac:dyDescent="0.25">
      <c r="A714" s="4" t="str">
        <f t="shared" si="72"/>
        <v>2C8</v>
      </c>
      <c r="B714" s="2" t="s">
        <v>651</v>
      </c>
      <c r="C714" s="2" t="s">
        <v>665</v>
      </c>
      <c r="D714" s="2" t="s">
        <v>936</v>
      </c>
      <c r="E714" s="2" t="s">
        <v>462</v>
      </c>
      <c r="F714" s="27" t="str" cm="1">
        <f t="array" ref="F714">INDEX(Sources!A:A, 1 + BIN2DEC(LEFT($B714,5)))</f>
        <v>OPR</v>
      </c>
      <c r="G714" s="27" t="str" cm="1">
        <f t="array" ref="G714">INDEX(Dest1!A:A,1+BIN2DEC(MID($B714,6,5)))</f>
        <v>TMPA</v>
      </c>
      <c r="H714" s="27" t="str" cm="1">
        <f t="array" ref="H714">INDEX(Source2!A:A,1+BIN2DEC(MID($B714,11,4)))</f>
        <v>Q</v>
      </c>
      <c r="I714" s="23" t="str" cm="1">
        <f t="array" ref="I714">INDEX('D2'!A:A,1+BIN2DEC(MID($B714,16,2)))</f>
        <v>TMPB</v>
      </c>
      <c r="J714" s="6">
        <f t="shared" si="73"/>
        <v>0</v>
      </c>
      <c r="K714" s="6">
        <f t="shared" si="69"/>
        <v>0</v>
      </c>
      <c r="L714" s="6">
        <f t="shared" si="70"/>
        <v>0</v>
      </c>
      <c r="M714" s="3" t="str" cm="1">
        <f t="array" ref="M714">INDEX(Types!A:A,1+BIN2DEC(MID($B714,20,2)))</f>
        <v>ALU</v>
      </c>
      <c r="N714" s="3" cm="1">
        <f t="array" ref="N714">IF(M714="ALU",INDEX(ALUOps!A:A,1+BIN2DEC(MID($B714,22,5))),"")</f>
        <v>8</v>
      </c>
      <c r="O714" s="3" cm="1">
        <f t="array" ref="O714">IF(M714="ALU",INDEX(TMP!A:A,1+BIN2DEC(MID($B714,27,2))),"")</f>
        <v>3</v>
      </c>
      <c r="P714" s="6">
        <f t="shared" si="71"/>
        <v>1</v>
      </c>
      <c r="Q714" t="str">
        <f t="shared" si="74"/>
        <v/>
      </c>
      <c r="R714" t="str">
        <f t="shared" si="75"/>
        <v/>
      </c>
      <c r="S714" t="str" cm="1">
        <f t="array" ref="S714">IF(M714="Control",INDEX(IC!A:A,1+BIN2DEC(MID($B714,21,4))),"")</f>
        <v/>
      </c>
      <c r="T714" t="str" cm="1">
        <f t="array" ref="T714">IF(M714="Control",INDEX(EC!A:A,1+BIN2DEC(MID($B714,25,3))),"")</f>
        <v/>
      </c>
      <c r="U714" t="str" cm="1">
        <f t="array" ref="U714">IF(M714="Control",INDEX(SR!A:A,1+BIN2DEC(MID($B714,28,2))),"")</f>
        <v/>
      </c>
      <c r="X714" t="s">
        <v>1108</v>
      </c>
      <c r="AD714" s="1" t="s">
        <v>666</v>
      </c>
    </row>
    <row r="715" spans="1:30" x14ac:dyDescent="0.25">
      <c r="A715" s="4" t="str">
        <f t="shared" si="72"/>
        <v>2C9</v>
      </c>
      <c r="B715" s="2" t="s">
        <v>667</v>
      </c>
      <c r="C715" s="3"/>
      <c r="D715" s="3"/>
      <c r="E715" s="3"/>
      <c r="F715" s="27" t="str" cm="1">
        <f t="array" ref="F715">INDEX(Sources!A:A, 1 + BIN2DEC(LEFT($B715,5)))</f>
        <v>UNK10</v>
      </c>
      <c r="G715" s="27" t="str" cm="1">
        <f t="array" ref="G715">INDEX(Dest1!A:A,1+BIN2DEC(MID($B715,6,5)))</f>
        <v>TMPB</v>
      </c>
      <c r="H715" s="27" t="str" cm="1">
        <f t="array" ref="H715">INDEX(Source2!A:A,1+BIN2DEC(MID($B715,11,4)))</f>
        <v>--</v>
      </c>
      <c r="I715" s="23" cm="1">
        <f t="array" ref="I715">INDEX('D2'!A:A,1+BIN2DEC(MID($B715,16,2)))</f>
        <v>0</v>
      </c>
      <c r="J715" s="6">
        <f t="shared" si="73"/>
        <v>0</v>
      </c>
      <c r="K715" s="6">
        <f t="shared" si="69"/>
        <v>0</v>
      </c>
      <c r="L715" s="6">
        <f t="shared" si="70"/>
        <v>0</v>
      </c>
      <c r="M715" s="3" t="str" cm="1">
        <f t="array" ref="M715">INDEX(Types!A:A,1+BIN2DEC(MID($B715,20,2)))</f>
        <v>ALU</v>
      </c>
      <c r="N715" s="3" cm="1">
        <f t="array" ref="N715">IF(M715="ALU",INDEX(ALUOps!A:A,1+BIN2DEC(MID($B715,22,5))),"")</f>
        <v>25</v>
      </c>
      <c r="O715" s="3" cm="1">
        <f t="array" ref="O715">IF(M715="ALU",INDEX(TMP!A:A,1+BIN2DEC(MID($B715,27,2))),"")</f>
        <v>3</v>
      </c>
      <c r="P715" s="6">
        <f t="shared" si="71"/>
        <v>1</v>
      </c>
      <c r="Q715" t="str">
        <f t="shared" si="74"/>
        <v/>
      </c>
      <c r="R715" t="str">
        <f t="shared" si="75"/>
        <v/>
      </c>
      <c r="S715" t="str" cm="1">
        <f t="array" ref="S715">IF(M715="Control",INDEX(IC!A:A,1+BIN2DEC(MID($B715,21,4))),"")</f>
        <v/>
      </c>
      <c r="T715" t="str" cm="1">
        <f t="array" ref="T715">IF(M715="Control",INDEX(EC!A:A,1+BIN2DEC(MID($B715,25,3))),"")</f>
        <v/>
      </c>
      <c r="U715" t="str" cm="1">
        <f t="array" ref="U715">IF(M715="Control",INDEX(SR!A:A,1+BIN2DEC(MID($B715,28,2))),"")</f>
        <v/>
      </c>
    </row>
    <row r="716" spans="1:30" x14ac:dyDescent="0.25">
      <c r="A716" s="4" t="str">
        <f t="shared" si="72"/>
        <v>2CA</v>
      </c>
      <c r="B716" s="2" t="s">
        <v>271</v>
      </c>
      <c r="C716" s="3"/>
      <c r="D716" s="3"/>
      <c r="E716" s="3"/>
      <c r="F716" s="27" t="str" cm="1">
        <f t="array" ref="F716">INDEX(Sources!A:A, 1 + BIN2DEC(LEFT($B716,5)))</f>
        <v>SIGMA</v>
      </c>
      <c r="G716" s="27" t="str" cm="1">
        <f t="array" ref="G716">INDEX(Dest1!A:A,1+BIN2DEC(MID($B716,6,5)))</f>
        <v>OPR</v>
      </c>
      <c r="H716" s="27" t="str" cm="1">
        <f t="array" ref="H716">INDEX(Source2!A:A,1+BIN2DEC(MID($B716,11,4)))</f>
        <v>--</v>
      </c>
      <c r="I716" s="23" cm="1">
        <f t="array" ref="I716">INDEX('D2'!A:A,1+BIN2DEC(MID($B716,16,2)))</f>
        <v>0</v>
      </c>
      <c r="J716" s="6">
        <f t="shared" si="73"/>
        <v>0</v>
      </c>
      <c r="K716" s="6">
        <f t="shared" si="69"/>
        <v>0</v>
      </c>
      <c r="L716" s="6">
        <f t="shared" si="70"/>
        <v>1</v>
      </c>
      <c r="M716" s="3" t="str" cm="1">
        <f t="array" ref="M716">INDEX(Types!A:A,1+BIN2DEC(MID($B716,20,2)))</f>
        <v>Control</v>
      </c>
      <c r="N716" s="3" t="str" cm="1">
        <f t="array" ref="N716">IF(M716="ALU",INDEX(ALUOps!A:A,1+BIN2DEC(MID($B716,22,5))),"")</f>
        <v/>
      </c>
      <c r="O716" s="3" t="str" cm="1">
        <f t="array" ref="O716">IF(M716="ALU",INDEX(TMP!A:A,1+BIN2DEC(MID($B716,27,2))),"")</f>
        <v/>
      </c>
      <c r="P716" s="6" t="str">
        <f t="shared" si="71"/>
        <v/>
      </c>
      <c r="Q716" t="str">
        <f t="shared" si="74"/>
        <v/>
      </c>
      <c r="R716" t="str">
        <f t="shared" si="75"/>
        <v/>
      </c>
      <c r="S716" cm="1">
        <f t="array" ref="S716">IF(M716="Control",INDEX(IC!A:A,1+BIN2DEC(MID($B716,21,4))),"")</f>
        <v>0</v>
      </c>
      <c r="T716" cm="1">
        <f t="array" ref="T716">IF(M716="Control",INDEX(EC!A:A,1+BIN2DEC(MID($B716,25,3))),"")</f>
        <v>1</v>
      </c>
      <c r="U716" cm="1">
        <f t="array" ref="U716">IF(M716="Control",INDEX(SR!A:A,1+BIN2DEC(MID($B716,28,2))),"")</f>
        <v>0</v>
      </c>
    </row>
    <row r="717" spans="1:30" x14ac:dyDescent="0.25">
      <c r="A717" s="4" t="str">
        <f t="shared" si="72"/>
        <v>2CB</v>
      </c>
      <c r="B717" s="2" t="s">
        <v>4</v>
      </c>
      <c r="C717" s="3"/>
      <c r="D717" s="3"/>
      <c r="E717" s="3"/>
      <c r="F717" s="27" t="str" cm="1">
        <f t="array" ref="F717">INDEX(Sources!A:A, 1 + BIN2DEC(LEFT($B717,5)))</f>
        <v>--</v>
      </c>
      <c r="G717" s="27" t="str" cm="1">
        <f t="array" ref="G717">INDEX(Dest1!A:A,1+BIN2DEC(MID($B717,6,5)))</f>
        <v>--</v>
      </c>
      <c r="H717" s="27" t="str" cm="1">
        <f t="array" ref="H717">INDEX(Source2!A:A,1+BIN2DEC(MID($B717,11,4)))</f>
        <v>--</v>
      </c>
      <c r="I717" s="23" cm="1">
        <f t="array" ref="I717">INDEX('D2'!A:A,1+BIN2DEC(MID($B717,16,2)))</f>
        <v>0</v>
      </c>
      <c r="J717" s="6">
        <f t="shared" si="73"/>
        <v>0</v>
      </c>
      <c r="K717" s="6">
        <f t="shared" si="69"/>
        <v>0</v>
      </c>
      <c r="L717" s="6">
        <f t="shared" si="70"/>
        <v>0</v>
      </c>
      <c r="M717" s="3" t="str" cm="1">
        <f t="array" ref="M717">INDEX(Types!A:A,1+BIN2DEC(MID($B717,20,2)))</f>
        <v>Control</v>
      </c>
      <c r="N717" s="3" t="str" cm="1">
        <f t="array" ref="N717">IF(M717="ALU",INDEX(ALUOps!A:A,1+BIN2DEC(MID($B717,22,5))),"")</f>
        <v/>
      </c>
      <c r="O717" s="3" t="str" cm="1">
        <f t="array" ref="O717">IF(M717="ALU",INDEX(TMP!A:A,1+BIN2DEC(MID($B717,27,2))),"")</f>
        <v/>
      </c>
      <c r="P717" s="6" t="str">
        <f t="shared" si="71"/>
        <v/>
      </c>
      <c r="Q717" t="str">
        <f t="shared" si="74"/>
        <v/>
      </c>
      <c r="R717" t="str">
        <f t="shared" si="75"/>
        <v/>
      </c>
      <c r="S717" cm="1">
        <f t="array" ref="S717">IF(M717="Control",INDEX(IC!A:A,1+BIN2DEC(MID($B717,21,4))),"")</f>
        <v>0</v>
      </c>
      <c r="T717" cm="1">
        <f t="array" ref="T717">IF(M717="Control",INDEX(EC!A:A,1+BIN2DEC(MID($B717,25,3))),"")</f>
        <v>0</v>
      </c>
      <c r="U717" cm="1">
        <f t="array" ref="U717">IF(M717="Control",INDEX(SR!A:A,1+BIN2DEC(MID($B717,28,2))),"")</f>
        <v>0</v>
      </c>
    </row>
    <row r="718" spans="1:30" x14ac:dyDescent="0.25">
      <c r="A718" s="4" t="str">
        <f t="shared" si="72"/>
        <v>2CC</v>
      </c>
      <c r="B718" s="2" t="s">
        <v>670</v>
      </c>
      <c r="C718" s="2" t="s">
        <v>668</v>
      </c>
      <c r="D718" s="2" t="s">
        <v>936</v>
      </c>
      <c r="E718" s="2" t="s">
        <v>462</v>
      </c>
      <c r="F718" s="27" t="str" cm="1">
        <f t="array" ref="F718">INDEX(Sources!A:A, 1 + BIN2DEC(LEFT($B718,5)))</f>
        <v>C</v>
      </c>
      <c r="G718" s="27" t="str" cm="1">
        <f t="array" ref="G718">INDEX(Dest1!A:A,1+BIN2DEC(MID($B718,6,5)))</f>
        <v>UNK11</v>
      </c>
      <c r="H718" s="27" t="str" cm="1">
        <f t="array" ref="H718">INDEX(Source2!A:A,1+BIN2DEC(MID($B718,11,4)))</f>
        <v>--</v>
      </c>
      <c r="I718" s="23" cm="1">
        <f t="array" ref="I718">INDEX('D2'!A:A,1+BIN2DEC(MID($B718,16,2)))</f>
        <v>0</v>
      </c>
      <c r="J718" s="6">
        <f t="shared" si="73"/>
        <v>0</v>
      </c>
      <c r="K718" s="6">
        <f t="shared" si="69"/>
        <v>0</v>
      </c>
      <c r="L718" s="6">
        <f t="shared" si="70"/>
        <v>0</v>
      </c>
      <c r="M718" s="3" t="str" cm="1">
        <f t="array" ref="M718">INDEX(Types!A:A,1+BIN2DEC(MID($B718,20,2)))</f>
        <v>ALU</v>
      </c>
      <c r="N718" s="3" cm="1">
        <f t="array" ref="N718">IF(M718="ALU",INDEX(ALUOps!A:A,1+BIN2DEC(MID($B718,22,5))),"")</f>
        <v>7</v>
      </c>
      <c r="O718" s="3" cm="1">
        <f t="array" ref="O718">IF(M718="ALU",INDEX(TMP!A:A,1+BIN2DEC(MID($B718,27,2))),"")</f>
        <v>3</v>
      </c>
      <c r="P718" s="6">
        <f t="shared" si="71"/>
        <v>1</v>
      </c>
      <c r="Q718" t="str">
        <f t="shared" si="74"/>
        <v/>
      </c>
      <c r="R718" t="str">
        <f t="shared" si="75"/>
        <v/>
      </c>
      <c r="S718" t="str" cm="1">
        <f t="array" ref="S718">IF(M718="Control",INDEX(IC!A:A,1+BIN2DEC(MID($B718,21,4))),"")</f>
        <v/>
      </c>
      <c r="T718" t="str" cm="1">
        <f t="array" ref="T718">IF(M718="Control",INDEX(EC!A:A,1+BIN2DEC(MID($B718,25,3))),"")</f>
        <v/>
      </c>
      <c r="U718" t="str" cm="1">
        <f t="array" ref="U718">IF(M718="Control",INDEX(SR!A:A,1+BIN2DEC(MID($B718,28,2))),"")</f>
        <v/>
      </c>
      <c r="X718" t="s">
        <v>1109</v>
      </c>
      <c r="AD718" s="1" t="s">
        <v>669</v>
      </c>
    </row>
    <row r="719" spans="1:30" x14ac:dyDescent="0.25">
      <c r="A719" s="4" t="str">
        <f t="shared" si="72"/>
        <v>2CD</v>
      </c>
      <c r="B719" s="2" t="s">
        <v>672</v>
      </c>
      <c r="C719" s="3"/>
      <c r="D719" s="3"/>
      <c r="E719" s="3"/>
      <c r="F719" s="27" t="str" cm="1">
        <f t="array" ref="F719">INDEX(Sources!A:A, 1 + BIN2DEC(LEFT($B719,5)))</f>
        <v>SIGMA</v>
      </c>
      <c r="G719" s="27" t="str" cm="1">
        <f t="array" ref="G719">INDEX(Dest1!A:A,1+BIN2DEC(MID($B719,6,5)))</f>
        <v>TMPA</v>
      </c>
      <c r="H719" s="27" t="str" cm="1">
        <f t="array" ref="H719">INDEX(Source2!A:A,1+BIN2DEC(MID($B719,11,4)))</f>
        <v>--</v>
      </c>
      <c r="I719" s="23" cm="1">
        <f t="array" ref="I719">INDEX('D2'!A:A,1+BIN2DEC(MID($B719,16,2)))</f>
        <v>0</v>
      </c>
      <c r="J719" s="6">
        <f t="shared" si="73"/>
        <v>0</v>
      </c>
      <c r="K719" s="6">
        <f t="shared" si="69"/>
        <v>0</v>
      </c>
      <c r="L719" s="6">
        <f t="shared" si="70"/>
        <v>0</v>
      </c>
      <c r="M719" s="3" t="str" cm="1">
        <f t="array" ref="M719">INDEX(Types!A:A,1+BIN2DEC(MID($B719,20,2)))</f>
        <v>ALU</v>
      </c>
      <c r="N719" s="3" cm="1">
        <f t="array" ref="N719">IF(M719="ALU",INDEX(ALUOps!A:A,1+BIN2DEC(MID($B719,22,5))),"")</f>
        <v>18</v>
      </c>
      <c r="O719" s="3" cm="1">
        <f t="array" ref="O719">IF(M719="ALU",INDEX(TMP!A:A,1+BIN2DEC(MID($B719,27,2))),"")</f>
        <v>2</v>
      </c>
      <c r="P719" s="6">
        <f t="shared" si="71"/>
        <v>1</v>
      </c>
      <c r="Q719" t="str">
        <f t="shared" si="74"/>
        <v/>
      </c>
      <c r="R719" t="str">
        <f t="shared" si="75"/>
        <v/>
      </c>
      <c r="S719" t="str" cm="1">
        <f t="array" ref="S719">IF(M719="Control",INDEX(IC!A:A,1+BIN2DEC(MID($B719,21,4))),"")</f>
        <v/>
      </c>
      <c r="T719" t="str" cm="1">
        <f t="array" ref="T719">IF(M719="Control",INDEX(EC!A:A,1+BIN2DEC(MID($B719,25,3))),"")</f>
        <v/>
      </c>
      <c r="U719" t="str" cm="1">
        <f t="array" ref="U719">IF(M719="Control",INDEX(SR!A:A,1+BIN2DEC(MID($B719,28,2))),"")</f>
        <v/>
      </c>
    </row>
    <row r="720" spans="1:30" x14ac:dyDescent="0.25">
      <c r="A720" s="4" t="str">
        <f t="shared" si="72"/>
        <v>2CE</v>
      </c>
      <c r="B720" s="2" t="s">
        <v>673</v>
      </c>
      <c r="C720" s="3"/>
      <c r="D720" s="3"/>
      <c r="E720" s="3"/>
      <c r="F720" s="27" t="str" cm="1">
        <f t="array" ref="F720">INDEX(Sources!A:A, 1 + BIN2DEC(LEFT($B720,5)))</f>
        <v>SIGMA</v>
      </c>
      <c r="G720" s="27" t="str" cm="1">
        <f t="array" ref="G720">INDEX(Dest1!A:A,1+BIN2DEC(MID($B720,6,5)))</f>
        <v>LC</v>
      </c>
      <c r="H720" s="27" t="str" cm="1">
        <f t="array" ref="H720">INDEX(Source2!A:A,1+BIN2DEC(MID($B720,11,4)))</f>
        <v>--</v>
      </c>
      <c r="I720" s="23" cm="1">
        <f t="array" ref="I720">INDEX('D2'!A:A,1+BIN2DEC(MID($B720,16,2)))</f>
        <v>0</v>
      </c>
      <c r="J720" s="6">
        <f t="shared" si="73"/>
        <v>0</v>
      </c>
      <c r="K720" s="6">
        <f t="shared" si="69"/>
        <v>0</v>
      </c>
      <c r="L720" s="6">
        <f t="shared" si="70"/>
        <v>0</v>
      </c>
      <c r="M720" s="3" t="str" cm="1">
        <f t="array" ref="M720">INDEX(Types!A:A,1+BIN2DEC(MID($B720,20,2)))</f>
        <v>Control</v>
      </c>
      <c r="N720" s="3" t="str" cm="1">
        <f t="array" ref="N720">IF(M720="ALU",INDEX(ALUOps!A:A,1+BIN2DEC(MID($B720,22,5))),"")</f>
        <v/>
      </c>
      <c r="O720" s="3" t="str" cm="1">
        <f t="array" ref="O720">IF(M720="ALU",INDEX(TMP!A:A,1+BIN2DEC(MID($B720,27,2))),"")</f>
        <v/>
      </c>
      <c r="P720" s="6" t="str">
        <f t="shared" si="71"/>
        <v/>
      </c>
      <c r="Q720" t="str">
        <f t="shared" si="74"/>
        <v/>
      </c>
      <c r="R720" t="str">
        <f t="shared" si="75"/>
        <v/>
      </c>
      <c r="S720" cm="1">
        <f t="array" ref="S720">IF(M720="Control",INDEX(IC!A:A,1+BIN2DEC(MID($B720,21,4))),"")</f>
        <v>11</v>
      </c>
      <c r="T720" cm="1">
        <f t="array" ref="T720">IF(M720="Control",INDEX(EC!A:A,1+BIN2DEC(MID($B720,25,3))),"")</f>
        <v>0</v>
      </c>
      <c r="U720" cm="1">
        <f t="array" ref="U720">IF(M720="Control",INDEX(SR!A:A,1+BIN2DEC(MID($B720,28,2))),"")</f>
        <v>0</v>
      </c>
    </row>
    <row r="721" spans="1:30" x14ac:dyDescent="0.25">
      <c r="A721" s="4" t="str">
        <f t="shared" si="72"/>
        <v>2CF</v>
      </c>
      <c r="B721" s="2" t="s">
        <v>674</v>
      </c>
      <c r="C721" s="3"/>
      <c r="D721" s="3"/>
      <c r="E721" s="3"/>
      <c r="F721" s="27" t="str" cm="1">
        <f t="array" ref="F721">INDEX(Sources!A:A, 1 + BIN2DEC(LEFT($B721,5)))</f>
        <v>UNK1</v>
      </c>
      <c r="G721" s="27" t="str" cm="1">
        <f t="array" ref="G721">INDEX(Dest1!A:A,1+BIN2DEC(MID($B721,6,5)))</f>
        <v>UNK26</v>
      </c>
      <c r="H721" s="27" t="str" cm="1">
        <f t="array" ref="H721">INDEX(Source2!A:A,1+BIN2DEC(MID($B721,11,4)))</f>
        <v>1</v>
      </c>
      <c r="I721" s="23" t="str" cm="1">
        <f t="array" ref="I721">INDEX('D2'!A:A,1+BIN2DEC(MID($B721,16,2)))</f>
        <v>TMPB</v>
      </c>
      <c r="J721" s="6">
        <f t="shared" si="73"/>
        <v>0</v>
      </c>
      <c r="K721" s="6">
        <f t="shared" si="69"/>
        <v>0</v>
      </c>
      <c r="L721" s="6">
        <f t="shared" si="70"/>
        <v>0</v>
      </c>
      <c r="M721" s="3" t="str" cm="1">
        <f t="array" ref="M721">INDEX(Types!A:A,1+BIN2DEC(MID($B721,20,2)))</f>
        <v>Control</v>
      </c>
      <c r="N721" s="3" t="str" cm="1">
        <f t="array" ref="N721">IF(M721="ALU",INDEX(ALUOps!A:A,1+BIN2DEC(MID($B721,22,5))),"")</f>
        <v/>
      </c>
      <c r="O721" s="3" t="str" cm="1">
        <f t="array" ref="O721">IF(M721="ALU",INDEX(TMP!A:A,1+BIN2DEC(MID($B721,27,2))),"")</f>
        <v/>
      </c>
      <c r="P721" s="6" t="str">
        <f t="shared" si="71"/>
        <v/>
      </c>
      <c r="Q721" t="str">
        <f t="shared" si="74"/>
        <v/>
      </c>
      <c r="R721" t="str">
        <f t="shared" si="75"/>
        <v/>
      </c>
      <c r="S721" cm="1">
        <f t="array" ref="S721">IF(M721="Control",INDEX(IC!A:A,1+BIN2DEC(MID($B721,21,4))),"")</f>
        <v>0</v>
      </c>
      <c r="T721" cm="1">
        <f t="array" ref="T721">IF(M721="Control",INDEX(EC!A:A,1+BIN2DEC(MID($B721,25,3))),"")</f>
        <v>6</v>
      </c>
      <c r="U721" cm="1">
        <f t="array" ref="U721">IF(M721="Control",INDEX(SR!A:A,1+BIN2DEC(MID($B721,28,2))),"")</f>
        <v>0</v>
      </c>
    </row>
    <row r="722" spans="1:30" x14ac:dyDescent="0.25">
      <c r="A722" s="4" t="str">
        <f t="shared" si="72"/>
        <v>2D0</v>
      </c>
      <c r="B722" s="2" t="s">
        <v>675</v>
      </c>
      <c r="C722" s="2" t="s">
        <v>671</v>
      </c>
      <c r="D722" s="2" t="s">
        <v>936</v>
      </c>
      <c r="E722" s="2" t="s">
        <v>929</v>
      </c>
      <c r="F722" s="27" t="str" cm="1">
        <f t="array" ref="F722">INDEX(Sources!A:A, 1 + BIN2DEC(LEFT($B722,5)))</f>
        <v>--</v>
      </c>
      <c r="G722" s="27" t="str" cm="1">
        <f t="array" ref="G722">INDEX(Dest1!A:A,1+BIN2DEC(MID($B722,6,5)))</f>
        <v>--</v>
      </c>
      <c r="H722" s="27" t="str" cm="1">
        <f t="array" ref="H722">INDEX(Source2!A:A,1+BIN2DEC(MID($B722,11,4)))</f>
        <v>--</v>
      </c>
      <c r="I722" s="23" cm="1">
        <f t="array" ref="I722">INDEX('D2'!A:A,1+BIN2DEC(MID($B722,16,2)))</f>
        <v>0</v>
      </c>
      <c r="J722" s="6">
        <f t="shared" si="73"/>
        <v>0</v>
      </c>
      <c r="K722" s="6">
        <f t="shared" si="69"/>
        <v>0</v>
      </c>
      <c r="L722" s="6">
        <f t="shared" si="70"/>
        <v>0</v>
      </c>
      <c r="M722" s="3" t="str" cm="1">
        <f t="array" ref="M722">INDEX(Types!A:A,1+BIN2DEC(MID($B722,20,2)))</f>
        <v>ALU</v>
      </c>
      <c r="N722" s="3" cm="1">
        <f t="array" ref="N722">IF(M722="ALU",INDEX(ALUOps!A:A,1+BIN2DEC(MID($B722,22,5))),"")</f>
        <v>7</v>
      </c>
      <c r="O722" s="3" cm="1">
        <f t="array" ref="O722">IF(M722="ALU",INDEX(TMP!A:A,1+BIN2DEC(MID($B722,27,2))),"")</f>
        <v>3</v>
      </c>
      <c r="P722" s="6">
        <f t="shared" si="71"/>
        <v>1</v>
      </c>
      <c r="Q722" t="str">
        <f t="shared" si="74"/>
        <v/>
      </c>
      <c r="R722" t="str">
        <f t="shared" si="75"/>
        <v/>
      </c>
      <c r="S722" t="str" cm="1">
        <f t="array" ref="S722">IF(M722="Control",INDEX(IC!A:A,1+BIN2DEC(MID($B722,21,4))),"")</f>
        <v/>
      </c>
      <c r="T722" t="str" cm="1">
        <f t="array" ref="T722">IF(M722="Control",INDEX(EC!A:A,1+BIN2DEC(MID($B722,25,3))),"")</f>
        <v/>
      </c>
      <c r="U722" t="str" cm="1">
        <f t="array" ref="U722">IF(M722="Control",INDEX(SR!A:A,1+BIN2DEC(MID($B722,28,2))),"")</f>
        <v/>
      </c>
      <c r="AD722" s="1" t="s">
        <v>669</v>
      </c>
    </row>
    <row r="723" spans="1:30" x14ac:dyDescent="0.25">
      <c r="A723" s="4" t="str">
        <f t="shared" si="72"/>
        <v>2D1</v>
      </c>
      <c r="B723" s="2" t="s">
        <v>207</v>
      </c>
      <c r="C723" s="3"/>
      <c r="D723" s="3"/>
      <c r="E723" s="3"/>
      <c r="F723" s="27" t="str" cm="1">
        <f t="array" ref="F723">INDEX(Sources!A:A, 1 + BIN2DEC(LEFT($B723,5)))</f>
        <v>SIGMA</v>
      </c>
      <c r="G723" s="27" t="str" cm="1">
        <f t="array" ref="G723">INDEX(Dest1!A:A,1+BIN2DEC(MID($B723,6,5)))</f>
        <v>UNK1</v>
      </c>
      <c r="H723" s="27" t="str" cm="1">
        <f t="array" ref="H723">INDEX(Source2!A:A,1+BIN2DEC(MID($B723,11,4)))</f>
        <v>--</v>
      </c>
      <c r="I723" s="23" cm="1">
        <f t="array" ref="I723">INDEX('D2'!A:A,1+BIN2DEC(MID($B723,16,2)))</f>
        <v>0</v>
      </c>
      <c r="J723" s="6">
        <f t="shared" si="73"/>
        <v>0</v>
      </c>
      <c r="K723" s="6">
        <f t="shared" si="69"/>
        <v>0</v>
      </c>
      <c r="L723" s="6">
        <f t="shared" si="70"/>
        <v>0</v>
      </c>
      <c r="M723" s="3" t="str" cm="1">
        <f t="array" ref="M723">INDEX(Types!A:A,1+BIN2DEC(MID($B723,20,2)))</f>
        <v>Control</v>
      </c>
      <c r="N723" s="3" t="str" cm="1">
        <f t="array" ref="N723">IF(M723="ALU",INDEX(ALUOps!A:A,1+BIN2DEC(MID($B723,22,5))),"")</f>
        <v/>
      </c>
      <c r="O723" s="3" t="str" cm="1">
        <f t="array" ref="O723">IF(M723="ALU",INDEX(TMP!A:A,1+BIN2DEC(MID($B723,27,2))),"")</f>
        <v/>
      </c>
      <c r="P723" s="6" t="str">
        <f t="shared" si="71"/>
        <v/>
      </c>
      <c r="Q723" t="str">
        <f t="shared" si="74"/>
        <v/>
      </c>
      <c r="R723" t="str">
        <f t="shared" si="75"/>
        <v/>
      </c>
      <c r="S723" cm="1">
        <f t="array" ref="S723">IF(M723="Control",INDEX(IC!A:A,1+BIN2DEC(MID($B723,21,4))),"")</f>
        <v>0</v>
      </c>
      <c r="T723" cm="1">
        <f t="array" ref="T723">IF(M723="Control",INDEX(EC!A:A,1+BIN2DEC(MID($B723,25,3))),"")</f>
        <v>0</v>
      </c>
      <c r="U723" cm="1">
        <f t="array" ref="U723">IF(M723="Control",INDEX(SR!A:A,1+BIN2DEC(MID($B723,28,2))),"")</f>
        <v>0</v>
      </c>
    </row>
    <row r="724" spans="1:30" x14ac:dyDescent="0.25">
      <c r="A724" s="4" t="str">
        <f t="shared" si="72"/>
        <v>2D2</v>
      </c>
      <c r="B724" s="2" t="s">
        <v>486</v>
      </c>
      <c r="C724" s="3"/>
      <c r="D724" s="3"/>
      <c r="E724" s="3"/>
      <c r="F724" s="27" t="str" cm="1">
        <f t="array" ref="F724">INDEX(Sources!A:A, 1 + BIN2DEC(LEFT($B724,5)))</f>
        <v>OUT</v>
      </c>
      <c r="G724" s="27" t="str" cm="1">
        <f t="array" ref="G724">INDEX(Dest1!A:A,1+BIN2DEC(MID($B724,6,5)))</f>
        <v>UNK17</v>
      </c>
      <c r="H724" s="27" t="str" cm="1">
        <f t="array" ref="H724">INDEX(Source2!A:A,1+BIN2DEC(MID($B724,11,4)))</f>
        <v>--</v>
      </c>
      <c r="I724" s="23" cm="1">
        <f t="array" ref="I724">INDEX('D2'!A:A,1+BIN2DEC(MID($B724,16,2)))</f>
        <v>1</v>
      </c>
      <c r="J724" s="6">
        <f t="shared" si="73"/>
        <v>1</v>
      </c>
      <c r="K724" s="6">
        <f t="shared" si="69"/>
        <v>0</v>
      </c>
      <c r="L724" s="6">
        <f t="shared" si="70"/>
        <v>0</v>
      </c>
      <c r="M724" s="3" t="str" cm="1">
        <f t="array" ref="M724">INDEX(Types!A:A,1+BIN2DEC(MID($B724,20,2)))</f>
        <v>Control</v>
      </c>
      <c r="N724" s="3" t="str" cm="1">
        <f t="array" ref="N724">IF(M724="ALU",INDEX(ALUOps!A:A,1+BIN2DEC(MID($B724,22,5))),"")</f>
        <v/>
      </c>
      <c r="O724" s="3" t="str" cm="1">
        <f t="array" ref="O724">IF(M724="ALU",INDEX(TMP!A:A,1+BIN2DEC(MID($B724,27,2))),"")</f>
        <v/>
      </c>
      <c r="P724" s="6" t="str">
        <f t="shared" si="71"/>
        <v/>
      </c>
      <c r="Q724" t="str">
        <f t="shared" si="74"/>
        <v/>
      </c>
      <c r="R724" t="str">
        <f t="shared" si="75"/>
        <v/>
      </c>
      <c r="S724" cm="1">
        <f t="array" ref="S724">IF(M724="Control",INDEX(IC!A:A,1+BIN2DEC(MID($B724,21,4))),"")</f>
        <v>0</v>
      </c>
      <c r="T724" cm="1">
        <f t="array" ref="T724">IF(M724="Control",INDEX(EC!A:A,1+BIN2DEC(MID($B724,25,3))),"")</f>
        <v>0</v>
      </c>
      <c r="U724" cm="1">
        <f t="array" ref="U724">IF(M724="Control",INDEX(SR!A:A,1+BIN2DEC(MID($B724,28,2))),"")</f>
        <v>0</v>
      </c>
    </row>
    <row r="725" spans="1:30" x14ac:dyDescent="0.25">
      <c r="A725" s="4" t="str">
        <f t="shared" si="72"/>
        <v>2D3</v>
      </c>
      <c r="B725" s="2" t="s">
        <v>215</v>
      </c>
      <c r="C725" s="3"/>
      <c r="D725" s="3"/>
      <c r="E725" s="3"/>
      <c r="F725" s="27" t="str" cm="1">
        <f t="array" ref="F725">INDEX(Sources!A:A, 1 + BIN2DEC(LEFT($B725,5)))</f>
        <v>--</v>
      </c>
      <c r="G725" s="27" t="str" cm="1">
        <f t="array" ref="G725">INDEX(Dest1!A:A,1+BIN2DEC(MID($B725,6,5)))</f>
        <v>UNK26</v>
      </c>
      <c r="H725" s="27" t="str" cm="1">
        <f t="array" ref="H725">INDEX(Source2!A:A,1+BIN2DEC(MID($B725,11,4)))</f>
        <v>--</v>
      </c>
      <c r="I725" s="23" cm="1">
        <f t="array" ref="I725">INDEX('D2'!A:A,1+BIN2DEC(MID($B725,16,2)))</f>
        <v>0</v>
      </c>
      <c r="J725" s="6">
        <f t="shared" si="73"/>
        <v>0</v>
      </c>
      <c r="K725" s="6">
        <f t="shared" si="69"/>
        <v>0</v>
      </c>
      <c r="L725" s="6">
        <f t="shared" si="70"/>
        <v>0</v>
      </c>
      <c r="M725" s="3" t="str" cm="1">
        <f t="array" ref="M725">INDEX(Types!A:A,1+BIN2DEC(MID($B725,20,2)))</f>
        <v>Control</v>
      </c>
      <c r="N725" s="3" t="str" cm="1">
        <f t="array" ref="N725">IF(M725="ALU",INDEX(ALUOps!A:A,1+BIN2DEC(MID($B725,22,5))),"")</f>
        <v/>
      </c>
      <c r="O725" s="3" t="str" cm="1">
        <f t="array" ref="O725">IF(M725="ALU",INDEX(TMP!A:A,1+BIN2DEC(MID($B725,27,2))),"")</f>
        <v/>
      </c>
      <c r="P725" s="6" t="str">
        <f t="shared" si="71"/>
        <v/>
      </c>
      <c r="Q725" t="str">
        <f t="shared" si="74"/>
        <v/>
      </c>
      <c r="R725" t="str">
        <f t="shared" si="75"/>
        <v/>
      </c>
      <c r="S725" cm="1">
        <f t="array" ref="S725">IF(M725="Control",INDEX(IC!A:A,1+BIN2DEC(MID($B725,21,4))),"")</f>
        <v>0</v>
      </c>
      <c r="T725" cm="1">
        <f t="array" ref="T725">IF(M725="Control",INDEX(EC!A:A,1+BIN2DEC(MID($B725,25,3))),"")</f>
        <v>6</v>
      </c>
      <c r="U725" cm="1">
        <f t="array" ref="U725">IF(M725="Control",INDEX(SR!A:A,1+BIN2DEC(MID($B725,28,2))),"")</f>
        <v>3</v>
      </c>
    </row>
    <row r="726" spans="1:30" x14ac:dyDescent="0.25">
      <c r="A726" s="4" t="str">
        <f t="shared" si="72"/>
        <v>2D4</v>
      </c>
      <c r="B726" s="2" t="s">
        <v>677</v>
      </c>
      <c r="C726" s="2" t="s">
        <v>676</v>
      </c>
      <c r="D726" s="2" t="s">
        <v>936</v>
      </c>
      <c r="E726" s="2" t="s">
        <v>488</v>
      </c>
      <c r="F726" s="27" t="str" cm="1">
        <f t="array" ref="F726">INDEX(Sources!A:A, 1 + BIN2DEC(LEFT($B726,5)))</f>
        <v>OUT</v>
      </c>
      <c r="G726" s="27" t="str" cm="1">
        <f t="array" ref="G726">INDEX(Dest1!A:A,1+BIN2DEC(MID($B726,6,5)))</f>
        <v>TMPA</v>
      </c>
      <c r="H726" s="27" t="str" cm="1">
        <f t="array" ref="H726">INDEX(Source2!A:A,1+BIN2DEC(MID($B726,11,4)))</f>
        <v>--</v>
      </c>
      <c r="I726" s="23" cm="1">
        <f t="array" ref="I726">INDEX('D2'!A:A,1+BIN2DEC(MID($B726,16,2)))</f>
        <v>1</v>
      </c>
      <c r="J726" s="6">
        <f t="shared" si="73"/>
        <v>1</v>
      </c>
      <c r="K726" s="6">
        <f t="shared" si="69"/>
        <v>0</v>
      </c>
      <c r="L726" s="6">
        <f t="shared" si="70"/>
        <v>0</v>
      </c>
      <c r="M726" s="3" t="str" cm="1">
        <f t="array" ref="M726">INDEX(Types!A:A,1+BIN2DEC(MID($B726,20,2)))</f>
        <v>ALU</v>
      </c>
      <c r="N726" s="3" cm="1">
        <f t="array" ref="N726">IF(M726="ALU",INDEX(ALUOps!A:A,1+BIN2DEC(MID($B726,22,5))),"")</f>
        <v>29</v>
      </c>
      <c r="O726" s="3" cm="1">
        <f t="array" ref="O726">IF(M726="ALU",INDEX(TMP!A:A,1+BIN2DEC(MID($B726,27,2))),"")</f>
        <v>1</v>
      </c>
      <c r="P726" s="6">
        <f t="shared" si="71"/>
        <v>1</v>
      </c>
      <c r="Q726" t="str">
        <f t="shared" si="74"/>
        <v/>
      </c>
      <c r="R726" t="str">
        <f t="shared" si="75"/>
        <v/>
      </c>
      <c r="S726" t="str" cm="1">
        <f t="array" ref="S726">IF(M726="Control",INDEX(IC!A:A,1+BIN2DEC(MID($B726,21,4))),"")</f>
        <v/>
      </c>
      <c r="T726" t="str" cm="1">
        <f t="array" ref="T726">IF(M726="Control",INDEX(EC!A:A,1+BIN2DEC(MID($B726,25,3))),"")</f>
        <v/>
      </c>
      <c r="U726" t="str" cm="1">
        <f t="array" ref="U726">IF(M726="Control",INDEX(SR!A:A,1+BIN2DEC(MID($B726,28,2))),"")</f>
        <v/>
      </c>
      <c r="X726" t="s">
        <v>1110</v>
      </c>
      <c r="AD726" s="1" t="s">
        <v>501</v>
      </c>
    </row>
    <row r="727" spans="1:30" x14ac:dyDescent="0.25">
      <c r="A727" s="4" t="str">
        <f t="shared" si="72"/>
        <v>2D5</v>
      </c>
      <c r="B727" s="2" t="s">
        <v>679</v>
      </c>
      <c r="C727" s="3"/>
      <c r="D727" s="3"/>
      <c r="E727" s="3"/>
      <c r="F727" s="27" t="str" cm="1">
        <f t="array" ref="F727">INDEX(Sources!A:A, 1 + BIN2DEC(LEFT($B727,5)))</f>
        <v>SIGMA</v>
      </c>
      <c r="G727" s="27" t="str" cm="1">
        <f t="array" ref="G727">INDEX(Dest1!A:A,1+BIN2DEC(MID($B727,6,5)))</f>
        <v>TMPA</v>
      </c>
      <c r="H727" s="27" t="str" cm="1">
        <f t="array" ref="H727">INDEX(Source2!A:A,1+BIN2DEC(MID($B727,11,4)))</f>
        <v>--</v>
      </c>
      <c r="I727" s="23" cm="1">
        <f t="array" ref="I727">INDEX('D2'!A:A,1+BIN2DEC(MID($B727,16,2)))</f>
        <v>0</v>
      </c>
      <c r="J727" s="6">
        <f t="shared" si="73"/>
        <v>0</v>
      </c>
      <c r="K727" s="6">
        <f t="shared" si="69"/>
        <v>1</v>
      </c>
      <c r="L727" s="6">
        <f t="shared" si="70"/>
        <v>0</v>
      </c>
      <c r="M727" s="3" t="str" cm="1">
        <f t="array" ref="M727">INDEX(Types!A:A,1+BIN2DEC(MID($B727,20,2)))</f>
        <v>ALU</v>
      </c>
      <c r="N727" s="3" cm="1">
        <f t="array" ref="N727">IF(M727="ALU",INDEX(ALUOps!A:A,1+BIN2DEC(MID($B727,22,5))),"")</f>
        <v>11</v>
      </c>
      <c r="O727" s="3" cm="1">
        <f t="array" ref="O727">IF(M727="ALU",INDEX(TMP!A:A,1+BIN2DEC(MID($B727,27,2))),"")</f>
        <v>2</v>
      </c>
      <c r="P727" s="6">
        <f t="shared" si="71"/>
        <v>1</v>
      </c>
      <c r="Q727" t="str">
        <f t="shared" si="74"/>
        <v/>
      </c>
      <c r="R727" t="str">
        <f t="shared" si="75"/>
        <v/>
      </c>
      <c r="S727" t="str" cm="1">
        <f t="array" ref="S727">IF(M727="Control",INDEX(IC!A:A,1+BIN2DEC(MID($B727,21,4))),"")</f>
        <v/>
      </c>
      <c r="T727" t="str" cm="1">
        <f t="array" ref="T727">IF(M727="Control",INDEX(EC!A:A,1+BIN2DEC(MID($B727,25,3))),"")</f>
        <v/>
      </c>
      <c r="U727" t="str" cm="1">
        <f t="array" ref="U727">IF(M727="Control",INDEX(SR!A:A,1+BIN2DEC(MID($B727,28,2))),"")</f>
        <v/>
      </c>
    </row>
    <row r="728" spans="1:30" x14ac:dyDescent="0.25">
      <c r="A728" s="4" t="str">
        <f t="shared" si="72"/>
        <v>2D6</v>
      </c>
      <c r="B728" s="2" t="s">
        <v>33</v>
      </c>
      <c r="C728" s="3"/>
      <c r="D728" s="3"/>
      <c r="E728" s="3"/>
      <c r="F728" s="27" t="str" cm="1">
        <f t="array" ref="F728">INDEX(Sources!A:A, 1 + BIN2DEC(LEFT($B728,5)))</f>
        <v>UNK10</v>
      </c>
      <c r="G728" s="27" t="str" cm="1">
        <f t="array" ref="G728">INDEX(Dest1!A:A,1+BIN2DEC(MID($B728,6,5)))</f>
        <v>TMPB</v>
      </c>
      <c r="H728" s="27" t="str" cm="1">
        <f t="array" ref="H728">INDEX(Source2!A:A,1+BIN2DEC(MID($B728,11,4)))</f>
        <v>--</v>
      </c>
      <c r="I728" s="23" cm="1">
        <f t="array" ref="I728">INDEX('D2'!A:A,1+BIN2DEC(MID($B728,16,2)))</f>
        <v>0</v>
      </c>
      <c r="J728" s="6">
        <f t="shared" si="73"/>
        <v>0</v>
      </c>
      <c r="K728" s="6">
        <f t="shared" si="69"/>
        <v>0</v>
      </c>
      <c r="L728" s="6">
        <f t="shared" si="70"/>
        <v>0</v>
      </c>
      <c r="M728" s="3" t="str" cm="1">
        <f t="array" ref="M728">INDEX(Types!A:A,1+BIN2DEC(MID($B728,20,2)))</f>
        <v>ALU</v>
      </c>
      <c r="N728" s="3" cm="1">
        <f t="array" ref="N728">IF(M728="ALU",INDEX(ALUOps!A:A,1+BIN2DEC(MID($B728,22,5))),"")</f>
        <v>31</v>
      </c>
      <c r="O728" s="3" cm="1">
        <f t="array" ref="O728">IF(M728="ALU",INDEX(TMP!A:A,1+BIN2DEC(MID($B728,27,2))),"")</f>
        <v>3</v>
      </c>
      <c r="P728" s="6">
        <f t="shared" si="71"/>
        <v>1</v>
      </c>
      <c r="Q728" t="str">
        <f t="shared" si="74"/>
        <v/>
      </c>
      <c r="R728" t="str">
        <f t="shared" si="75"/>
        <v/>
      </c>
      <c r="S728" t="str" cm="1">
        <f t="array" ref="S728">IF(M728="Control",INDEX(IC!A:A,1+BIN2DEC(MID($B728,21,4))),"")</f>
        <v/>
      </c>
      <c r="T728" t="str" cm="1">
        <f t="array" ref="T728">IF(M728="Control",INDEX(EC!A:A,1+BIN2DEC(MID($B728,25,3))),"")</f>
        <v/>
      </c>
      <c r="U728" t="str" cm="1">
        <f t="array" ref="U728">IF(M728="Control",INDEX(SR!A:A,1+BIN2DEC(MID($B728,28,2))),"")</f>
        <v/>
      </c>
    </row>
    <row r="729" spans="1:30" x14ac:dyDescent="0.25">
      <c r="A729" s="4" t="str">
        <f t="shared" si="72"/>
        <v>2D7</v>
      </c>
      <c r="B729" s="2" t="s">
        <v>680</v>
      </c>
      <c r="C729" s="3"/>
      <c r="D729" s="3"/>
      <c r="E729" s="3"/>
      <c r="F729" s="27" t="str" cm="1">
        <f t="array" ref="F729">INDEX(Sources!A:A, 1 + BIN2DEC(LEFT($B729,5)))</f>
        <v>--</v>
      </c>
      <c r="G729" s="27" t="str" cm="1">
        <f t="array" ref="G729">INDEX(Dest1!A:A,1+BIN2DEC(MID($B729,6,5)))</f>
        <v>UNK26</v>
      </c>
      <c r="H729" s="27" t="str" cm="1">
        <f t="array" ref="H729">INDEX(Source2!A:A,1+BIN2DEC(MID($B729,11,4)))</f>
        <v>11</v>
      </c>
      <c r="I729" s="23" cm="1">
        <f t="array" ref="I729">INDEX('D2'!A:A,1+BIN2DEC(MID($B729,16,2)))</f>
        <v>0</v>
      </c>
      <c r="J729" s="6">
        <f t="shared" si="73"/>
        <v>0</v>
      </c>
      <c r="K729" s="6">
        <f t="shared" si="69"/>
        <v>1</v>
      </c>
      <c r="L729" s="6">
        <f t="shared" si="70"/>
        <v>0</v>
      </c>
      <c r="M729" s="3" t="str" cm="1">
        <f t="array" ref="M729">INDEX(Types!A:A,1+BIN2DEC(MID($B729,20,2)))</f>
        <v>Control</v>
      </c>
      <c r="N729" s="3" t="str" cm="1">
        <f t="array" ref="N729">IF(M729="ALU",INDEX(ALUOps!A:A,1+BIN2DEC(MID($B729,22,5))),"")</f>
        <v/>
      </c>
      <c r="O729" s="3" t="str" cm="1">
        <f t="array" ref="O729">IF(M729="ALU",INDEX(TMP!A:A,1+BIN2DEC(MID($B729,27,2))),"")</f>
        <v/>
      </c>
      <c r="P729" s="6" t="str">
        <f t="shared" si="71"/>
        <v/>
      </c>
      <c r="Q729" t="str">
        <f t="shared" si="74"/>
        <v/>
      </c>
      <c r="R729" t="str">
        <f t="shared" si="75"/>
        <v/>
      </c>
      <c r="S729" cm="1">
        <f t="array" ref="S729">IF(M729="Control",INDEX(IC!A:A,1+BIN2DEC(MID($B729,21,4))),"")</f>
        <v>0</v>
      </c>
      <c r="T729" cm="1">
        <f t="array" ref="T729">IF(M729="Control",INDEX(EC!A:A,1+BIN2DEC(MID($B729,25,3))),"")</f>
        <v>5</v>
      </c>
      <c r="U729" cm="1">
        <f t="array" ref="U729">IF(M729="Control",INDEX(SR!A:A,1+BIN2DEC(MID($B729,28,2))),"")</f>
        <v>3</v>
      </c>
    </row>
    <row r="730" spans="1:30" x14ac:dyDescent="0.25">
      <c r="A730" s="4" t="str">
        <f t="shared" si="72"/>
        <v>2D8</v>
      </c>
      <c r="B730" s="2" t="s">
        <v>681</v>
      </c>
      <c r="C730" s="2" t="s">
        <v>678</v>
      </c>
      <c r="D730" s="2" t="s">
        <v>936</v>
      </c>
      <c r="E730" s="2" t="s">
        <v>933</v>
      </c>
      <c r="F730" s="27" t="str" cm="1">
        <f t="array" ref="F730">INDEX(Sources!A:A, 1 + BIN2DEC(LEFT($B730,5)))</f>
        <v>--</v>
      </c>
      <c r="G730" s="27" t="str" cm="1">
        <f t="array" ref="G730">INDEX(Dest1!A:A,1+BIN2DEC(MID($B730,6,5)))</f>
        <v>--</v>
      </c>
      <c r="H730" s="27" t="str" cm="1">
        <f t="array" ref="H730">INDEX(Source2!A:A,1+BIN2DEC(MID($B730,11,4)))</f>
        <v>--</v>
      </c>
      <c r="I730" s="23" cm="1">
        <f t="array" ref="I730">INDEX('D2'!A:A,1+BIN2DEC(MID($B730,16,2)))</f>
        <v>0</v>
      </c>
      <c r="J730" s="6">
        <f t="shared" si="73"/>
        <v>0</v>
      </c>
      <c r="K730" s="6">
        <f t="shared" si="69"/>
        <v>0</v>
      </c>
      <c r="L730" s="6">
        <f t="shared" si="70"/>
        <v>0</v>
      </c>
      <c r="M730" s="3" t="str" cm="1">
        <f t="array" ref="M730">INDEX(Types!A:A,1+BIN2DEC(MID($B730,20,2)))</f>
        <v>Control</v>
      </c>
      <c r="N730" s="3" t="str" cm="1">
        <f t="array" ref="N730">IF(M730="ALU",INDEX(ALUOps!A:A,1+BIN2DEC(MID($B730,22,5))),"")</f>
        <v/>
      </c>
      <c r="O730" s="3" t="str" cm="1">
        <f t="array" ref="O730">IF(M730="ALU",INDEX(TMP!A:A,1+BIN2DEC(MID($B730,27,2))),"")</f>
        <v/>
      </c>
      <c r="P730" s="6" t="str">
        <f t="shared" si="71"/>
        <v/>
      </c>
      <c r="Q730" t="str">
        <f t="shared" si="74"/>
        <v/>
      </c>
      <c r="R730" t="str">
        <f t="shared" si="75"/>
        <v/>
      </c>
      <c r="S730" cm="1">
        <f t="array" ref="S730">IF(M730="Control",INDEX(IC!A:A,1+BIN2DEC(MID($B730,21,4))),"")</f>
        <v>2</v>
      </c>
      <c r="T730" cm="1">
        <f t="array" ref="T730">IF(M730="Control",INDEX(EC!A:A,1+BIN2DEC(MID($B730,25,3))),"")</f>
        <v>0</v>
      </c>
      <c r="U730" cm="1">
        <f t="array" ref="U730">IF(M730="Control",INDEX(SR!A:A,1+BIN2DEC(MID($B730,28,2))),"")</f>
        <v>0</v>
      </c>
      <c r="X730" t="s">
        <v>1109</v>
      </c>
      <c r="AD730" s="1" t="s">
        <v>669</v>
      </c>
    </row>
    <row r="731" spans="1:30" x14ac:dyDescent="0.25">
      <c r="A731" s="4" t="str">
        <f t="shared" si="72"/>
        <v>2D9</v>
      </c>
      <c r="B731" s="2" t="s">
        <v>684</v>
      </c>
      <c r="C731" s="3"/>
      <c r="D731" s="3"/>
      <c r="E731" s="3"/>
      <c r="F731" s="27" t="str" cm="1">
        <f t="array" ref="F731">INDEX(Sources!A:A, 1 + BIN2DEC(LEFT($B731,5)))</f>
        <v>SIGMA</v>
      </c>
      <c r="G731" s="27" t="str" cm="1">
        <f t="array" ref="G731">INDEX(Dest1!A:A,1+BIN2DEC(MID($B731,6,5)))</f>
        <v>OUT</v>
      </c>
      <c r="H731" s="27" t="str" cm="1">
        <f t="array" ref="H731">INDEX(Source2!A:A,1+BIN2DEC(MID($B731,11,4)))</f>
        <v>--</v>
      </c>
      <c r="I731" s="23" t="str" cm="1">
        <f t="array" ref="I731">INDEX('D2'!A:A,1+BIN2DEC(MID($B731,16,2)))</f>
        <v>TMPB</v>
      </c>
      <c r="J731" s="6">
        <f t="shared" si="73"/>
        <v>0</v>
      </c>
      <c r="K731" s="6">
        <f t="shared" si="69"/>
        <v>0</v>
      </c>
      <c r="L731" s="6">
        <f t="shared" si="70"/>
        <v>0</v>
      </c>
      <c r="M731" s="3" t="str" cm="1">
        <f t="array" ref="M731">INDEX(Types!A:A,1+BIN2DEC(MID($B731,20,2)))</f>
        <v>ALU</v>
      </c>
      <c r="N731" s="3" cm="1">
        <f t="array" ref="N731">IF(M731="ALU",INDEX(ALUOps!A:A,1+BIN2DEC(MID($B731,22,5))),"")</f>
        <v>7</v>
      </c>
      <c r="O731" s="3" cm="1">
        <f t="array" ref="O731">IF(M731="ALU",INDEX(TMP!A:A,1+BIN2DEC(MID($B731,27,2))),"")</f>
        <v>3</v>
      </c>
      <c r="P731" s="6">
        <f t="shared" si="71"/>
        <v>1</v>
      </c>
      <c r="Q731" t="str">
        <f t="shared" si="74"/>
        <v/>
      </c>
      <c r="R731" t="str">
        <f t="shared" si="75"/>
        <v/>
      </c>
      <c r="S731" t="str" cm="1">
        <f t="array" ref="S731">IF(M731="Control",INDEX(IC!A:A,1+BIN2DEC(MID($B731,21,4))),"")</f>
        <v/>
      </c>
      <c r="T731" t="str" cm="1">
        <f t="array" ref="T731">IF(M731="Control",INDEX(EC!A:A,1+BIN2DEC(MID($B731,25,3))),"")</f>
        <v/>
      </c>
      <c r="U731" t="str" cm="1">
        <f t="array" ref="U731">IF(M731="Control",INDEX(SR!A:A,1+BIN2DEC(MID($B731,28,2))),"")</f>
        <v/>
      </c>
    </row>
    <row r="732" spans="1:30" x14ac:dyDescent="0.25">
      <c r="A732" s="4" t="str">
        <f t="shared" si="72"/>
        <v>2DA</v>
      </c>
      <c r="B732" s="2" t="s">
        <v>685</v>
      </c>
      <c r="C732" s="3"/>
      <c r="D732" s="3"/>
      <c r="E732" s="3"/>
      <c r="F732" s="27" t="str" cm="1">
        <f t="array" ref="F732">INDEX(Sources!A:A, 1 + BIN2DEC(LEFT($B732,5)))</f>
        <v>SIGMA</v>
      </c>
      <c r="G732" s="27" t="str" cm="1">
        <f t="array" ref="G732">INDEX(Dest1!A:A,1+BIN2DEC(MID($B732,6,5)))</f>
        <v>--</v>
      </c>
      <c r="H732" s="27" t="str" cm="1">
        <f t="array" ref="H732">INDEX(Source2!A:A,1+BIN2DEC(MID($B732,11,4)))</f>
        <v>15</v>
      </c>
      <c r="I732" s="23" cm="1">
        <f t="array" ref="I732">INDEX('D2'!A:A,1+BIN2DEC(MID($B732,16,2)))</f>
        <v>0</v>
      </c>
      <c r="J732" s="6">
        <f t="shared" si="73"/>
        <v>0</v>
      </c>
      <c r="K732" s="6">
        <f t="shared" si="69"/>
        <v>0</v>
      </c>
      <c r="L732" s="6">
        <f t="shared" si="70"/>
        <v>0</v>
      </c>
      <c r="M732" s="3" t="str" cm="1">
        <f t="array" ref="M732">INDEX(Types!A:A,1+BIN2DEC(MID($B732,20,2)))</f>
        <v>Jump</v>
      </c>
      <c r="N732" s="3" t="str" cm="1">
        <f t="array" ref="N732">IF(M732="ALU",INDEX(ALUOps!A:A,1+BIN2DEC(MID($B732,22,5))),"")</f>
        <v/>
      </c>
      <c r="O732" s="3" t="str" cm="1">
        <f t="array" ref="O732">IF(M732="ALU",INDEX(TMP!A:A,1+BIN2DEC(MID($B732,27,2))),"")</f>
        <v/>
      </c>
      <c r="P732" s="6" t="str">
        <f t="shared" si="71"/>
        <v/>
      </c>
      <c r="Q732">
        <f t="shared" si="74"/>
        <v>10</v>
      </c>
      <c r="R732">
        <f t="shared" si="75"/>
        <v>3</v>
      </c>
      <c r="S732" t="str" cm="1">
        <f t="array" ref="S732">IF(M732="Control",INDEX(IC!A:A,1+BIN2DEC(MID($B732,21,4))),"")</f>
        <v/>
      </c>
      <c r="T732" t="str" cm="1">
        <f t="array" ref="T732">IF(M732="Control",INDEX(EC!A:A,1+BIN2DEC(MID($B732,25,3))),"")</f>
        <v/>
      </c>
      <c r="U732" t="str" cm="1">
        <f t="array" ref="U732">IF(M732="Control",INDEX(SR!A:A,1+BIN2DEC(MID($B732,28,2))),"")</f>
        <v/>
      </c>
    </row>
    <row r="733" spans="1:30" x14ac:dyDescent="0.25">
      <c r="A733" s="4" t="str">
        <f t="shared" si="72"/>
        <v>2DB</v>
      </c>
      <c r="B733" s="2" t="s">
        <v>686</v>
      </c>
      <c r="C733" s="3"/>
      <c r="D733" s="3"/>
      <c r="E733" s="3"/>
      <c r="F733" s="27" t="str" cm="1">
        <f t="array" ref="F733">INDEX(Sources!A:A, 1 + BIN2DEC(LEFT($B733,5)))</f>
        <v>C</v>
      </c>
      <c r="G733" s="27" t="str" cm="1">
        <f t="array" ref="G733">INDEX(Dest1!A:A,1+BIN2DEC(MID($B733,6,5)))</f>
        <v>UNK11</v>
      </c>
      <c r="H733" s="27" t="str" cm="1">
        <f t="array" ref="H733">INDEX(Source2!A:A,1+BIN2DEC(MID($B733,11,4)))</f>
        <v>--</v>
      </c>
      <c r="I733" s="23" cm="1">
        <f t="array" ref="I733">INDEX('D2'!A:A,1+BIN2DEC(MID($B733,16,2)))</f>
        <v>0</v>
      </c>
      <c r="J733" s="6">
        <f t="shared" si="73"/>
        <v>0</v>
      </c>
      <c r="K733" s="6">
        <f t="shared" si="69"/>
        <v>0</v>
      </c>
      <c r="L733" s="6">
        <f t="shared" si="70"/>
        <v>0</v>
      </c>
      <c r="M733" s="3" t="str" cm="1">
        <f t="array" ref="M733">INDEX(Types!A:A,1+BIN2DEC(MID($B733,20,2)))</f>
        <v>ALU</v>
      </c>
      <c r="N733" s="3" cm="1">
        <f t="array" ref="N733">IF(M733="ALU",INDEX(ALUOps!A:A,1+BIN2DEC(MID($B733,22,5))),"")</f>
        <v>31</v>
      </c>
      <c r="O733" s="3" cm="1">
        <f t="array" ref="O733">IF(M733="ALU",INDEX(TMP!A:A,1+BIN2DEC(MID($B733,27,2))),"")</f>
        <v>2</v>
      </c>
      <c r="P733" s="6">
        <f t="shared" si="71"/>
        <v>1</v>
      </c>
      <c r="Q733" t="str">
        <f t="shared" si="74"/>
        <v/>
      </c>
      <c r="R733" t="str">
        <f t="shared" si="75"/>
        <v/>
      </c>
      <c r="S733" t="str" cm="1">
        <f t="array" ref="S733">IF(M733="Control",INDEX(IC!A:A,1+BIN2DEC(MID($B733,21,4))),"")</f>
        <v/>
      </c>
      <c r="T733" t="str" cm="1">
        <f t="array" ref="T733">IF(M733="Control",INDEX(EC!A:A,1+BIN2DEC(MID($B733,25,3))),"")</f>
        <v/>
      </c>
      <c r="U733" t="str" cm="1">
        <f t="array" ref="U733">IF(M733="Control",INDEX(SR!A:A,1+BIN2DEC(MID($B733,28,2))),"")</f>
        <v/>
      </c>
    </row>
    <row r="734" spans="1:30" x14ac:dyDescent="0.25">
      <c r="A734" s="4" t="str">
        <f t="shared" si="72"/>
        <v>2DC</v>
      </c>
      <c r="B734" s="2" t="s">
        <v>687</v>
      </c>
      <c r="C734" s="2" t="s">
        <v>682</v>
      </c>
      <c r="D734" s="2" t="s">
        <v>936</v>
      </c>
      <c r="E734" s="2" t="s">
        <v>462</v>
      </c>
      <c r="F734" s="27" t="str" cm="1">
        <f t="array" ref="F734">INDEX(Sources!A:A, 1 + BIN2DEC(LEFT($B734,5)))</f>
        <v>--</v>
      </c>
      <c r="G734" s="27" t="str" cm="1">
        <f t="array" ref="G734">INDEX(Dest1!A:A,1+BIN2DEC(MID($B734,6,5)))</f>
        <v>--</v>
      </c>
      <c r="H734" s="27" t="str" cm="1">
        <f t="array" ref="H734">INDEX(Source2!A:A,1+BIN2DEC(MID($B734,11,4)))</f>
        <v>--</v>
      </c>
      <c r="I734" s="23" cm="1">
        <f t="array" ref="I734">INDEX('D2'!A:A,1+BIN2DEC(MID($B734,16,2)))</f>
        <v>0</v>
      </c>
      <c r="J734" s="6">
        <f t="shared" si="73"/>
        <v>0</v>
      </c>
      <c r="K734" s="6">
        <f t="shared" si="69"/>
        <v>0</v>
      </c>
      <c r="L734" s="6">
        <f t="shared" si="70"/>
        <v>0</v>
      </c>
      <c r="M734" s="3" t="str" cm="1">
        <f t="array" ref="M734">INDEX(Types!A:A,1+BIN2DEC(MID($B734,20,2)))</f>
        <v>Jump</v>
      </c>
      <c r="N734" s="3" t="str" cm="1">
        <f t="array" ref="N734">IF(M734="ALU",INDEX(ALUOps!A:A,1+BIN2DEC(MID($B734,22,5))),"")</f>
        <v/>
      </c>
      <c r="O734" s="3" t="str" cm="1">
        <f t="array" ref="O734">IF(M734="ALU",INDEX(TMP!A:A,1+BIN2DEC(MID($B734,27,2))),"")</f>
        <v/>
      </c>
      <c r="P734" s="6" t="str">
        <f t="shared" si="71"/>
        <v/>
      </c>
      <c r="Q734">
        <f t="shared" si="74"/>
        <v>15</v>
      </c>
      <c r="R734">
        <f t="shared" si="75"/>
        <v>3</v>
      </c>
      <c r="S734" t="str" cm="1">
        <f t="array" ref="S734">IF(M734="Control",INDEX(IC!A:A,1+BIN2DEC(MID($B734,21,4))),"")</f>
        <v/>
      </c>
      <c r="T734" t="str" cm="1">
        <f t="array" ref="T734">IF(M734="Control",INDEX(EC!A:A,1+BIN2DEC(MID($B734,25,3))),"")</f>
        <v/>
      </c>
      <c r="U734" t="str" cm="1">
        <f t="array" ref="U734">IF(M734="Control",INDEX(SR!A:A,1+BIN2DEC(MID($B734,28,2))),"")</f>
        <v/>
      </c>
      <c r="X734" t="s">
        <v>1111</v>
      </c>
      <c r="AD734" s="1" t="s">
        <v>683</v>
      </c>
    </row>
    <row r="735" spans="1:30" x14ac:dyDescent="0.25">
      <c r="A735" s="4" t="str">
        <f t="shared" si="72"/>
        <v>2DD</v>
      </c>
      <c r="B735" s="2" t="s">
        <v>689</v>
      </c>
      <c r="C735" s="3"/>
      <c r="D735" s="3"/>
      <c r="E735" s="3"/>
      <c r="F735" s="27" t="str" cm="1">
        <f t="array" ref="F735">INDEX(Sources!A:A, 1 + BIN2DEC(LEFT($B735,5)))</f>
        <v>REG</v>
      </c>
      <c r="G735" s="27" t="str" cm="1">
        <f t="array" ref="G735">INDEX(Dest1!A:A,1+BIN2DEC(MID($B735,6,5)))</f>
        <v>TMPA</v>
      </c>
      <c r="H735" s="27" t="str" cm="1">
        <f t="array" ref="H735">INDEX(Source2!A:A,1+BIN2DEC(MID($B735,11,4)))</f>
        <v>15</v>
      </c>
      <c r="I735" s="23" cm="1">
        <f t="array" ref="I735">INDEX('D2'!A:A,1+BIN2DEC(MID($B735,16,2)))</f>
        <v>0</v>
      </c>
      <c r="J735" s="6">
        <f t="shared" si="73"/>
        <v>0</v>
      </c>
      <c r="K735" s="6">
        <f t="shared" si="69"/>
        <v>0</v>
      </c>
      <c r="L735" s="6">
        <f t="shared" si="70"/>
        <v>0</v>
      </c>
      <c r="M735" s="3" t="str" cm="1">
        <f t="array" ref="M735">INDEX(Types!A:A,1+BIN2DEC(MID($B735,20,2)))</f>
        <v>Jump</v>
      </c>
      <c r="N735" s="3" t="str" cm="1">
        <f t="array" ref="N735">IF(M735="ALU",INDEX(ALUOps!A:A,1+BIN2DEC(MID($B735,22,5))),"")</f>
        <v/>
      </c>
      <c r="O735" s="3" t="str" cm="1">
        <f t="array" ref="O735">IF(M735="ALU",INDEX(TMP!A:A,1+BIN2DEC(MID($B735,27,2))),"")</f>
        <v/>
      </c>
      <c r="P735" s="6" t="str">
        <f t="shared" si="71"/>
        <v/>
      </c>
      <c r="Q735">
        <f t="shared" si="74"/>
        <v>6</v>
      </c>
      <c r="R735">
        <f t="shared" si="75"/>
        <v>3</v>
      </c>
      <c r="S735" t="str" cm="1">
        <f t="array" ref="S735">IF(M735="Control",INDEX(IC!A:A,1+BIN2DEC(MID($B735,21,4))),"")</f>
        <v/>
      </c>
      <c r="T735" t="str" cm="1">
        <f t="array" ref="T735">IF(M735="Control",INDEX(EC!A:A,1+BIN2DEC(MID($B735,25,3))),"")</f>
        <v/>
      </c>
      <c r="U735" t="str" cm="1">
        <f t="array" ref="U735">IF(M735="Control",INDEX(SR!A:A,1+BIN2DEC(MID($B735,28,2))),"")</f>
        <v/>
      </c>
    </row>
    <row r="736" spans="1:30" x14ac:dyDescent="0.25">
      <c r="A736" s="4" t="str">
        <f t="shared" si="72"/>
        <v>2DE</v>
      </c>
      <c r="B736" s="2" t="s">
        <v>281</v>
      </c>
      <c r="C736" s="3"/>
      <c r="D736" s="3"/>
      <c r="E736" s="3"/>
      <c r="F736" s="27" t="str" cm="1">
        <f t="array" ref="F736">INDEX(Sources!A:A, 1 + BIN2DEC(LEFT($B736,5)))</f>
        <v>UNK22</v>
      </c>
      <c r="G736" s="27" t="str" cm="1">
        <f t="array" ref="G736">INDEX(Dest1!A:A,1+BIN2DEC(MID($B736,6,5)))</f>
        <v>TMPA</v>
      </c>
      <c r="H736" s="27" t="str" cm="1">
        <f t="array" ref="H736">INDEX(Source2!A:A,1+BIN2DEC(MID($B736,11,4)))</f>
        <v>--</v>
      </c>
      <c r="I736" s="23" cm="1">
        <f t="array" ref="I736">INDEX('D2'!A:A,1+BIN2DEC(MID($B736,16,2)))</f>
        <v>0</v>
      </c>
      <c r="J736" s="6">
        <f t="shared" si="73"/>
        <v>0</v>
      </c>
      <c r="K736" s="6">
        <f t="shared" si="69"/>
        <v>0</v>
      </c>
      <c r="L736" s="6">
        <f t="shared" si="70"/>
        <v>0</v>
      </c>
      <c r="M736" s="3" t="str" cm="1">
        <f t="array" ref="M736">INDEX(Types!A:A,1+BIN2DEC(MID($B736,20,2)))</f>
        <v>Control</v>
      </c>
      <c r="N736" s="3" t="str" cm="1">
        <f t="array" ref="N736">IF(M736="ALU",INDEX(ALUOps!A:A,1+BIN2DEC(MID($B736,22,5))),"")</f>
        <v/>
      </c>
      <c r="O736" s="3" t="str" cm="1">
        <f t="array" ref="O736">IF(M736="ALU",INDEX(TMP!A:A,1+BIN2DEC(MID($B736,27,2))),"")</f>
        <v/>
      </c>
      <c r="P736" s="6" t="str">
        <f t="shared" si="71"/>
        <v/>
      </c>
      <c r="Q736" t="str">
        <f t="shared" si="74"/>
        <v/>
      </c>
      <c r="R736" t="str">
        <f t="shared" si="75"/>
        <v/>
      </c>
      <c r="S736" cm="1">
        <f t="array" ref="S736">IF(M736="Control",INDEX(IC!A:A,1+BIN2DEC(MID($B736,21,4))),"")</f>
        <v>0</v>
      </c>
      <c r="T736" cm="1">
        <f t="array" ref="T736">IF(M736="Control",INDEX(EC!A:A,1+BIN2DEC(MID($B736,25,3))),"")</f>
        <v>0</v>
      </c>
      <c r="U736" cm="1">
        <f t="array" ref="U736">IF(M736="Control",INDEX(SR!A:A,1+BIN2DEC(MID($B736,28,2))),"")</f>
        <v>0</v>
      </c>
    </row>
    <row r="737" spans="1:30" x14ac:dyDescent="0.25">
      <c r="A737" s="4" t="str">
        <f t="shared" si="72"/>
        <v>2DF</v>
      </c>
      <c r="B737" s="2" t="s">
        <v>690</v>
      </c>
      <c r="C737" s="3"/>
      <c r="D737" s="3"/>
      <c r="E737" s="3"/>
      <c r="F737" s="27" t="str" cm="1">
        <f t="array" ref="F737">INDEX(Sources!A:A, 1 + BIN2DEC(LEFT($B737,5)))</f>
        <v>SIGMA</v>
      </c>
      <c r="G737" s="27" t="str" cm="1">
        <f t="array" ref="G737">INDEX(Dest1!A:A,1+BIN2DEC(MID($B737,6,5)))</f>
        <v>UNK24</v>
      </c>
      <c r="H737" s="27" t="str" cm="1">
        <f t="array" ref="H737">INDEX(Source2!A:A,1+BIN2DEC(MID($B737,11,4)))</f>
        <v>--</v>
      </c>
      <c r="I737" s="23" cm="1">
        <f t="array" ref="I737">INDEX('D2'!A:A,1+BIN2DEC(MID($B737,16,2)))</f>
        <v>0</v>
      </c>
      <c r="J737" s="6">
        <f t="shared" si="73"/>
        <v>0</v>
      </c>
      <c r="K737" s="6">
        <f t="shared" si="69"/>
        <v>1</v>
      </c>
      <c r="L737" s="6">
        <f t="shared" si="70"/>
        <v>0</v>
      </c>
      <c r="M737" s="3" t="str" cm="1">
        <f t="array" ref="M737">INDEX(Types!A:A,1+BIN2DEC(MID($B737,20,2)))</f>
        <v>ALU</v>
      </c>
      <c r="N737" s="3" cm="1">
        <f t="array" ref="N737">IF(M737="ALU",INDEX(ALUOps!A:A,1+BIN2DEC(MID($B737,22,5))),"")</f>
        <v>7</v>
      </c>
      <c r="O737" s="3" cm="1">
        <f t="array" ref="O737">IF(M737="ALU",INDEX(TMP!A:A,1+BIN2DEC(MID($B737,27,2))),"")</f>
        <v>3</v>
      </c>
      <c r="P737" s="6">
        <f t="shared" si="71"/>
        <v>1</v>
      </c>
      <c r="Q737" t="str">
        <f t="shared" si="74"/>
        <v/>
      </c>
      <c r="R737" t="str">
        <f t="shared" si="75"/>
        <v/>
      </c>
      <c r="S737" t="str" cm="1">
        <f t="array" ref="S737">IF(M737="Control",INDEX(IC!A:A,1+BIN2DEC(MID($B737,21,4))),"")</f>
        <v/>
      </c>
      <c r="T737" t="str" cm="1">
        <f t="array" ref="T737">IF(M737="Control",INDEX(EC!A:A,1+BIN2DEC(MID($B737,25,3))),"")</f>
        <v/>
      </c>
      <c r="U737" t="str" cm="1">
        <f t="array" ref="U737">IF(M737="Control",INDEX(SR!A:A,1+BIN2DEC(MID($B737,28,2))),"")</f>
        <v/>
      </c>
    </row>
    <row r="738" spans="1:30" x14ac:dyDescent="0.25">
      <c r="A738" s="4" t="str">
        <f t="shared" si="72"/>
        <v>2E0</v>
      </c>
      <c r="B738" s="2" t="s">
        <v>672</v>
      </c>
      <c r="C738" s="2" t="s">
        <v>688</v>
      </c>
      <c r="D738" s="2" t="s">
        <v>936</v>
      </c>
      <c r="E738" s="2" t="s">
        <v>929</v>
      </c>
      <c r="F738" s="27" t="str" cm="1">
        <f t="array" ref="F738">INDEX(Sources!A:A, 1 + BIN2DEC(LEFT($B738,5)))</f>
        <v>SIGMA</v>
      </c>
      <c r="G738" s="27" t="str" cm="1">
        <f t="array" ref="G738">INDEX(Dest1!A:A,1+BIN2DEC(MID($B738,6,5)))</f>
        <v>TMPA</v>
      </c>
      <c r="H738" s="27" t="str" cm="1">
        <f t="array" ref="H738">INDEX(Source2!A:A,1+BIN2DEC(MID($B738,11,4)))</f>
        <v>--</v>
      </c>
      <c r="I738" s="23" cm="1">
        <f t="array" ref="I738">INDEX('D2'!A:A,1+BIN2DEC(MID($B738,16,2)))</f>
        <v>0</v>
      </c>
      <c r="J738" s="6">
        <f t="shared" si="73"/>
        <v>0</v>
      </c>
      <c r="K738" s="6">
        <f t="shared" si="69"/>
        <v>0</v>
      </c>
      <c r="L738" s="6">
        <f t="shared" si="70"/>
        <v>0</v>
      </c>
      <c r="M738" s="3" t="str" cm="1">
        <f t="array" ref="M738">INDEX(Types!A:A,1+BIN2DEC(MID($B738,20,2)))</f>
        <v>ALU</v>
      </c>
      <c r="N738" s="3" cm="1">
        <f t="array" ref="N738">IF(M738="ALU",INDEX(ALUOps!A:A,1+BIN2DEC(MID($B738,22,5))),"")</f>
        <v>18</v>
      </c>
      <c r="O738" s="3" cm="1">
        <f t="array" ref="O738">IF(M738="ALU",INDEX(TMP!A:A,1+BIN2DEC(MID($B738,27,2))),"")</f>
        <v>2</v>
      </c>
      <c r="P738" s="6">
        <f t="shared" si="71"/>
        <v>1</v>
      </c>
      <c r="Q738" t="str">
        <f t="shared" si="74"/>
        <v/>
      </c>
      <c r="R738" t="str">
        <f t="shared" si="75"/>
        <v/>
      </c>
      <c r="S738" t="str" cm="1">
        <f t="array" ref="S738">IF(M738="Control",INDEX(IC!A:A,1+BIN2DEC(MID($B738,21,4))),"")</f>
        <v/>
      </c>
      <c r="T738" t="str" cm="1">
        <f t="array" ref="T738">IF(M738="Control",INDEX(EC!A:A,1+BIN2DEC(MID($B738,25,3))),"")</f>
        <v/>
      </c>
      <c r="U738" t="str" cm="1">
        <f t="array" ref="U738">IF(M738="Control",INDEX(SR!A:A,1+BIN2DEC(MID($B738,28,2))),"")</f>
        <v/>
      </c>
      <c r="X738" t="s">
        <v>1111</v>
      </c>
      <c r="AD738" s="1" t="s">
        <v>683</v>
      </c>
    </row>
    <row r="739" spans="1:30" x14ac:dyDescent="0.25">
      <c r="A739" s="4" t="str">
        <f t="shared" si="72"/>
        <v>2E1</v>
      </c>
      <c r="B739" s="2" t="s">
        <v>693</v>
      </c>
      <c r="C739" s="3"/>
      <c r="D739" s="3"/>
      <c r="E739" s="3"/>
      <c r="F739" s="27" t="str" cm="1">
        <f t="array" ref="F739">INDEX(Sources!A:A, 1 + BIN2DEC(LEFT($B739,5)))</f>
        <v>--</v>
      </c>
      <c r="G739" s="27" t="str" cm="1">
        <f t="array" ref="G739">INDEX(Dest1!A:A,1+BIN2DEC(MID($B739,6,5)))</f>
        <v>TMPA</v>
      </c>
      <c r="H739" s="27" t="str" cm="1">
        <f t="array" ref="H739">INDEX(Source2!A:A,1+BIN2DEC(MID($B739,11,4)))</f>
        <v>11</v>
      </c>
      <c r="I739" s="23" t="str" cm="1">
        <f t="array" ref="I739">INDEX('D2'!A:A,1+BIN2DEC(MID($B739,16,2)))</f>
        <v>TMPB</v>
      </c>
      <c r="J739" s="6">
        <f t="shared" si="73"/>
        <v>0</v>
      </c>
      <c r="K739" s="6">
        <f t="shared" si="69"/>
        <v>0</v>
      </c>
      <c r="L739" s="6">
        <f t="shared" si="70"/>
        <v>0</v>
      </c>
      <c r="M739" s="3" t="str" cm="1">
        <f t="array" ref="M739">INDEX(Types!A:A,1+BIN2DEC(MID($B739,20,2)))</f>
        <v>ALU</v>
      </c>
      <c r="N739" s="3" cm="1">
        <f t="array" ref="N739">IF(M739="ALU",INDEX(ALUOps!A:A,1+BIN2DEC(MID($B739,22,5))),"")</f>
        <v>26</v>
      </c>
      <c r="O739" s="3" cm="1">
        <f t="array" ref="O739">IF(M739="ALU",INDEX(TMP!A:A,1+BIN2DEC(MID($B739,27,2))),"")</f>
        <v>3</v>
      </c>
      <c r="P739" s="6">
        <f t="shared" si="71"/>
        <v>1</v>
      </c>
      <c r="Q739" t="str">
        <f t="shared" si="74"/>
        <v/>
      </c>
      <c r="R739" t="str">
        <f t="shared" si="75"/>
        <v/>
      </c>
      <c r="S739" t="str" cm="1">
        <f t="array" ref="S739">IF(M739="Control",INDEX(IC!A:A,1+BIN2DEC(MID($B739,21,4))),"")</f>
        <v/>
      </c>
      <c r="T739" t="str" cm="1">
        <f t="array" ref="T739">IF(M739="Control",INDEX(EC!A:A,1+BIN2DEC(MID($B739,25,3))),"")</f>
        <v/>
      </c>
      <c r="U739" t="str" cm="1">
        <f t="array" ref="U739">IF(M739="Control",INDEX(SR!A:A,1+BIN2DEC(MID($B739,28,2))),"")</f>
        <v/>
      </c>
    </row>
    <row r="740" spans="1:30" x14ac:dyDescent="0.25">
      <c r="A740" s="4" t="str">
        <f t="shared" si="72"/>
        <v>2E2</v>
      </c>
      <c r="B740" s="2" t="s">
        <v>694</v>
      </c>
      <c r="C740" s="3"/>
      <c r="D740" s="3"/>
      <c r="E740" s="3"/>
      <c r="F740" s="27" t="str" cm="1">
        <f t="array" ref="F740">INDEX(Sources!A:A, 1 + BIN2DEC(LEFT($B740,5)))</f>
        <v>SIGMA</v>
      </c>
      <c r="G740" s="27" t="str" cm="1">
        <f t="array" ref="G740">INDEX(Dest1!A:A,1+BIN2DEC(MID($B740,6,5)))</f>
        <v>--</v>
      </c>
      <c r="H740" s="27" t="str" cm="1">
        <f t="array" ref="H740">INDEX(Source2!A:A,1+BIN2DEC(MID($B740,11,4)))</f>
        <v>1</v>
      </c>
      <c r="I740" s="23" cm="1">
        <f t="array" ref="I740">INDEX('D2'!A:A,1+BIN2DEC(MID($B740,16,2)))</f>
        <v>0</v>
      </c>
      <c r="J740" s="6">
        <f t="shared" si="73"/>
        <v>0</v>
      </c>
      <c r="K740" s="6">
        <f t="shared" si="69"/>
        <v>0</v>
      </c>
      <c r="L740" s="6">
        <f t="shared" si="70"/>
        <v>1</v>
      </c>
      <c r="M740" s="3" t="str" cm="1">
        <f t="array" ref="M740">INDEX(Types!A:A,1+BIN2DEC(MID($B740,20,2)))</f>
        <v>Control</v>
      </c>
      <c r="N740" s="3" t="str" cm="1">
        <f t="array" ref="N740">IF(M740="ALU",INDEX(ALUOps!A:A,1+BIN2DEC(MID($B740,22,5))),"")</f>
        <v/>
      </c>
      <c r="O740" s="3" t="str" cm="1">
        <f t="array" ref="O740">IF(M740="ALU",INDEX(TMP!A:A,1+BIN2DEC(MID($B740,27,2))),"")</f>
        <v/>
      </c>
      <c r="P740" s="6" t="str">
        <f t="shared" si="71"/>
        <v/>
      </c>
      <c r="Q740" t="str">
        <f t="shared" si="74"/>
        <v/>
      </c>
      <c r="R740" t="str">
        <f t="shared" si="75"/>
        <v/>
      </c>
      <c r="S740" cm="1">
        <f t="array" ref="S740">IF(M740="Control",INDEX(IC!A:A,1+BIN2DEC(MID($B740,21,4))),"")</f>
        <v>0</v>
      </c>
      <c r="T740" cm="1">
        <f t="array" ref="T740">IF(M740="Control",INDEX(EC!A:A,1+BIN2DEC(MID($B740,25,3))),"")</f>
        <v>0</v>
      </c>
      <c r="U740" cm="1">
        <f t="array" ref="U740">IF(M740="Control",INDEX(SR!A:A,1+BIN2DEC(MID($B740,28,2))),"")</f>
        <v>0</v>
      </c>
    </row>
    <row r="741" spans="1:30" x14ac:dyDescent="0.25">
      <c r="A741" s="4" t="str">
        <f t="shared" si="72"/>
        <v>2E3</v>
      </c>
      <c r="B741" s="2" t="s">
        <v>207</v>
      </c>
      <c r="C741" s="3"/>
      <c r="D741" s="3"/>
      <c r="E741" s="3"/>
      <c r="F741" s="27" t="str" cm="1">
        <f t="array" ref="F741">INDEX(Sources!A:A, 1 + BIN2DEC(LEFT($B741,5)))</f>
        <v>SIGMA</v>
      </c>
      <c r="G741" s="27" t="str" cm="1">
        <f t="array" ref="G741">INDEX(Dest1!A:A,1+BIN2DEC(MID($B741,6,5)))</f>
        <v>UNK1</v>
      </c>
      <c r="H741" s="27" t="str" cm="1">
        <f t="array" ref="H741">INDEX(Source2!A:A,1+BIN2DEC(MID($B741,11,4)))</f>
        <v>--</v>
      </c>
      <c r="I741" s="23" cm="1">
        <f t="array" ref="I741">INDEX('D2'!A:A,1+BIN2DEC(MID($B741,16,2)))</f>
        <v>0</v>
      </c>
      <c r="J741" s="6">
        <f t="shared" si="73"/>
        <v>0</v>
      </c>
      <c r="K741" s="6">
        <f t="shared" si="69"/>
        <v>0</v>
      </c>
      <c r="L741" s="6">
        <f t="shared" si="70"/>
        <v>0</v>
      </c>
      <c r="M741" s="3" t="str" cm="1">
        <f t="array" ref="M741">INDEX(Types!A:A,1+BIN2DEC(MID($B741,20,2)))</f>
        <v>Control</v>
      </c>
      <c r="N741" s="3" t="str" cm="1">
        <f t="array" ref="N741">IF(M741="ALU",INDEX(ALUOps!A:A,1+BIN2DEC(MID($B741,22,5))),"")</f>
        <v/>
      </c>
      <c r="O741" s="3" t="str" cm="1">
        <f t="array" ref="O741">IF(M741="ALU",INDEX(TMP!A:A,1+BIN2DEC(MID($B741,27,2))),"")</f>
        <v/>
      </c>
      <c r="P741" s="6" t="str">
        <f t="shared" si="71"/>
        <v/>
      </c>
      <c r="Q741" t="str">
        <f t="shared" si="74"/>
        <v/>
      </c>
      <c r="R741" t="str">
        <f t="shared" si="75"/>
        <v/>
      </c>
      <c r="S741" cm="1">
        <f t="array" ref="S741">IF(M741="Control",INDEX(IC!A:A,1+BIN2DEC(MID($B741,21,4))),"")</f>
        <v>0</v>
      </c>
      <c r="T741" cm="1">
        <f t="array" ref="T741">IF(M741="Control",INDEX(EC!A:A,1+BIN2DEC(MID($B741,25,3))),"")</f>
        <v>0</v>
      </c>
      <c r="U741" cm="1">
        <f t="array" ref="U741">IF(M741="Control",INDEX(SR!A:A,1+BIN2DEC(MID($B741,28,2))),"")</f>
        <v>0</v>
      </c>
    </row>
    <row r="742" spans="1:30" x14ac:dyDescent="0.25">
      <c r="A742" s="4" t="str">
        <f t="shared" si="72"/>
        <v>2E4</v>
      </c>
      <c r="B742" s="2" t="s">
        <v>695</v>
      </c>
      <c r="C742" s="2" t="s">
        <v>691</v>
      </c>
      <c r="D742" s="2" t="s">
        <v>936</v>
      </c>
      <c r="E742" s="2" t="s">
        <v>488</v>
      </c>
      <c r="F742" s="27" t="str" cm="1">
        <f t="array" ref="F742">INDEX(Sources!A:A, 1 + BIN2DEC(LEFT($B742,5)))</f>
        <v>OUT</v>
      </c>
      <c r="G742" s="27" t="str" cm="1">
        <f t="array" ref="G742">INDEX(Dest1!A:A,1+BIN2DEC(MID($B742,6,5)))</f>
        <v>TMPA</v>
      </c>
      <c r="H742" s="27" t="str" cm="1">
        <f t="array" ref="H742">INDEX(Source2!A:A,1+BIN2DEC(MID($B742,11,4)))</f>
        <v>--</v>
      </c>
      <c r="I742" s="23" cm="1">
        <f t="array" ref="I742">INDEX('D2'!A:A,1+BIN2DEC(MID($B742,16,2)))</f>
        <v>1</v>
      </c>
      <c r="J742" s="6">
        <f t="shared" si="73"/>
        <v>1</v>
      </c>
      <c r="K742" s="6">
        <f t="shared" si="69"/>
        <v>0</v>
      </c>
      <c r="L742" s="6">
        <f t="shared" si="70"/>
        <v>0</v>
      </c>
      <c r="M742" s="3" t="str" cm="1">
        <f t="array" ref="M742">INDEX(Types!A:A,1+BIN2DEC(MID($B742,20,2)))</f>
        <v>ALU</v>
      </c>
      <c r="N742" s="3" cm="1">
        <f t="array" ref="N742">IF(M742="ALU",INDEX(ALUOps!A:A,1+BIN2DEC(MID($B742,22,5))),"")</f>
        <v>28</v>
      </c>
      <c r="O742" s="3" cm="1">
        <f t="array" ref="O742">IF(M742="ALU",INDEX(TMP!A:A,1+BIN2DEC(MID($B742,27,2))),"")</f>
        <v>1</v>
      </c>
      <c r="P742" s="6">
        <f t="shared" si="71"/>
        <v>1</v>
      </c>
      <c r="Q742" t="str">
        <f t="shared" si="74"/>
        <v/>
      </c>
      <c r="R742" t="str">
        <f t="shared" si="75"/>
        <v/>
      </c>
      <c r="S742" t="str" cm="1">
        <f t="array" ref="S742">IF(M742="Control",INDEX(IC!A:A,1+BIN2DEC(MID($B742,21,4))),"")</f>
        <v/>
      </c>
      <c r="T742" t="str" cm="1">
        <f t="array" ref="T742">IF(M742="Control",INDEX(EC!A:A,1+BIN2DEC(MID($B742,25,3))),"")</f>
        <v/>
      </c>
      <c r="U742" t="str" cm="1">
        <f t="array" ref="U742">IF(M742="Control",INDEX(SR!A:A,1+BIN2DEC(MID($B742,28,2))),"")</f>
        <v/>
      </c>
      <c r="X742" t="s">
        <v>1112</v>
      </c>
      <c r="AD742" s="1" t="s">
        <v>692</v>
      </c>
    </row>
    <row r="743" spans="1:30" x14ac:dyDescent="0.25">
      <c r="A743" s="4" t="str">
        <f t="shared" si="72"/>
        <v>2E5</v>
      </c>
      <c r="B743" s="2" t="s">
        <v>679</v>
      </c>
      <c r="C743" s="3"/>
      <c r="D743" s="3"/>
      <c r="E743" s="3"/>
      <c r="F743" s="27" t="str" cm="1">
        <f t="array" ref="F743">INDEX(Sources!A:A, 1 + BIN2DEC(LEFT($B743,5)))</f>
        <v>SIGMA</v>
      </c>
      <c r="G743" s="27" t="str" cm="1">
        <f t="array" ref="G743">INDEX(Dest1!A:A,1+BIN2DEC(MID($B743,6,5)))</f>
        <v>TMPA</v>
      </c>
      <c r="H743" s="27" t="str" cm="1">
        <f t="array" ref="H743">INDEX(Source2!A:A,1+BIN2DEC(MID($B743,11,4)))</f>
        <v>--</v>
      </c>
      <c r="I743" s="23" cm="1">
        <f t="array" ref="I743">INDEX('D2'!A:A,1+BIN2DEC(MID($B743,16,2)))</f>
        <v>0</v>
      </c>
      <c r="J743" s="6">
        <f t="shared" si="73"/>
        <v>0</v>
      </c>
      <c r="K743" s="6">
        <f t="shared" si="69"/>
        <v>1</v>
      </c>
      <c r="L743" s="6">
        <f t="shared" si="70"/>
        <v>0</v>
      </c>
      <c r="M743" s="3" t="str" cm="1">
        <f t="array" ref="M743">INDEX(Types!A:A,1+BIN2DEC(MID($B743,20,2)))</f>
        <v>ALU</v>
      </c>
      <c r="N743" s="3" cm="1">
        <f t="array" ref="N743">IF(M743="ALU",INDEX(ALUOps!A:A,1+BIN2DEC(MID($B743,22,5))),"")</f>
        <v>11</v>
      </c>
      <c r="O743" s="3" cm="1">
        <f t="array" ref="O743">IF(M743="ALU",INDEX(TMP!A:A,1+BIN2DEC(MID($B743,27,2))),"")</f>
        <v>2</v>
      </c>
      <c r="P743" s="6">
        <f t="shared" si="71"/>
        <v>1</v>
      </c>
      <c r="Q743" t="str">
        <f t="shared" si="74"/>
        <v/>
      </c>
      <c r="R743" t="str">
        <f t="shared" si="75"/>
        <v/>
      </c>
      <c r="S743" t="str" cm="1">
        <f t="array" ref="S743">IF(M743="Control",INDEX(IC!A:A,1+BIN2DEC(MID($B743,21,4))),"")</f>
        <v/>
      </c>
      <c r="T743" t="str" cm="1">
        <f t="array" ref="T743">IF(M743="Control",INDEX(EC!A:A,1+BIN2DEC(MID($B743,25,3))),"")</f>
        <v/>
      </c>
      <c r="U743" t="str" cm="1">
        <f t="array" ref="U743">IF(M743="Control",INDEX(SR!A:A,1+BIN2DEC(MID($B743,28,2))),"")</f>
        <v/>
      </c>
    </row>
    <row r="744" spans="1:30" x14ac:dyDescent="0.25">
      <c r="A744" s="4" t="str">
        <f t="shared" si="72"/>
        <v>2E6</v>
      </c>
      <c r="B744" s="2" t="s">
        <v>42</v>
      </c>
      <c r="C744" s="3"/>
      <c r="D744" s="3"/>
      <c r="E744" s="3"/>
      <c r="F744" s="27" t="str" cm="1">
        <f t="array" ref="F744">INDEX(Sources!A:A, 1 + BIN2DEC(LEFT($B744,5)))</f>
        <v>UNK10</v>
      </c>
      <c r="G744" s="27" t="str" cm="1">
        <f t="array" ref="G744">INDEX(Dest1!A:A,1+BIN2DEC(MID($B744,6,5)))</f>
        <v>TMPB</v>
      </c>
      <c r="H744" s="27" t="str" cm="1">
        <f t="array" ref="H744">INDEX(Source2!A:A,1+BIN2DEC(MID($B744,11,4)))</f>
        <v>--</v>
      </c>
      <c r="I744" s="23" cm="1">
        <f t="array" ref="I744">INDEX('D2'!A:A,1+BIN2DEC(MID($B744,16,2)))</f>
        <v>0</v>
      </c>
      <c r="J744" s="6">
        <f t="shared" si="73"/>
        <v>0</v>
      </c>
      <c r="K744" s="6">
        <f t="shared" si="69"/>
        <v>0</v>
      </c>
      <c r="L744" s="6">
        <f t="shared" si="70"/>
        <v>0</v>
      </c>
      <c r="M744" s="3" t="str" cm="1">
        <f t="array" ref="M744">INDEX(Types!A:A,1+BIN2DEC(MID($B744,20,2)))</f>
        <v>ALU</v>
      </c>
      <c r="N744" s="3" cm="1">
        <f t="array" ref="N744">IF(M744="ALU",INDEX(ALUOps!A:A,1+BIN2DEC(MID($B744,22,5))),"")</f>
        <v>26</v>
      </c>
      <c r="O744" s="3" cm="1">
        <f t="array" ref="O744">IF(M744="ALU",INDEX(TMP!A:A,1+BIN2DEC(MID($B744,27,2))),"")</f>
        <v>3</v>
      </c>
      <c r="P744" s="6">
        <f t="shared" si="71"/>
        <v>1</v>
      </c>
      <c r="Q744" t="str">
        <f t="shared" si="74"/>
        <v/>
      </c>
      <c r="R744" t="str">
        <f t="shared" si="75"/>
        <v/>
      </c>
      <c r="S744" t="str" cm="1">
        <f t="array" ref="S744">IF(M744="Control",INDEX(IC!A:A,1+BIN2DEC(MID($B744,21,4))),"")</f>
        <v/>
      </c>
      <c r="T744" t="str" cm="1">
        <f t="array" ref="T744">IF(M744="Control",INDEX(EC!A:A,1+BIN2DEC(MID($B744,25,3))),"")</f>
        <v/>
      </c>
      <c r="U744" t="str" cm="1">
        <f t="array" ref="U744">IF(M744="Control",INDEX(SR!A:A,1+BIN2DEC(MID($B744,28,2))),"")</f>
        <v/>
      </c>
    </row>
    <row r="745" spans="1:30" x14ac:dyDescent="0.25">
      <c r="A745" s="4" t="str">
        <f t="shared" si="72"/>
        <v>2E7</v>
      </c>
      <c r="B745" s="2" t="s">
        <v>680</v>
      </c>
      <c r="C745" s="3"/>
      <c r="D745" s="3"/>
      <c r="E745" s="3"/>
      <c r="F745" s="27" t="str" cm="1">
        <f t="array" ref="F745">INDEX(Sources!A:A, 1 + BIN2DEC(LEFT($B745,5)))</f>
        <v>--</v>
      </c>
      <c r="G745" s="27" t="str" cm="1">
        <f t="array" ref="G745">INDEX(Dest1!A:A,1+BIN2DEC(MID($B745,6,5)))</f>
        <v>UNK26</v>
      </c>
      <c r="H745" s="27" t="str" cm="1">
        <f t="array" ref="H745">INDEX(Source2!A:A,1+BIN2DEC(MID($B745,11,4)))</f>
        <v>11</v>
      </c>
      <c r="I745" s="23" cm="1">
        <f t="array" ref="I745">INDEX('D2'!A:A,1+BIN2DEC(MID($B745,16,2)))</f>
        <v>0</v>
      </c>
      <c r="J745" s="6">
        <f t="shared" si="73"/>
        <v>0</v>
      </c>
      <c r="K745" s="6">
        <f t="shared" si="69"/>
        <v>1</v>
      </c>
      <c r="L745" s="6">
        <f t="shared" si="70"/>
        <v>0</v>
      </c>
      <c r="M745" s="3" t="str" cm="1">
        <f t="array" ref="M745">INDEX(Types!A:A,1+BIN2DEC(MID($B745,20,2)))</f>
        <v>Control</v>
      </c>
      <c r="N745" s="3" t="str" cm="1">
        <f t="array" ref="N745">IF(M745="ALU",INDEX(ALUOps!A:A,1+BIN2DEC(MID($B745,22,5))),"")</f>
        <v/>
      </c>
      <c r="O745" s="3" t="str" cm="1">
        <f t="array" ref="O745">IF(M745="ALU",INDEX(TMP!A:A,1+BIN2DEC(MID($B745,27,2))),"")</f>
        <v/>
      </c>
      <c r="P745" s="6" t="str">
        <f t="shared" si="71"/>
        <v/>
      </c>
      <c r="Q745" t="str">
        <f t="shared" si="74"/>
        <v/>
      </c>
      <c r="R745" t="str">
        <f t="shared" si="75"/>
        <v/>
      </c>
      <c r="S745" cm="1">
        <f t="array" ref="S745">IF(M745="Control",INDEX(IC!A:A,1+BIN2DEC(MID($B745,21,4))),"")</f>
        <v>0</v>
      </c>
      <c r="T745" cm="1">
        <f t="array" ref="T745">IF(M745="Control",INDEX(EC!A:A,1+BIN2DEC(MID($B745,25,3))),"")</f>
        <v>5</v>
      </c>
      <c r="U745" cm="1">
        <f t="array" ref="U745">IF(M745="Control",INDEX(SR!A:A,1+BIN2DEC(MID($B745,28,2))),"")</f>
        <v>3</v>
      </c>
    </row>
    <row r="746" spans="1:30" x14ac:dyDescent="0.25">
      <c r="A746" s="4" t="str">
        <f t="shared" si="72"/>
        <v>2E8</v>
      </c>
      <c r="B746" s="2" t="s">
        <v>695</v>
      </c>
      <c r="C746" s="2" t="s">
        <v>696</v>
      </c>
      <c r="D746" s="2" t="s">
        <v>936</v>
      </c>
      <c r="E746" s="2" t="s">
        <v>488</v>
      </c>
      <c r="F746" s="27" t="str" cm="1">
        <f t="array" ref="F746">INDEX(Sources!A:A, 1 + BIN2DEC(LEFT($B746,5)))</f>
        <v>OUT</v>
      </c>
      <c r="G746" s="27" t="str" cm="1">
        <f t="array" ref="G746">INDEX(Dest1!A:A,1+BIN2DEC(MID($B746,6,5)))</f>
        <v>TMPA</v>
      </c>
      <c r="H746" s="27" t="str" cm="1">
        <f t="array" ref="H746">INDEX(Source2!A:A,1+BIN2DEC(MID($B746,11,4)))</f>
        <v>--</v>
      </c>
      <c r="I746" s="23" cm="1">
        <f t="array" ref="I746">INDEX('D2'!A:A,1+BIN2DEC(MID($B746,16,2)))</f>
        <v>1</v>
      </c>
      <c r="J746" s="6">
        <f t="shared" si="73"/>
        <v>1</v>
      </c>
      <c r="K746" s="6">
        <f t="shared" si="69"/>
        <v>0</v>
      </c>
      <c r="L746" s="6">
        <f t="shared" si="70"/>
        <v>0</v>
      </c>
      <c r="M746" s="3" t="str" cm="1">
        <f t="array" ref="M746">INDEX(Types!A:A,1+BIN2DEC(MID($B746,20,2)))</f>
        <v>ALU</v>
      </c>
      <c r="N746" s="3" cm="1">
        <f t="array" ref="N746">IF(M746="ALU",INDEX(ALUOps!A:A,1+BIN2DEC(MID($B746,22,5))),"")</f>
        <v>28</v>
      </c>
      <c r="O746" s="3" cm="1">
        <f t="array" ref="O746">IF(M746="ALU",INDEX(TMP!A:A,1+BIN2DEC(MID($B746,27,2))),"")</f>
        <v>1</v>
      </c>
      <c r="P746" s="6">
        <f t="shared" si="71"/>
        <v>1</v>
      </c>
      <c r="Q746" t="str">
        <f t="shared" si="74"/>
        <v/>
      </c>
      <c r="R746" t="str">
        <f t="shared" si="75"/>
        <v/>
      </c>
      <c r="S746" t="str" cm="1">
        <f t="array" ref="S746">IF(M746="Control",INDEX(IC!A:A,1+BIN2DEC(MID($B746,21,4))),"")</f>
        <v/>
      </c>
      <c r="T746" t="str" cm="1">
        <f t="array" ref="T746">IF(M746="Control",INDEX(EC!A:A,1+BIN2DEC(MID($B746,25,3))),"")</f>
        <v/>
      </c>
      <c r="U746" t="str" cm="1">
        <f t="array" ref="U746">IF(M746="Control",INDEX(SR!A:A,1+BIN2DEC(MID($B746,28,2))),"")</f>
        <v/>
      </c>
      <c r="X746" t="s">
        <v>1113</v>
      </c>
      <c r="AD746" s="1" t="s">
        <v>697</v>
      </c>
    </row>
    <row r="747" spans="1:30" x14ac:dyDescent="0.25">
      <c r="A747" s="4" t="str">
        <f t="shared" si="72"/>
        <v>2E9</v>
      </c>
      <c r="B747" s="2" t="s">
        <v>679</v>
      </c>
      <c r="C747" s="3"/>
      <c r="D747" s="3"/>
      <c r="E747" s="3"/>
      <c r="F747" s="27" t="str" cm="1">
        <f t="array" ref="F747">INDEX(Sources!A:A, 1 + BIN2DEC(LEFT($B747,5)))</f>
        <v>SIGMA</v>
      </c>
      <c r="G747" s="27" t="str" cm="1">
        <f t="array" ref="G747">INDEX(Dest1!A:A,1+BIN2DEC(MID($B747,6,5)))</f>
        <v>TMPA</v>
      </c>
      <c r="H747" s="27" t="str" cm="1">
        <f t="array" ref="H747">INDEX(Source2!A:A,1+BIN2DEC(MID($B747,11,4)))</f>
        <v>--</v>
      </c>
      <c r="I747" s="23" cm="1">
        <f t="array" ref="I747">INDEX('D2'!A:A,1+BIN2DEC(MID($B747,16,2)))</f>
        <v>0</v>
      </c>
      <c r="J747" s="6">
        <f t="shared" si="73"/>
        <v>0</v>
      </c>
      <c r="K747" s="6">
        <f t="shared" si="69"/>
        <v>1</v>
      </c>
      <c r="L747" s="6">
        <f t="shared" si="70"/>
        <v>0</v>
      </c>
      <c r="M747" s="3" t="str" cm="1">
        <f t="array" ref="M747">INDEX(Types!A:A,1+BIN2DEC(MID($B747,20,2)))</f>
        <v>ALU</v>
      </c>
      <c r="N747" s="3" cm="1">
        <f t="array" ref="N747">IF(M747="ALU",INDEX(ALUOps!A:A,1+BIN2DEC(MID($B747,22,5))),"")</f>
        <v>11</v>
      </c>
      <c r="O747" s="3" cm="1">
        <f t="array" ref="O747">IF(M747="ALU",INDEX(TMP!A:A,1+BIN2DEC(MID($B747,27,2))),"")</f>
        <v>2</v>
      </c>
      <c r="P747" s="6">
        <f t="shared" si="71"/>
        <v>1</v>
      </c>
      <c r="Q747" t="str">
        <f t="shared" si="74"/>
        <v/>
      </c>
      <c r="R747" t="str">
        <f t="shared" si="75"/>
        <v/>
      </c>
      <c r="S747" t="str" cm="1">
        <f t="array" ref="S747">IF(M747="Control",INDEX(IC!A:A,1+BIN2DEC(MID($B747,21,4))),"")</f>
        <v/>
      </c>
      <c r="T747" t="str" cm="1">
        <f t="array" ref="T747">IF(M747="Control",INDEX(EC!A:A,1+BIN2DEC(MID($B747,25,3))),"")</f>
        <v/>
      </c>
      <c r="U747" t="str" cm="1">
        <f t="array" ref="U747">IF(M747="Control",INDEX(SR!A:A,1+BIN2DEC(MID($B747,28,2))),"")</f>
        <v/>
      </c>
    </row>
    <row r="748" spans="1:30" x14ac:dyDescent="0.25">
      <c r="A748" s="4" t="str">
        <f t="shared" si="72"/>
        <v>2EA</v>
      </c>
      <c r="B748" s="2" t="s">
        <v>42</v>
      </c>
      <c r="C748" s="3"/>
      <c r="D748" s="3"/>
      <c r="E748" s="3"/>
      <c r="F748" s="27" t="str" cm="1">
        <f t="array" ref="F748">INDEX(Sources!A:A, 1 + BIN2DEC(LEFT($B748,5)))</f>
        <v>UNK10</v>
      </c>
      <c r="G748" s="27" t="str" cm="1">
        <f t="array" ref="G748">INDEX(Dest1!A:A,1+BIN2DEC(MID($B748,6,5)))</f>
        <v>TMPB</v>
      </c>
      <c r="H748" s="27" t="str" cm="1">
        <f t="array" ref="H748">INDEX(Source2!A:A,1+BIN2DEC(MID($B748,11,4)))</f>
        <v>--</v>
      </c>
      <c r="I748" s="23" cm="1">
        <f t="array" ref="I748">INDEX('D2'!A:A,1+BIN2DEC(MID($B748,16,2)))</f>
        <v>0</v>
      </c>
      <c r="J748" s="6">
        <f t="shared" si="73"/>
        <v>0</v>
      </c>
      <c r="K748" s="6">
        <f t="shared" si="69"/>
        <v>0</v>
      </c>
      <c r="L748" s="6">
        <f t="shared" si="70"/>
        <v>0</v>
      </c>
      <c r="M748" s="3" t="str" cm="1">
        <f t="array" ref="M748">INDEX(Types!A:A,1+BIN2DEC(MID($B748,20,2)))</f>
        <v>ALU</v>
      </c>
      <c r="N748" s="3" cm="1">
        <f t="array" ref="N748">IF(M748="ALU",INDEX(ALUOps!A:A,1+BIN2DEC(MID($B748,22,5))),"")</f>
        <v>26</v>
      </c>
      <c r="O748" s="3" cm="1">
        <f t="array" ref="O748">IF(M748="ALU",INDEX(TMP!A:A,1+BIN2DEC(MID($B748,27,2))),"")</f>
        <v>3</v>
      </c>
      <c r="P748" s="6">
        <f t="shared" si="71"/>
        <v>1</v>
      </c>
      <c r="Q748" t="str">
        <f t="shared" si="74"/>
        <v/>
      </c>
      <c r="R748" t="str">
        <f t="shared" si="75"/>
        <v/>
      </c>
      <c r="S748" t="str" cm="1">
        <f t="array" ref="S748">IF(M748="Control",INDEX(IC!A:A,1+BIN2DEC(MID($B748,21,4))),"")</f>
        <v/>
      </c>
      <c r="T748" t="str" cm="1">
        <f t="array" ref="T748">IF(M748="Control",INDEX(EC!A:A,1+BIN2DEC(MID($B748,25,3))),"")</f>
        <v/>
      </c>
      <c r="U748" t="str" cm="1">
        <f t="array" ref="U748">IF(M748="Control",INDEX(SR!A:A,1+BIN2DEC(MID($B748,28,2))),"")</f>
        <v/>
      </c>
    </row>
    <row r="749" spans="1:30" x14ac:dyDescent="0.25">
      <c r="A749" s="4" t="str">
        <f t="shared" si="72"/>
        <v>2EB</v>
      </c>
      <c r="B749" s="2" t="s">
        <v>699</v>
      </c>
      <c r="C749" s="3"/>
      <c r="D749" s="3"/>
      <c r="E749" s="3"/>
      <c r="F749" s="27" t="str" cm="1">
        <f t="array" ref="F749">INDEX(Sources!A:A, 1 + BIN2DEC(LEFT($B749,5)))</f>
        <v>--</v>
      </c>
      <c r="G749" s="27" t="str" cm="1">
        <f t="array" ref="G749">INDEX(Dest1!A:A,1+BIN2DEC(MID($B749,6,5)))</f>
        <v>UNK26</v>
      </c>
      <c r="H749" s="27" t="str" cm="1">
        <f t="array" ref="H749">INDEX(Source2!A:A,1+BIN2DEC(MID($B749,11,4)))</f>
        <v>11</v>
      </c>
      <c r="I749" s="23" cm="1">
        <f t="array" ref="I749">INDEX('D2'!A:A,1+BIN2DEC(MID($B749,16,2)))</f>
        <v>0</v>
      </c>
      <c r="J749" s="6">
        <f t="shared" si="73"/>
        <v>0</v>
      </c>
      <c r="K749" s="6">
        <f t="shared" si="69"/>
        <v>1</v>
      </c>
      <c r="L749" s="6">
        <f t="shared" si="70"/>
        <v>0</v>
      </c>
      <c r="M749" s="3" t="str" cm="1">
        <f t="array" ref="M749">INDEX(Types!A:A,1+BIN2DEC(MID($B749,20,2)))</f>
        <v>Control</v>
      </c>
      <c r="N749" s="3" t="str" cm="1">
        <f t="array" ref="N749">IF(M749="ALU",INDEX(ALUOps!A:A,1+BIN2DEC(MID($B749,22,5))),"")</f>
        <v/>
      </c>
      <c r="O749" s="3" t="str" cm="1">
        <f t="array" ref="O749">IF(M749="ALU",INDEX(TMP!A:A,1+BIN2DEC(MID($B749,27,2))),"")</f>
        <v/>
      </c>
      <c r="P749" s="6" t="str">
        <f t="shared" si="71"/>
        <v/>
      </c>
      <c r="Q749" t="str">
        <f t="shared" si="74"/>
        <v/>
      </c>
      <c r="R749" t="str">
        <f t="shared" si="75"/>
        <v/>
      </c>
      <c r="S749" cm="1">
        <f t="array" ref="S749">IF(M749="Control",INDEX(IC!A:A,1+BIN2DEC(MID($B749,21,4))),"")</f>
        <v>0</v>
      </c>
      <c r="T749" cm="1">
        <f t="array" ref="T749">IF(M749="Control",INDEX(EC!A:A,1+BIN2DEC(MID($B749,25,3))),"")</f>
        <v>0</v>
      </c>
      <c r="U749" cm="1">
        <f t="array" ref="U749">IF(M749="Control",INDEX(SR!A:A,1+BIN2DEC(MID($B749,28,2))),"")</f>
        <v>0</v>
      </c>
    </row>
    <row r="750" spans="1:30" x14ac:dyDescent="0.25">
      <c r="A750" s="4" t="str">
        <f t="shared" si="72"/>
        <v>2EC</v>
      </c>
      <c r="B750" s="2" t="s">
        <v>700</v>
      </c>
      <c r="C750" s="2" t="s">
        <v>698</v>
      </c>
      <c r="D750" s="2" t="s">
        <v>936</v>
      </c>
      <c r="E750" s="2" t="s">
        <v>462</v>
      </c>
      <c r="F750" s="27" t="str" cm="1">
        <f t="array" ref="F750">INDEX(Sources!A:A, 1 + BIN2DEC(LEFT($B750,5)))</f>
        <v>REG</v>
      </c>
      <c r="G750" s="27" t="str" cm="1">
        <f t="array" ref="G750">INDEX(Dest1!A:A,1+BIN2DEC(MID($B750,6,5)))</f>
        <v>LC</v>
      </c>
      <c r="H750" s="27" t="str" cm="1">
        <f t="array" ref="H750">INDEX(Source2!A:A,1+BIN2DEC(MID($B750,11,4)))</f>
        <v>14</v>
      </c>
      <c r="I750" s="23" t="str" cm="1">
        <f t="array" ref="I750">INDEX('D2'!A:A,1+BIN2DEC(MID($B750,16,2)))</f>
        <v>TMPB</v>
      </c>
      <c r="J750" s="6">
        <f t="shared" si="73"/>
        <v>0</v>
      </c>
      <c r="K750" s="6">
        <f t="shared" si="69"/>
        <v>0</v>
      </c>
      <c r="L750" s="6">
        <f t="shared" si="70"/>
        <v>0</v>
      </c>
      <c r="M750" s="3" t="str" cm="1">
        <f t="array" ref="M750">INDEX(Types!A:A,1+BIN2DEC(MID($B750,20,2)))</f>
        <v>Control</v>
      </c>
      <c r="N750" s="3" t="str" cm="1">
        <f t="array" ref="N750">IF(M750="ALU",INDEX(ALUOps!A:A,1+BIN2DEC(MID($B750,22,5))),"")</f>
        <v/>
      </c>
      <c r="O750" s="3" t="str" cm="1">
        <f t="array" ref="O750">IF(M750="ALU",INDEX(TMP!A:A,1+BIN2DEC(MID($B750,27,2))),"")</f>
        <v/>
      </c>
      <c r="P750" s="6" t="str">
        <f t="shared" si="71"/>
        <v/>
      </c>
      <c r="Q750" t="str">
        <f t="shared" si="74"/>
        <v/>
      </c>
      <c r="R750" t="str">
        <f t="shared" si="75"/>
        <v/>
      </c>
      <c r="S750" cm="1">
        <f t="array" ref="S750">IF(M750="Control",INDEX(IC!A:A,1+BIN2DEC(MID($B750,21,4))),"")</f>
        <v>0</v>
      </c>
      <c r="T750" cm="1">
        <f t="array" ref="T750">IF(M750="Control",INDEX(EC!A:A,1+BIN2DEC(MID($B750,25,3))),"")</f>
        <v>0</v>
      </c>
      <c r="U750" cm="1">
        <f t="array" ref="U750">IF(M750="Control",INDEX(SR!A:A,1+BIN2DEC(MID($B750,28,2))),"")</f>
        <v>0</v>
      </c>
      <c r="X750" t="s">
        <v>1114</v>
      </c>
      <c r="AD750" s="1" t="s">
        <v>504</v>
      </c>
    </row>
    <row r="751" spans="1:30" x14ac:dyDescent="0.25">
      <c r="A751" s="4" t="str">
        <f t="shared" si="72"/>
        <v>2ED</v>
      </c>
      <c r="B751" s="2" t="s">
        <v>703</v>
      </c>
      <c r="C751" s="3"/>
      <c r="D751" s="3"/>
      <c r="E751" s="3"/>
      <c r="F751" s="27" t="str" cm="1">
        <f t="array" ref="F751">INDEX(Sources!A:A, 1 + BIN2DEC(LEFT($B751,5)))</f>
        <v>OPR</v>
      </c>
      <c r="G751" s="27" t="str" cm="1">
        <f t="array" ref="G751">INDEX(Dest1!A:A,1+BIN2DEC(MID($B751,6,5)))</f>
        <v>UNK10</v>
      </c>
      <c r="H751" s="27" t="str" cm="1">
        <f t="array" ref="H751">INDEX(Source2!A:A,1+BIN2DEC(MID($B751,11,4)))</f>
        <v>--</v>
      </c>
      <c r="I751" s="23" cm="1">
        <f t="array" ref="I751">INDEX('D2'!A:A,1+BIN2DEC(MID($B751,16,2)))</f>
        <v>0</v>
      </c>
      <c r="J751" s="6">
        <f t="shared" si="73"/>
        <v>0</v>
      </c>
      <c r="K751" s="6">
        <f t="shared" si="69"/>
        <v>0</v>
      </c>
      <c r="L751" s="6">
        <f t="shared" si="70"/>
        <v>0</v>
      </c>
      <c r="M751" s="3" t="str" cm="1">
        <f t="array" ref="M751">INDEX(Types!A:A,1+BIN2DEC(MID($B751,20,2)))</f>
        <v>Control</v>
      </c>
      <c r="N751" s="3" t="str" cm="1">
        <f t="array" ref="N751">IF(M751="ALU",INDEX(ALUOps!A:A,1+BIN2DEC(MID($B751,22,5))),"")</f>
        <v/>
      </c>
      <c r="O751" s="3" t="str" cm="1">
        <f t="array" ref="O751">IF(M751="ALU",INDEX(TMP!A:A,1+BIN2DEC(MID($B751,27,2))),"")</f>
        <v/>
      </c>
      <c r="P751" s="6" t="str">
        <f t="shared" si="71"/>
        <v/>
      </c>
      <c r="Q751" t="str">
        <f t="shared" si="74"/>
        <v/>
      </c>
      <c r="R751" t="str">
        <f t="shared" si="75"/>
        <v/>
      </c>
      <c r="S751" cm="1">
        <f t="array" ref="S751">IF(M751="Control",INDEX(IC!A:A,1+BIN2DEC(MID($B751,21,4))),"")</f>
        <v>0</v>
      </c>
      <c r="T751" cm="1">
        <f t="array" ref="T751">IF(M751="Control",INDEX(EC!A:A,1+BIN2DEC(MID($B751,25,3))),"")</f>
        <v>0</v>
      </c>
      <c r="U751" cm="1">
        <f t="array" ref="U751">IF(M751="Control",INDEX(SR!A:A,1+BIN2DEC(MID($B751,28,2))),"")</f>
        <v>0</v>
      </c>
    </row>
    <row r="752" spans="1:30" x14ac:dyDescent="0.25">
      <c r="A752" s="4" t="str">
        <f t="shared" si="72"/>
        <v>2EE</v>
      </c>
      <c r="B752" s="2" t="s">
        <v>704</v>
      </c>
      <c r="C752" s="3"/>
      <c r="D752" s="3"/>
      <c r="E752" s="3"/>
      <c r="F752" s="27" t="str" cm="1">
        <f t="array" ref="F752">INDEX(Sources!A:A, 1 + BIN2DEC(LEFT($B752,5)))</f>
        <v>AH</v>
      </c>
      <c r="G752" s="27" t="str" cm="1">
        <f t="array" ref="G752">INDEX(Dest1!A:A,1+BIN2DEC(MID($B752,6,5)))</f>
        <v>UNK8</v>
      </c>
      <c r="H752" s="27" t="str" cm="1">
        <f t="array" ref="H752">INDEX(Source2!A:A,1+BIN2DEC(MID($B752,11,4)))</f>
        <v>--</v>
      </c>
      <c r="I752" s="23" cm="1">
        <f t="array" ref="I752">INDEX('D2'!A:A,1+BIN2DEC(MID($B752,16,2)))</f>
        <v>0</v>
      </c>
      <c r="J752" s="6">
        <f t="shared" si="73"/>
        <v>0</v>
      </c>
      <c r="K752" s="6">
        <f t="shared" si="69"/>
        <v>0</v>
      </c>
      <c r="L752" s="6">
        <f t="shared" si="70"/>
        <v>0</v>
      </c>
      <c r="M752" s="3" t="str" cm="1">
        <f t="array" ref="M752">INDEX(Types!A:A,1+BIN2DEC(MID($B752,20,2)))</f>
        <v>ALU</v>
      </c>
      <c r="N752" s="3" cm="1">
        <f t="array" ref="N752">IF(M752="ALU",INDEX(ALUOps!A:A,1+BIN2DEC(MID($B752,22,5))),"")</f>
        <v>0</v>
      </c>
      <c r="O752" s="3" cm="1">
        <f t="array" ref="O752">IF(M752="ALU",INDEX(TMP!A:A,1+BIN2DEC(MID($B752,27,2))),"")</f>
        <v>2</v>
      </c>
      <c r="P752" s="6">
        <f t="shared" si="71"/>
        <v>1</v>
      </c>
      <c r="Q752" t="str">
        <f t="shared" si="74"/>
        <v/>
      </c>
      <c r="R752" t="str">
        <f t="shared" si="75"/>
        <v/>
      </c>
      <c r="S752" t="str" cm="1">
        <f t="array" ref="S752">IF(M752="Control",INDEX(IC!A:A,1+BIN2DEC(MID($B752,21,4))),"")</f>
        <v/>
      </c>
      <c r="T752" t="str" cm="1">
        <f t="array" ref="T752">IF(M752="Control",INDEX(EC!A:A,1+BIN2DEC(MID($B752,25,3))),"")</f>
        <v/>
      </c>
      <c r="U752" t="str" cm="1">
        <f t="array" ref="U752">IF(M752="Control",INDEX(SR!A:A,1+BIN2DEC(MID($B752,28,2))),"")</f>
        <v/>
      </c>
    </row>
    <row r="753" spans="1:30" x14ac:dyDescent="0.25">
      <c r="A753" s="4" t="str">
        <f t="shared" si="72"/>
        <v>2EF</v>
      </c>
      <c r="B753" s="2" t="s">
        <v>705</v>
      </c>
      <c r="C753" s="3"/>
      <c r="D753" s="3"/>
      <c r="E753" s="3"/>
      <c r="F753" s="27" t="str" cm="1">
        <f t="array" ref="F753">INDEX(Sources!A:A, 1 + BIN2DEC(LEFT($B753,5)))</f>
        <v>SIGMA</v>
      </c>
      <c r="G753" s="27" t="str" cm="1">
        <f t="array" ref="G753">INDEX(Dest1!A:A,1+BIN2DEC(MID($B753,6,5)))</f>
        <v>TMPA</v>
      </c>
      <c r="H753" s="27" t="str" cm="1">
        <f t="array" ref="H753">INDEX(Source2!A:A,1+BIN2DEC(MID($B753,11,4)))</f>
        <v>--</v>
      </c>
      <c r="I753" s="23" cm="1">
        <f t="array" ref="I753">INDEX('D2'!A:A,1+BIN2DEC(MID($B753,16,2)))</f>
        <v>0</v>
      </c>
      <c r="J753" s="6">
        <f t="shared" si="73"/>
        <v>0</v>
      </c>
      <c r="K753" s="6">
        <f t="shared" si="69"/>
        <v>0</v>
      </c>
      <c r="L753" s="6">
        <f t="shared" si="70"/>
        <v>0</v>
      </c>
      <c r="M753" s="3" t="str" cm="1">
        <f t="array" ref="M753">INDEX(Types!A:A,1+BIN2DEC(MID($B753,20,2)))</f>
        <v>ALU</v>
      </c>
      <c r="N753" s="3" cm="1">
        <f t="array" ref="N753">IF(M753="ALU",INDEX(ALUOps!A:A,1+BIN2DEC(MID($B753,22,5))),"")</f>
        <v>15</v>
      </c>
      <c r="O753" s="3" cm="1">
        <f t="array" ref="O753">IF(M753="ALU",INDEX(TMP!A:A,1+BIN2DEC(MID($B753,27,2))),"")</f>
        <v>2</v>
      </c>
      <c r="P753" s="6">
        <f t="shared" si="71"/>
        <v>0</v>
      </c>
      <c r="Q753" t="str">
        <f t="shared" si="74"/>
        <v/>
      </c>
      <c r="R753" t="str">
        <f t="shared" si="75"/>
        <v/>
      </c>
      <c r="S753" t="str" cm="1">
        <f t="array" ref="S753">IF(M753="Control",INDEX(IC!A:A,1+BIN2DEC(MID($B753,21,4))),"")</f>
        <v/>
      </c>
      <c r="T753" t="str" cm="1">
        <f t="array" ref="T753">IF(M753="Control",INDEX(EC!A:A,1+BIN2DEC(MID($B753,25,3))),"")</f>
        <v/>
      </c>
      <c r="U753" t="str" cm="1">
        <f t="array" ref="U753">IF(M753="Control",INDEX(SR!A:A,1+BIN2DEC(MID($B753,28,2))),"")</f>
        <v/>
      </c>
    </row>
    <row r="754" spans="1:30" x14ac:dyDescent="0.25">
      <c r="A754" s="4" t="str">
        <f t="shared" si="72"/>
        <v>2F0</v>
      </c>
      <c r="B754" s="2" t="s">
        <v>706</v>
      </c>
      <c r="C754" s="2" t="s">
        <v>701</v>
      </c>
      <c r="D754" s="2" t="s">
        <v>936</v>
      </c>
      <c r="E754" s="2" t="s">
        <v>929</v>
      </c>
      <c r="F754" s="27" t="str" cm="1">
        <f t="array" ref="F754">INDEX(Sources!A:A, 1 + BIN2DEC(LEFT($B754,5)))</f>
        <v>TMPA</v>
      </c>
      <c r="G754" s="27" t="str" cm="1">
        <f t="array" ref="G754">INDEX(Dest1!A:A,1+BIN2DEC(MID($B754,6,5)))</f>
        <v>OPR</v>
      </c>
      <c r="H754" s="27" t="str" cm="1">
        <f t="array" ref="H754">INDEX(Source2!A:A,1+BIN2DEC(MID($B754,11,4)))</f>
        <v>--</v>
      </c>
      <c r="I754" s="23" cm="1">
        <f t="array" ref="I754">INDEX('D2'!A:A,1+BIN2DEC(MID($B754,16,2)))</f>
        <v>0</v>
      </c>
      <c r="J754" s="6">
        <f t="shared" si="73"/>
        <v>0</v>
      </c>
      <c r="K754" s="6">
        <f t="shared" si="69"/>
        <v>0</v>
      </c>
      <c r="L754" s="6">
        <f t="shared" si="70"/>
        <v>0</v>
      </c>
      <c r="M754" s="3" t="str" cm="1">
        <f t="array" ref="M754">INDEX(Types!A:A,1+BIN2DEC(MID($B754,20,2)))</f>
        <v>ALU</v>
      </c>
      <c r="N754" s="3" cm="1">
        <f t="array" ref="N754">IF(M754="ALU",INDEX(ALUOps!A:A,1+BIN2DEC(MID($B754,22,5))),"")</f>
        <v>0</v>
      </c>
      <c r="O754" s="3" cm="1">
        <f t="array" ref="O754">IF(M754="ALU",INDEX(TMP!A:A,1+BIN2DEC(MID($B754,27,2))),"")</f>
        <v>2</v>
      </c>
      <c r="P754" s="6">
        <f t="shared" si="71"/>
        <v>1</v>
      </c>
      <c r="Q754" t="str">
        <f t="shared" si="74"/>
        <v/>
      </c>
      <c r="R754" t="str">
        <f t="shared" si="75"/>
        <v/>
      </c>
      <c r="S754" t="str" cm="1">
        <f t="array" ref="S754">IF(M754="Control",INDEX(IC!A:A,1+BIN2DEC(MID($B754,21,4))),"")</f>
        <v/>
      </c>
      <c r="T754" t="str" cm="1">
        <f t="array" ref="T754">IF(M754="Control",INDEX(EC!A:A,1+BIN2DEC(MID($B754,25,3))),"")</f>
        <v/>
      </c>
      <c r="U754" t="str" cm="1">
        <f t="array" ref="U754">IF(M754="Control",INDEX(SR!A:A,1+BIN2DEC(MID($B754,28,2))),"")</f>
        <v/>
      </c>
      <c r="X754" t="s">
        <v>1115</v>
      </c>
      <c r="AD754" s="1" t="s">
        <v>702</v>
      </c>
    </row>
    <row r="755" spans="1:30" x14ac:dyDescent="0.25">
      <c r="A755" s="4" t="str">
        <f t="shared" si="72"/>
        <v>2F1</v>
      </c>
      <c r="B755" s="2" t="s">
        <v>708</v>
      </c>
      <c r="C755" s="3"/>
      <c r="D755" s="3"/>
      <c r="E755" s="3"/>
      <c r="F755" s="27" t="str" cm="1">
        <f t="array" ref="F755">INDEX(Sources!A:A, 1 + BIN2DEC(LEFT($B755,5)))</f>
        <v>A</v>
      </c>
      <c r="G755" s="27" t="str" cm="1">
        <f t="array" ref="G755">INDEX(Dest1!A:A,1+BIN2DEC(MID($B755,6,5)))</f>
        <v>TMPB</v>
      </c>
      <c r="H755" s="27" t="str" cm="1">
        <f t="array" ref="H755">INDEX(Source2!A:A,1+BIN2DEC(MID($B755,11,4)))</f>
        <v>--</v>
      </c>
      <c r="I755" s="23" cm="1">
        <f t="array" ref="I755">INDEX('D2'!A:A,1+BIN2DEC(MID($B755,16,2)))</f>
        <v>0</v>
      </c>
      <c r="J755" s="6">
        <f t="shared" si="73"/>
        <v>0</v>
      </c>
      <c r="K755" s="6">
        <f t="shared" si="69"/>
        <v>0</v>
      </c>
      <c r="L755" s="6">
        <f t="shared" si="70"/>
        <v>0</v>
      </c>
      <c r="M755" s="3" t="str" cm="1">
        <f t="array" ref="M755">INDEX(Types!A:A,1+BIN2DEC(MID($B755,20,2)))</f>
        <v>Control</v>
      </c>
      <c r="N755" s="3" t="str" cm="1">
        <f t="array" ref="N755">IF(M755="ALU",INDEX(ALUOps!A:A,1+BIN2DEC(MID($B755,22,5))),"")</f>
        <v/>
      </c>
      <c r="O755" s="3" t="str" cm="1">
        <f t="array" ref="O755">IF(M755="ALU",INDEX(TMP!A:A,1+BIN2DEC(MID($B755,27,2))),"")</f>
        <v/>
      </c>
      <c r="P755" s="6" t="str">
        <f t="shared" si="71"/>
        <v/>
      </c>
      <c r="Q755" t="str">
        <f t="shared" si="74"/>
        <v/>
      </c>
      <c r="R755" t="str">
        <f t="shared" si="75"/>
        <v/>
      </c>
      <c r="S755" cm="1">
        <f t="array" ref="S755">IF(M755="Control",INDEX(IC!A:A,1+BIN2DEC(MID($B755,21,4))),"")</f>
        <v>0</v>
      </c>
      <c r="T755" cm="1">
        <f t="array" ref="T755">IF(M755="Control",INDEX(EC!A:A,1+BIN2DEC(MID($B755,25,3))),"")</f>
        <v>1</v>
      </c>
      <c r="U755" cm="1">
        <f t="array" ref="U755">IF(M755="Control",INDEX(SR!A:A,1+BIN2DEC(MID($B755,28,2))),"")</f>
        <v>0</v>
      </c>
    </row>
    <row r="756" spans="1:30" x14ac:dyDescent="0.25">
      <c r="A756" s="4" t="str">
        <f t="shared" si="72"/>
        <v>2F2</v>
      </c>
      <c r="B756" s="2" t="s">
        <v>99</v>
      </c>
      <c r="C756" s="3"/>
      <c r="D756" s="3"/>
      <c r="E756" s="3"/>
      <c r="F756" s="27" t="str" cm="1">
        <f t="array" ref="F756">INDEX(Sources!A:A, 1 + BIN2DEC(LEFT($B756,5)))</f>
        <v>TMPA</v>
      </c>
      <c r="G756" s="27" t="str" cm="1">
        <f t="array" ref="G756">INDEX(Dest1!A:A,1+BIN2DEC(MID($B756,6,5)))</f>
        <v>A</v>
      </c>
      <c r="H756" s="27" t="str" cm="1">
        <f t="array" ref="H756">INDEX(Source2!A:A,1+BIN2DEC(MID($B756,11,4)))</f>
        <v>--</v>
      </c>
      <c r="I756" s="23" cm="1">
        <f t="array" ref="I756">INDEX('D2'!A:A,1+BIN2DEC(MID($B756,16,2)))</f>
        <v>0</v>
      </c>
      <c r="J756" s="6">
        <f t="shared" si="73"/>
        <v>0</v>
      </c>
      <c r="K756" s="6">
        <f t="shared" si="69"/>
        <v>0</v>
      </c>
      <c r="L756" s="6">
        <f t="shared" si="70"/>
        <v>0</v>
      </c>
      <c r="M756" s="3" t="str" cm="1">
        <f t="array" ref="M756">INDEX(Types!A:A,1+BIN2DEC(MID($B756,20,2)))</f>
        <v>Control</v>
      </c>
      <c r="N756" s="3" t="str" cm="1">
        <f t="array" ref="N756">IF(M756="ALU",INDEX(ALUOps!A:A,1+BIN2DEC(MID($B756,22,5))),"")</f>
        <v/>
      </c>
      <c r="O756" s="3" t="str" cm="1">
        <f t="array" ref="O756">IF(M756="ALU",INDEX(TMP!A:A,1+BIN2DEC(MID($B756,27,2))),"")</f>
        <v/>
      </c>
      <c r="P756" s="6" t="str">
        <f t="shared" si="71"/>
        <v/>
      </c>
      <c r="Q756" t="str">
        <f t="shared" si="74"/>
        <v/>
      </c>
      <c r="R756" t="str">
        <f t="shared" si="75"/>
        <v/>
      </c>
      <c r="S756" cm="1">
        <f t="array" ref="S756">IF(M756="Control",INDEX(IC!A:A,1+BIN2DEC(MID($B756,21,4))),"")</f>
        <v>0</v>
      </c>
      <c r="T756" cm="1">
        <f t="array" ref="T756">IF(M756="Control",INDEX(EC!A:A,1+BIN2DEC(MID($B756,25,3))),"")</f>
        <v>0</v>
      </c>
      <c r="U756" cm="1">
        <f t="array" ref="U756">IF(M756="Control",INDEX(SR!A:A,1+BIN2DEC(MID($B756,28,2))),"")</f>
        <v>0</v>
      </c>
    </row>
    <row r="757" spans="1:30" x14ac:dyDescent="0.25">
      <c r="A757" s="4" t="str">
        <f t="shared" si="72"/>
        <v>2F3</v>
      </c>
      <c r="B757" s="2" t="s">
        <v>385</v>
      </c>
      <c r="C757" s="3"/>
      <c r="D757" s="3"/>
      <c r="E757" s="3"/>
      <c r="F757" s="27" t="str" cm="1">
        <f t="array" ref="F757">INDEX(Sources!A:A, 1 + BIN2DEC(LEFT($B757,5)))</f>
        <v>AH</v>
      </c>
      <c r="G757" s="27" t="str" cm="1">
        <f t="array" ref="G757">INDEX(Dest1!A:A,1+BIN2DEC(MID($B757,6,5)))</f>
        <v>TMPA</v>
      </c>
      <c r="H757" s="27" t="str" cm="1">
        <f t="array" ref="H757">INDEX(Source2!A:A,1+BIN2DEC(MID($B757,11,4)))</f>
        <v>--</v>
      </c>
      <c r="I757" s="23" cm="1">
        <f t="array" ref="I757">INDEX('D2'!A:A,1+BIN2DEC(MID($B757,16,2)))</f>
        <v>0</v>
      </c>
      <c r="J757" s="6">
        <f t="shared" si="73"/>
        <v>0</v>
      </c>
      <c r="K757" s="6">
        <f t="shared" si="69"/>
        <v>0</v>
      </c>
      <c r="L757" s="6">
        <f t="shared" si="70"/>
        <v>0</v>
      </c>
      <c r="M757" s="3" t="str" cm="1">
        <f t="array" ref="M757">INDEX(Types!A:A,1+BIN2DEC(MID($B757,20,2)))</f>
        <v>Control</v>
      </c>
      <c r="N757" s="3" t="str" cm="1">
        <f t="array" ref="N757">IF(M757="ALU",INDEX(ALUOps!A:A,1+BIN2DEC(MID($B757,22,5))),"")</f>
        <v/>
      </c>
      <c r="O757" s="3" t="str" cm="1">
        <f t="array" ref="O757">IF(M757="ALU",INDEX(TMP!A:A,1+BIN2DEC(MID($B757,27,2))),"")</f>
        <v/>
      </c>
      <c r="P757" s="6" t="str">
        <f t="shared" si="71"/>
        <v/>
      </c>
      <c r="Q757" t="str">
        <f t="shared" si="74"/>
        <v/>
      </c>
      <c r="R757" t="str">
        <f t="shared" si="75"/>
        <v/>
      </c>
      <c r="S757" cm="1">
        <f t="array" ref="S757">IF(M757="Control",INDEX(IC!A:A,1+BIN2DEC(MID($B757,21,4))),"")</f>
        <v>0</v>
      </c>
      <c r="T757" cm="1">
        <f t="array" ref="T757">IF(M757="Control",INDEX(EC!A:A,1+BIN2DEC(MID($B757,25,3))),"")</f>
        <v>0</v>
      </c>
      <c r="U757" cm="1">
        <f t="array" ref="U757">IF(M757="Control",INDEX(SR!A:A,1+BIN2DEC(MID($B757,28,2))),"")</f>
        <v>0</v>
      </c>
    </row>
    <row r="758" spans="1:30" x14ac:dyDescent="0.25">
      <c r="A758" s="4" t="str">
        <f t="shared" si="72"/>
        <v>2F4</v>
      </c>
      <c r="B758" s="2" t="s">
        <v>709</v>
      </c>
      <c r="C758" s="2" t="s">
        <v>707</v>
      </c>
      <c r="D758" s="2" t="s">
        <v>936</v>
      </c>
      <c r="E758" s="2" t="s">
        <v>488</v>
      </c>
      <c r="F758" s="27" t="str" cm="1">
        <f t="array" ref="F758">INDEX(Sources!A:A, 1 + BIN2DEC(LEFT($B758,5)))</f>
        <v>TMPB</v>
      </c>
      <c r="G758" s="27" t="str" cm="1">
        <f t="array" ref="G758">INDEX(Dest1!A:A,1+BIN2DEC(MID($B758,6,5)))</f>
        <v>UNK8</v>
      </c>
      <c r="H758" s="27" t="str" cm="1">
        <f t="array" ref="H758">INDEX(Source2!A:A,1+BIN2DEC(MID($B758,11,4)))</f>
        <v>--</v>
      </c>
      <c r="I758" s="23" cm="1">
        <f t="array" ref="I758">INDEX('D2'!A:A,1+BIN2DEC(MID($B758,16,2)))</f>
        <v>0</v>
      </c>
      <c r="J758" s="6">
        <f t="shared" si="73"/>
        <v>0</v>
      </c>
      <c r="K758" s="6">
        <f t="shared" si="69"/>
        <v>0</v>
      </c>
      <c r="L758" s="6">
        <f t="shared" si="70"/>
        <v>1</v>
      </c>
      <c r="M758" s="3" t="str" cm="1">
        <f t="array" ref="M758">INDEX(Types!A:A,1+BIN2DEC(MID($B758,20,2)))</f>
        <v>Control</v>
      </c>
      <c r="N758" s="3" t="str" cm="1">
        <f t="array" ref="N758">IF(M758="ALU",INDEX(ALUOps!A:A,1+BIN2DEC(MID($B758,22,5))),"")</f>
        <v/>
      </c>
      <c r="O758" s="3" t="str" cm="1">
        <f t="array" ref="O758">IF(M758="ALU",INDEX(TMP!A:A,1+BIN2DEC(MID($B758,27,2))),"")</f>
        <v/>
      </c>
      <c r="P758" s="6" t="str">
        <f t="shared" si="71"/>
        <v/>
      </c>
      <c r="Q758" t="str">
        <f t="shared" si="74"/>
        <v/>
      </c>
      <c r="R758" t="str">
        <f t="shared" si="75"/>
        <v/>
      </c>
      <c r="S758" cm="1">
        <f t="array" ref="S758">IF(M758="Control",INDEX(IC!A:A,1+BIN2DEC(MID($B758,21,4))),"")</f>
        <v>0</v>
      </c>
      <c r="T758" cm="1">
        <f t="array" ref="T758">IF(M758="Control",INDEX(EC!A:A,1+BIN2DEC(MID($B758,25,3))),"")</f>
        <v>0</v>
      </c>
      <c r="U758" cm="1">
        <f t="array" ref="U758">IF(M758="Control",INDEX(SR!A:A,1+BIN2DEC(MID($B758,28,2))),"")</f>
        <v>0</v>
      </c>
      <c r="AD758" s="1" t="s">
        <v>702</v>
      </c>
    </row>
    <row r="759" spans="1:30" x14ac:dyDescent="0.25">
      <c r="A759" s="4" t="str">
        <f t="shared" si="72"/>
        <v>2F5</v>
      </c>
      <c r="B759" s="2" t="s">
        <v>99</v>
      </c>
      <c r="C759" s="3"/>
      <c r="D759" s="3"/>
      <c r="E759" s="3"/>
      <c r="F759" s="27" t="str" cm="1">
        <f t="array" ref="F759">INDEX(Sources!A:A, 1 + BIN2DEC(LEFT($B759,5)))</f>
        <v>TMPA</v>
      </c>
      <c r="G759" s="27" t="str" cm="1">
        <f t="array" ref="G759">INDEX(Dest1!A:A,1+BIN2DEC(MID($B759,6,5)))</f>
        <v>A</v>
      </c>
      <c r="H759" s="27" t="str" cm="1">
        <f t="array" ref="H759">INDEX(Source2!A:A,1+BIN2DEC(MID($B759,11,4)))</f>
        <v>--</v>
      </c>
      <c r="I759" s="23" cm="1">
        <f t="array" ref="I759">INDEX('D2'!A:A,1+BIN2DEC(MID($B759,16,2)))</f>
        <v>0</v>
      </c>
      <c r="J759" s="6">
        <f t="shared" si="73"/>
        <v>0</v>
      </c>
      <c r="K759" s="6">
        <f t="shared" si="69"/>
        <v>0</v>
      </c>
      <c r="L759" s="6">
        <f t="shared" si="70"/>
        <v>0</v>
      </c>
      <c r="M759" s="3" t="str" cm="1">
        <f t="array" ref="M759">INDEX(Types!A:A,1+BIN2DEC(MID($B759,20,2)))</f>
        <v>Control</v>
      </c>
      <c r="N759" s="3" t="str" cm="1">
        <f t="array" ref="N759">IF(M759="ALU",INDEX(ALUOps!A:A,1+BIN2DEC(MID($B759,22,5))),"")</f>
        <v/>
      </c>
      <c r="O759" s="3" t="str" cm="1">
        <f t="array" ref="O759">IF(M759="ALU",INDEX(TMP!A:A,1+BIN2DEC(MID($B759,27,2))),"")</f>
        <v/>
      </c>
      <c r="P759" s="6" t="str">
        <f t="shared" si="71"/>
        <v/>
      </c>
      <c r="Q759" t="str">
        <f t="shared" si="74"/>
        <v/>
      </c>
      <c r="R759" t="str">
        <f t="shared" si="75"/>
        <v/>
      </c>
      <c r="S759" cm="1">
        <f t="array" ref="S759">IF(M759="Control",INDEX(IC!A:A,1+BIN2DEC(MID($B759,21,4))),"")</f>
        <v>0</v>
      </c>
      <c r="T759" cm="1">
        <f t="array" ref="T759">IF(M759="Control",INDEX(EC!A:A,1+BIN2DEC(MID($B759,25,3))),"")</f>
        <v>0</v>
      </c>
      <c r="U759" cm="1">
        <f t="array" ref="U759">IF(M759="Control",INDEX(SR!A:A,1+BIN2DEC(MID($B759,28,2))),"")</f>
        <v>0</v>
      </c>
    </row>
    <row r="760" spans="1:30" x14ac:dyDescent="0.25">
      <c r="A760" s="4" t="str">
        <f t="shared" si="72"/>
        <v>2F6</v>
      </c>
      <c r="B760" s="2" t="s">
        <v>4</v>
      </c>
      <c r="C760" s="3"/>
      <c r="D760" s="3"/>
      <c r="E760" s="3"/>
      <c r="F760" s="27" t="str" cm="1">
        <f t="array" ref="F760">INDEX(Sources!A:A, 1 + BIN2DEC(LEFT($B760,5)))</f>
        <v>--</v>
      </c>
      <c r="G760" s="27" t="str" cm="1">
        <f t="array" ref="G760">INDEX(Dest1!A:A,1+BIN2DEC(MID($B760,6,5)))</f>
        <v>--</v>
      </c>
      <c r="H760" s="27" t="str" cm="1">
        <f t="array" ref="H760">INDEX(Source2!A:A,1+BIN2DEC(MID($B760,11,4)))</f>
        <v>--</v>
      </c>
      <c r="I760" s="23" cm="1">
        <f t="array" ref="I760">INDEX('D2'!A:A,1+BIN2DEC(MID($B760,16,2)))</f>
        <v>0</v>
      </c>
      <c r="J760" s="6">
        <f t="shared" si="73"/>
        <v>0</v>
      </c>
      <c r="K760" s="6">
        <f t="shared" si="69"/>
        <v>0</v>
      </c>
      <c r="L760" s="6">
        <f t="shared" si="70"/>
        <v>0</v>
      </c>
      <c r="M760" s="3" t="str" cm="1">
        <f t="array" ref="M760">INDEX(Types!A:A,1+BIN2DEC(MID($B760,20,2)))</f>
        <v>Control</v>
      </c>
      <c r="N760" s="3" t="str" cm="1">
        <f t="array" ref="N760">IF(M760="ALU",INDEX(ALUOps!A:A,1+BIN2DEC(MID($B760,22,5))),"")</f>
        <v/>
      </c>
      <c r="O760" s="3" t="str" cm="1">
        <f t="array" ref="O760">IF(M760="ALU",INDEX(TMP!A:A,1+BIN2DEC(MID($B760,27,2))),"")</f>
        <v/>
      </c>
      <c r="P760" s="6" t="str">
        <f t="shared" si="71"/>
        <v/>
      </c>
      <c r="Q760" t="str">
        <f t="shared" si="74"/>
        <v/>
      </c>
      <c r="R760" t="str">
        <f t="shared" si="75"/>
        <v/>
      </c>
      <c r="S760" cm="1">
        <f t="array" ref="S760">IF(M760="Control",INDEX(IC!A:A,1+BIN2DEC(MID($B760,21,4))),"")</f>
        <v>0</v>
      </c>
      <c r="T760" cm="1">
        <f t="array" ref="T760">IF(M760="Control",INDEX(EC!A:A,1+BIN2DEC(MID($B760,25,3))),"")</f>
        <v>0</v>
      </c>
      <c r="U760" cm="1">
        <f t="array" ref="U760">IF(M760="Control",INDEX(SR!A:A,1+BIN2DEC(MID($B760,28,2))),"")</f>
        <v>0</v>
      </c>
    </row>
    <row r="761" spans="1:30" x14ac:dyDescent="0.25">
      <c r="A761" s="4" t="str">
        <f t="shared" si="72"/>
        <v>2F7</v>
      </c>
      <c r="B761" s="2" t="s">
        <v>4</v>
      </c>
      <c r="C761" s="3"/>
      <c r="D761" s="3"/>
      <c r="E761" s="3"/>
      <c r="F761" s="27" t="str" cm="1">
        <f t="array" ref="F761">INDEX(Sources!A:A, 1 + BIN2DEC(LEFT($B761,5)))</f>
        <v>--</v>
      </c>
      <c r="G761" s="27" t="str" cm="1">
        <f t="array" ref="G761">INDEX(Dest1!A:A,1+BIN2DEC(MID($B761,6,5)))</f>
        <v>--</v>
      </c>
      <c r="H761" s="27" t="str" cm="1">
        <f t="array" ref="H761">INDEX(Source2!A:A,1+BIN2DEC(MID($B761,11,4)))</f>
        <v>--</v>
      </c>
      <c r="I761" s="23" cm="1">
        <f t="array" ref="I761">INDEX('D2'!A:A,1+BIN2DEC(MID($B761,16,2)))</f>
        <v>0</v>
      </c>
      <c r="J761" s="6">
        <f t="shared" si="73"/>
        <v>0</v>
      </c>
      <c r="K761" s="6">
        <f t="shared" si="69"/>
        <v>0</v>
      </c>
      <c r="L761" s="6">
        <f t="shared" si="70"/>
        <v>0</v>
      </c>
      <c r="M761" s="3" t="str" cm="1">
        <f t="array" ref="M761">INDEX(Types!A:A,1+BIN2DEC(MID($B761,20,2)))</f>
        <v>Control</v>
      </c>
      <c r="N761" s="3" t="str" cm="1">
        <f t="array" ref="N761">IF(M761="ALU",INDEX(ALUOps!A:A,1+BIN2DEC(MID($B761,22,5))),"")</f>
        <v/>
      </c>
      <c r="O761" s="3" t="str" cm="1">
        <f t="array" ref="O761">IF(M761="ALU",INDEX(TMP!A:A,1+BIN2DEC(MID($B761,27,2))),"")</f>
        <v/>
      </c>
      <c r="P761" s="6" t="str">
        <f t="shared" si="71"/>
        <v/>
      </c>
      <c r="Q761" t="str">
        <f t="shared" si="74"/>
        <v/>
      </c>
      <c r="R761" t="str">
        <f t="shared" si="75"/>
        <v/>
      </c>
      <c r="S761" cm="1">
        <f t="array" ref="S761">IF(M761="Control",INDEX(IC!A:A,1+BIN2DEC(MID($B761,21,4))),"")</f>
        <v>0</v>
      </c>
      <c r="T761" cm="1">
        <f t="array" ref="T761">IF(M761="Control",INDEX(EC!A:A,1+BIN2DEC(MID($B761,25,3))),"")</f>
        <v>0</v>
      </c>
      <c r="U761" cm="1">
        <f t="array" ref="U761">IF(M761="Control",INDEX(SR!A:A,1+BIN2DEC(MID($B761,28,2))),"")</f>
        <v>0</v>
      </c>
    </row>
    <row r="762" spans="1:30" x14ac:dyDescent="0.25">
      <c r="A762" s="4" t="str">
        <f t="shared" si="72"/>
        <v>2F8</v>
      </c>
      <c r="B762" s="2" t="s">
        <v>387</v>
      </c>
      <c r="C762" s="2" t="s">
        <v>710</v>
      </c>
      <c r="D762" s="2" t="s">
        <v>936</v>
      </c>
      <c r="E762" s="2" t="s">
        <v>462</v>
      </c>
      <c r="F762" s="27" t="str" cm="1">
        <f t="array" ref="F762">INDEX(Sources!A:A, 1 + BIN2DEC(LEFT($B762,5)))</f>
        <v>REG</v>
      </c>
      <c r="G762" s="27" t="str" cm="1">
        <f t="array" ref="G762">INDEX(Dest1!A:A,1+BIN2DEC(MID($B762,6,5)))</f>
        <v>LC</v>
      </c>
      <c r="H762" s="27" t="str" cm="1">
        <f t="array" ref="H762">INDEX(Source2!A:A,1+BIN2DEC(MID($B762,11,4)))</f>
        <v>13</v>
      </c>
      <c r="I762" s="23" t="str" cm="1">
        <f t="array" ref="I762">INDEX('D2'!A:A,1+BIN2DEC(MID($B762,16,2)))</f>
        <v>TMPB</v>
      </c>
      <c r="J762" s="6">
        <f t="shared" si="73"/>
        <v>0</v>
      </c>
      <c r="K762" s="6">
        <f t="shared" si="69"/>
        <v>0</v>
      </c>
      <c r="L762" s="6">
        <f t="shared" si="70"/>
        <v>0</v>
      </c>
      <c r="M762" s="3" t="str" cm="1">
        <f t="array" ref="M762">INDEX(Types!A:A,1+BIN2DEC(MID($B762,20,2)))</f>
        <v>Control</v>
      </c>
      <c r="N762" s="3" t="str" cm="1">
        <f t="array" ref="N762">IF(M762="ALU",INDEX(ALUOps!A:A,1+BIN2DEC(MID($B762,22,5))),"")</f>
        <v/>
      </c>
      <c r="O762" s="3" t="str" cm="1">
        <f t="array" ref="O762">IF(M762="ALU",INDEX(TMP!A:A,1+BIN2DEC(MID($B762,27,2))),"")</f>
        <v/>
      </c>
      <c r="P762" s="6" t="str">
        <f t="shared" si="71"/>
        <v/>
      </c>
      <c r="Q762" t="str">
        <f t="shared" si="74"/>
        <v/>
      </c>
      <c r="R762" t="str">
        <f t="shared" si="75"/>
        <v/>
      </c>
      <c r="S762" cm="1">
        <f t="array" ref="S762">IF(M762="Control",INDEX(IC!A:A,1+BIN2DEC(MID($B762,21,4))),"")</f>
        <v>0</v>
      </c>
      <c r="T762" cm="1">
        <f t="array" ref="T762">IF(M762="Control",INDEX(EC!A:A,1+BIN2DEC(MID($B762,25,3))),"")</f>
        <v>0</v>
      </c>
      <c r="U762" cm="1">
        <f t="array" ref="U762">IF(M762="Control",INDEX(SR!A:A,1+BIN2DEC(MID($B762,28,2))),"")</f>
        <v>0</v>
      </c>
      <c r="X762" t="s">
        <v>1116</v>
      </c>
      <c r="AD762" s="1" t="s">
        <v>711</v>
      </c>
    </row>
    <row r="763" spans="1:30" x14ac:dyDescent="0.25">
      <c r="A763" s="4" t="str">
        <f t="shared" si="72"/>
        <v>2F9</v>
      </c>
      <c r="B763" s="2" t="s">
        <v>703</v>
      </c>
      <c r="C763" s="3"/>
      <c r="D763" s="3"/>
      <c r="E763" s="3"/>
      <c r="F763" s="27" t="str" cm="1">
        <f t="array" ref="F763">INDEX(Sources!A:A, 1 + BIN2DEC(LEFT($B763,5)))</f>
        <v>OPR</v>
      </c>
      <c r="G763" s="27" t="str" cm="1">
        <f t="array" ref="G763">INDEX(Dest1!A:A,1+BIN2DEC(MID($B763,6,5)))</f>
        <v>UNK10</v>
      </c>
      <c r="H763" s="27" t="str" cm="1">
        <f t="array" ref="H763">INDEX(Source2!A:A,1+BIN2DEC(MID($B763,11,4)))</f>
        <v>--</v>
      </c>
      <c r="I763" s="23" cm="1">
        <f t="array" ref="I763">INDEX('D2'!A:A,1+BIN2DEC(MID($B763,16,2)))</f>
        <v>0</v>
      </c>
      <c r="J763" s="6">
        <f t="shared" si="73"/>
        <v>0</v>
      </c>
      <c r="K763" s="6">
        <f t="shared" si="69"/>
        <v>0</v>
      </c>
      <c r="L763" s="6">
        <f t="shared" si="70"/>
        <v>0</v>
      </c>
      <c r="M763" s="3" t="str" cm="1">
        <f t="array" ref="M763">INDEX(Types!A:A,1+BIN2DEC(MID($B763,20,2)))</f>
        <v>Control</v>
      </c>
      <c r="N763" s="3" t="str" cm="1">
        <f t="array" ref="N763">IF(M763="ALU",INDEX(ALUOps!A:A,1+BIN2DEC(MID($B763,22,5))),"")</f>
        <v/>
      </c>
      <c r="O763" s="3" t="str" cm="1">
        <f t="array" ref="O763">IF(M763="ALU",INDEX(TMP!A:A,1+BIN2DEC(MID($B763,27,2))),"")</f>
        <v/>
      </c>
      <c r="P763" s="6" t="str">
        <f t="shared" si="71"/>
        <v/>
      </c>
      <c r="Q763" t="str">
        <f t="shared" si="74"/>
        <v/>
      </c>
      <c r="R763" t="str">
        <f t="shared" si="75"/>
        <v/>
      </c>
      <c r="S763" cm="1">
        <f t="array" ref="S763">IF(M763="Control",INDEX(IC!A:A,1+BIN2DEC(MID($B763,21,4))),"")</f>
        <v>0</v>
      </c>
      <c r="T763" cm="1">
        <f t="array" ref="T763">IF(M763="Control",INDEX(EC!A:A,1+BIN2DEC(MID($B763,25,3))),"")</f>
        <v>0</v>
      </c>
      <c r="U763" cm="1">
        <f t="array" ref="U763">IF(M763="Control",INDEX(SR!A:A,1+BIN2DEC(MID($B763,28,2))),"")</f>
        <v>0</v>
      </c>
    </row>
    <row r="764" spans="1:30" x14ac:dyDescent="0.25">
      <c r="A764" s="4" t="str">
        <f t="shared" si="72"/>
        <v>2FA</v>
      </c>
      <c r="B764" s="2" t="s">
        <v>704</v>
      </c>
      <c r="C764" s="3"/>
      <c r="D764" s="3"/>
      <c r="E764" s="3"/>
      <c r="F764" s="27" t="str" cm="1">
        <f t="array" ref="F764">INDEX(Sources!A:A, 1 + BIN2DEC(LEFT($B764,5)))</f>
        <v>AH</v>
      </c>
      <c r="G764" s="27" t="str" cm="1">
        <f t="array" ref="G764">INDEX(Dest1!A:A,1+BIN2DEC(MID($B764,6,5)))</f>
        <v>UNK8</v>
      </c>
      <c r="H764" s="27" t="str" cm="1">
        <f t="array" ref="H764">INDEX(Source2!A:A,1+BIN2DEC(MID($B764,11,4)))</f>
        <v>--</v>
      </c>
      <c r="I764" s="23" cm="1">
        <f t="array" ref="I764">INDEX('D2'!A:A,1+BIN2DEC(MID($B764,16,2)))</f>
        <v>0</v>
      </c>
      <c r="J764" s="6">
        <f t="shared" si="73"/>
        <v>0</v>
      </c>
      <c r="K764" s="6">
        <f t="shared" si="69"/>
        <v>0</v>
      </c>
      <c r="L764" s="6">
        <f t="shared" si="70"/>
        <v>0</v>
      </c>
      <c r="M764" s="3" t="str" cm="1">
        <f t="array" ref="M764">INDEX(Types!A:A,1+BIN2DEC(MID($B764,20,2)))</f>
        <v>ALU</v>
      </c>
      <c r="N764" s="3" cm="1">
        <f t="array" ref="N764">IF(M764="ALU",INDEX(ALUOps!A:A,1+BIN2DEC(MID($B764,22,5))),"")</f>
        <v>0</v>
      </c>
      <c r="O764" s="3" cm="1">
        <f t="array" ref="O764">IF(M764="ALU",INDEX(TMP!A:A,1+BIN2DEC(MID($B764,27,2))),"")</f>
        <v>2</v>
      </c>
      <c r="P764" s="6">
        <f t="shared" si="71"/>
        <v>1</v>
      </c>
      <c r="Q764" t="str">
        <f t="shared" si="74"/>
        <v/>
      </c>
      <c r="R764" t="str">
        <f t="shared" si="75"/>
        <v/>
      </c>
      <c r="S764" t="str" cm="1">
        <f t="array" ref="S764">IF(M764="Control",INDEX(IC!A:A,1+BIN2DEC(MID($B764,21,4))),"")</f>
        <v/>
      </c>
      <c r="T764" t="str" cm="1">
        <f t="array" ref="T764">IF(M764="Control",INDEX(EC!A:A,1+BIN2DEC(MID($B764,25,3))),"")</f>
        <v/>
      </c>
      <c r="U764" t="str" cm="1">
        <f t="array" ref="U764">IF(M764="Control",INDEX(SR!A:A,1+BIN2DEC(MID($B764,28,2))),"")</f>
        <v/>
      </c>
    </row>
    <row r="765" spans="1:30" x14ac:dyDescent="0.25">
      <c r="A765" s="4" t="str">
        <f t="shared" si="72"/>
        <v>2FB</v>
      </c>
      <c r="B765" s="2" t="s">
        <v>705</v>
      </c>
      <c r="C765" s="3"/>
      <c r="D765" s="3"/>
      <c r="E765" s="3"/>
      <c r="F765" s="27" t="str" cm="1">
        <f t="array" ref="F765">INDEX(Sources!A:A, 1 + BIN2DEC(LEFT($B765,5)))</f>
        <v>SIGMA</v>
      </c>
      <c r="G765" s="27" t="str" cm="1">
        <f t="array" ref="G765">INDEX(Dest1!A:A,1+BIN2DEC(MID($B765,6,5)))</f>
        <v>TMPA</v>
      </c>
      <c r="H765" s="27" t="str" cm="1">
        <f t="array" ref="H765">INDEX(Source2!A:A,1+BIN2DEC(MID($B765,11,4)))</f>
        <v>--</v>
      </c>
      <c r="I765" s="23" cm="1">
        <f t="array" ref="I765">INDEX('D2'!A:A,1+BIN2DEC(MID($B765,16,2)))</f>
        <v>0</v>
      </c>
      <c r="J765" s="6">
        <f t="shared" si="73"/>
        <v>0</v>
      </c>
      <c r="K765" s="6">
        <f t="shared" si="69"/>
        <v>0</v>
      </c>
      <c r="L765" s="6">
        <f t="shared" si="70"/>
        <v>0</v>
      </c>
      <c r="M765" s="3" t="str" cm="1">
        <f t="array" ref="M765">INDEX(Types!A:A,1+BIN2DEC(MID($B765,20,2)))</f>
        <v>ALU</v>
      </c>
      <c r="N765" s="3" cm="1">
        <f t="array" ref="N765">IF(M765="ALU",INDEX(ALUOps!A:A,1+BIN2DEC(MID($B765,22,5))),"")</f>
        <v>15</v>
      </c>
      <c r="O765" s="3" cm="1">
        <f t="array" ref="O765">IF(M765="ALU",INDEX(TMP!A:A,1+BIN2DEC(MID($B765,27,2))),"")</f>
        <v>2</v>
      </c>
      <c r="P765" s="6">
        <f t="shared" si="71"/>
        <v>0</v>
      </c>
      <c r="Q765" t="str">
        <f t="shared" si="74"/>
        <v/>
      </c>
      <c r="R765" t="str">
        <f t="shared" si="75"/>
        <v/>
      </c>
      <c r="S765" t="str" cm="1">
        <f t="array" ref="S765">IF(M765="Control",INDEX(IC!A:A,1+BIN2DEC(MID($B765,21,4))),"")</f>
        <v/>
      </c>
      <c r="T765" t="str" cm="1">
        <f t="array" ref="T765">IF(M765="Control",INDEX(EC!A:A,1+BIN2DEC(MID($B765,25,3))),"")</f>
        <v/>
      </c>
      <c r="U765" t="str" cm="1">
        <f t="array" ref="U765">IF(M765="Control",INDEX(SR!A:A,1+BIN2DEC(MID($B765,28,2))),"")</f>
        <v/>
      </c>
    </row>
    <row r="766" spans="1:30" x14ac:dyDescent="0.25">
      <c r="A766" s="4" t="str">
        <f t="shared" si="72"/>
        <v>2FC</v>
      </c>
      <c r="B766" s="2" t="s">
        <v>714</v>
      </c>
      <c r="C766" s="2" t="s">
        <v>712</v>
      </c>
      <c r="D766" s="2" t="s">
        <v>936</v>
      </c>
      <c r="E766" s="2" t="s">
        <v>462</v>
      </c>
      <c r="F766" s="27" t="str" cm="1">
        <f t="array" ref="F766">INDEX(Sources!A:A, 1 + BIN2DEC(LEFT($B766,5)))</f>
        <v>REG</v>
      </c>
      <c r="G766" s="27" t="str" cm="1">
        <f t="array" ref="G766">INDEX(Dest1!A:A,1+BIN2DEC(MID($B766,6,5)))</f>
        <v>UNK17</v>
      </c>
      <c r="H766" s="27" t="str" cm="1">
        <f t="array" ref="H766">INDEX(Source2!A:A,1+BIN2DEC(MID($B766,11,4)))</f>
        <v>12</v>
      </c>
      <c r="I766" s="23" cm="1">
        <f t="array" ref="I766">INDEX('D2'!A:A,1+BIN2DEC(MID($B766,16,2)))</f>
        <v>0</v>
      </c>
      <c r="J766" s="6">
        <f t="shared" si="73"/>
        <v>0</v>
      </c>
      <c r="K766" s="6">
        <f t="shared" si="69"/>
        <v>0</v>
      </c>
      <c r="L766" s="6">
        <f t="shared" si="70"/>
        <v>0</v>
      </c>
      <c r="M766" s="3" t="str" cm="1">
        <f t="array" ref="M766">INDEX(Types!A:A,1+BIN2DEC(MID($B766,20,2)))</f>
        <v>ALU</v>
      </c>
      <c r="N766" s="3" cm="1">
        <f t="array" ref="N766">IF(M766="ALU",INDEX(ALUOps!A:A,1+BIN2DEC(MID($B766,22,5))),"")</f>
        <v>0</v>
      </c>
      <c r="O766" s="3" cm="1">
        <f t="array" ref="O766">IF(M766="ALU",INDEX(TMP!A:A,1+BIN2DEC(MID($B766,27,2))),"")</f>
        <v>1</v>
      </c>
      <c r="P766" s="6">
        <f t="shared" si="71"/>
        <v>1</v>
      </c>
      <c r="Q766" t="str">
        <f t="shared" si="74"/>
        <v/>
      </c>
      <c r="R766" t="str">
        <f t="shared" si="75"/>
        <v/>
      </c>
      <c r="S766" t="str" cm="1">
        <f t="array" ref="S766">IF(M766="Control",INDEX(IC!A:A,1+BIN2DEC(MID($B766,21,4))),"")</f>
        <v/>
      </c>
      <c r="T766" t="str" cm="1">
        <f t="array" ref="T766">IF(M766="Control",INDEX(EC!A:A,1+BIN2DEC(MID($B766,25,3))),"")</f>
        <v/>
      </c>
      <c r="U766" t="str" cm="1">
        <f t="array" ref="U766">IF(M766="Control",INDEX(SR!A:A,1+BIN2DEC(MID($B766,28,2))),"")</f>
        <v/>
      </c>
      <c r="X766" t="s">
        <v>1117</v>
      </c>
      <c r="AD766" s="1" t="s">
        <v>713</v>
      </c>
    </row>
    <row r="767" spans="1:30" x14ac:dyDescent="0.25">
      <c r="A767" s="4" t="str">
        <f t="shared" si="72"/>
        <v>2FD</v>
      </c>
      <c r="B767" s="2" t="s">
        <v>717</v>
      </c>
      <c r="C767" s="3"/>
      <c r="D767" s="3"/>
      <c r="E767" s="3"/>
      <c r="F767" s="27" t="str" cm="1">
        <f t="array" ref="F767">INDEX(Sources!A:A, 1 + BIN2DEC(LEFT($B767,5)))</f>
        <v>REG</v>
      </c>
      <c r="G767" s="27" t="str" cm="1">
        <f t="array" ref="G767">INDEX(Dest1!A:A,1+BIN2DEC(MID($B767,6,5)))</f>
        <v>UNK11</v>
      </c>
      <c r="H767" s="27" t="str" cm="1">
        <f t="array" ref="H767">INDEX(Source2!A:A,1+BIN2DEC(MID($B767,11,4)))</f>
        <v>11</v>
      </c>
      <c r="I767" s="23" cm="1">
        <f t="array" ref="I767">INDEX('D2'!A:A,1+BIN2DEC(MID($B767,16,2)))</f>
        <v>0</v>
      </c>
      <c r="J767" s="6">
        <f t="shared" si="73"/>
        <v>0</v>
      </c>
      <c r="K767" s="6">
        <f t="shared" si="69"/>
        <v>0</v>
      </c>
      <c r="L767" s="6">
        <f t="shared" si="70"/>
        <v>0</v>
      </c>
      <c r="M767" s="3" t="str" cm="1">
        <f t="array" ref="M767">INDEX(Types!A:A,1+BIN2DEC(MID($B767,20,2)))</f>
        <v>ALU</v>
      </c>
      <c r="N767" s="3" cm="1">
        <f t="array" ref="N767">IF(M767="ALU",INDEX(ALUOps!A:A,1+BIN2DEC(MID($B767,22,5))),"")</f>
        <v>26</v>
      </c>
      <c r="O767" s="3" cm="1">
        <f t="array" ref="O767">IF(M767="ALU",INDEX(TMP!A:A,1+BIN2DEC(MID($B767,27,2))),"")</f>
        <v>3</v>
      </c>
      <c r="P767" s="6">
        <f t="shared" si="71"/>
        <v>1</v>
      </c>
      <c r="Q767" t="str">
        <f t="shared" si="74"/>
        <v/>
      </c>
      <c r="R767" t="str">
        <f t="shared" si="75"/>
        <v/>
      </c>
      <c r="S767" t="str" cm="1">
        <f t="array" ref="S767">IF(M767="Control",INDEX(IC!A:A,1+BIN2DEC(MID($B767,21,4))),"")</f>
        <v/>
      </c>
      <c r="T767" t="str" cm="1">
        <f t="array" ref="T767">IF(M767="Control",INDEX(EC!A:A,1+BIN2DEC(MID($B767,25,3))),"")</f>
        <v/>
      </c>
      <c r="U767" t="str" cm="1">
        <f t="array" ref="U767">IF(M767="Control",INDEX(SR!A:A,1+BIN2DEC(MID($B767,28,2))),"")</f>
        <v/>
      </c>
    </row>
    <row r="768" spans="1:30" x14ac:dyDescent="0.25">
      <c r="A768" s="4" t="str">
        <f t="shared" si="72"/>
        <v>2FE</v>
      </c>
      <c r="B768" s="2" t="s">
        <v>718</v>
      </c>
      <c r="C768" s="3"/>
      <c r="D768" s="3"/>
      <c r="E768" s="3"/>
      <c r="F768" s="27" t="str" cm="1">
        <f t="array" ref="F768">INDEX(Sources!A:A, 1 + BIN2DEC(LEFT($B768,5)))</f>
        <v>SIGMA</v>
      </c>
      <c r="G768" s="27" t="str" cm="1">
        <f t="array" ref="G768">INDEX(Dest1!A:A,1+BIN2DEC(MID($B768,6,5)))</f>
        <v>A</v>
      </c>
      <c r="H768" s="27" t="str" cm="1">
        <f t="array" ref="H768">INDEX(Source2!A:A,1+BIN2DEC(MID($B768,11,4)))</f>
        <v>--</v>
      </c>
      <c r="I768" s="23" cm="1">
        <f t="array" ref="I768">INDEX('D2'!A:A,1+BIN2DEC(MID($B768,16,2)))</f>
        <v>0</v>
      </c>
      <c r="J768" s="6">
        <f t="shared" si="73"/>
        <v>0</v>
      </c>
      <c r="K768" s="6">
        <f t="shared" si="69"/>
        <v>0</v>
      </c>
      <c r="L768" s="6">
        <f t="shared" si="70"/>
        <v>0</v>
      </c>
      <c r="M768" s="3" t="str" cm="1">
        <f t="array" ref="M768">INDEX(Types!A:A,1+BIN2DEC(MID($B768,20,2)))</f>
        <v>ALU</v>
      </c>
      <c r="N768" s="3" cm="1">
        <f t="array" ref="N768">IF(M768="ALU",INDEX(ALUOps!A:A,1+BIN2DEC(MID($B768,22,5))),"")</f>
        <v>0</v>
      </c>
      <c r="O768" s="3" cm="1">
        <f t="array" ref="O768">IF(M768="ALU",INDEX(TMP!A:A,1+BIN2DEC(MID($B768,27,2))),"")</f>
        <v>3</v>
      </c>
      <c r="P768" s="6">
        <f t="shared" si="71"/>
        <v>1</v>
      </c>
      <c r="Q768" t="str">
        <f t="shared" si="74"/>
        <v/>
      </c>
      <c r="R768" t="str">
        <f t="shared" si="75"/>
        <v/>
      </c>
      <c r="S768" t="str" cm="1">
        <f t="array" ref="S768">IF(M768="Control",INDEX(IC!A:A,1+BIN2DEC(MID($B768,21,4))),"")</f>
        <v/>
      </c>
      <c r="T768" t="str" cm="1">
        <f t="array" ref="T768">IF(M768="Control",INDEX(EC!A:A,1+BIN2DEC(MID($B768,25,3))),"")</f>
        <v/>
      </c>
      <c r="U768" t="str" cm="1">
        <f t="array" ref="U768">IF(M768="Control",INDEX(SR!A:A,1+BIN2DEC(MID($B768,28,2))),"")</f>
        <v/>
      </c>
    </row>
    <row r="769" spans="1:30" x14ac:dyDescent="0.25">
      <c r="A769" s="4" t="str">
        <f t="shared" si="72"/>
        <v>2FF</v>
      </c>
      <c r="B769" s="2" t="s">
        <v>4</v>
      </c>
      <c r="C769" s="3"/>
      <c r="D769" s="3"/>
      <c r="E769" s="3"/>
      <c r="F769" s="27" t="str" cm="1">
        <f t="array" ref="F769">INDEX(Sources!A:A, 1 + BIN2DEC(LEFT($B769,5)))</f>
        <v>--</v>
      </c>
      <c r="G769" s="27" t="str" cm="1">
        <f t="array" ref="G769">INDEX(Dest1!A:A,1+BIN2DEC(MID($B769,6,5)))</f>
        <v>--</v>
      </c>
      <c r="H769" s="27" t="str" cm="1">
        <f t="array" ref="H769">INDEX(Source2!A:A,1+BIN2DEC(MID($B769,11,4)))</f>
        <v>--</v>
      </c>
      <c r="I769" s="23" cm="1">
        <f t="array" ref="I769">INDEX('D2'!A:A,1+BIN2DEC(MID($B769,16,2)))</f>
        <v>0</v>
      </c>
      <c r="J769" s="6">
        <f t="shared" si="73"/>
        <v>0</v>
      </c>
      <c r="K769" s="6">
        <f t="shared" si="69"/>
        <v>0</v>
      </c>
      <c r="L769" s="6">
        <f t="shared" si="70"/>
        <v>0</v>
      </c>
      <c r="M769" s="3" t="str" cm="1">
        <f t="array" ref="M769">INDEX(Types!A:A,1+BIN2DEC(MID($B769,20,2)))</f>
        <v>Control</v>
      </c>
      <c r="N769" s="3" t="str" cm="1">
        <f t="array" ref="N769">IF(M769="ALU",INDEX(ALUOps!A:A,1+BIN2DEC(MID($B769,22,5))),"")</f>
        <v/>
      </c>
      <c r="O769" s="3" t="str" cm="1">
        <f t="array" ref="O769">IF(M769="ALU",INDEX(TMP!A:A,1+BIN2DEC(MID($B769,27,2))),"")</f>
        <v/>
      </c>
      <c r="P769" s="6" t="str">
        <f t="shared" si="71"/>
        <v/>
      </c>
      <c r="Q769" t="str">
        <f t="shared" si="74"/>
        <v/>
      </c>
      <c r="R769" t="str">
        <f t="shared" si="75"/>
        <v/>
      </c>
      <c r="S769" cm="1">
        <f t="array" ref="S769">IF(M769="Control",INDEX(IC!A:A,1+BIN2DEC(MID($B769,21,4))),"")</f>
        <v>0</v>
      </c>
      <c r="T769" cm="1">
        <f t="array" ref="T769">IF(M769="Control",INDEX(EC!A:A,1+BIN2DEC(MID($B769,25,3))),"")</f>
        <v>0</v>
      </c>
      <c r="U769" cm="1">
        <f t="array" ref="U769">IF(M769="Control",INDEX(SR!A:A,1+BIN2DEC(MID($B769,28,2))),"")</f>
        <v>0</v>
      </c>
    </row>
    <row r="770" spans="1:30" x14ac:dyDescent="0.25">
      <c r="A770" s="4" t="str">
        <f t="shared" si="72"/>
        <v>300</v>
      </c>
      <c r="B770" s="2" t="s">
        <v>179</v>
      </c>
      <c r="C770" s="2" t="s">
        <v>715</v>
      </c>
      <c r="D770" s="2" t="s">
        <v>936</v>
      </c>
      <c r="E770" s="2" t="s">
        <v>929</v>
      </c>
      <c r="F770" s="27" t="str" cm="1">
        <f t="array" ref="F770">INDEX(Sources!A:A, 1 + BIN2DEC(LEFT($B770,5)))</f>
        <v>UNK1</v>
      </c>
      <c r="G770" s="27" t="str" cm="1">
        <f t="array" ref="G770">INDEX(Dest1!A:A,1+BIN2DEC(MID($B770,6,5)))</f>
        <v>UNK26</v>
      </c>
      <c r="H770" s="27" t="str" cm="1">
        <f t="array" ref="H770">INDEX(Source2!A:A,1+BIN2DEC(MID($B770,11,4)))</f>
        <v>11</v>
      </c>
      <c r="I770" s="23" cm="1">
        <f t="array" ref="I770">INDEX('D2'!A:A,1+BIN2DEC(MID($B770,16,2)))</f>
        <v>0</v>
      </c>
      <c r="J770" s="6">
        <f t="shared" si="73"/>
        <v>0</v>
      </c>
      <c r="K770" s="6">
        <f t="shared" ref="K770:K833" si="76">BIN2DEC(MID($B770,18,1))</f>
        <v>0</v>
      </c>
      <c r="L770" s="6">
        <f t="shared" ref="L770:L833" si="77">BIN2DEC(MID($B770,19,1))</f>
        <v>0</v>
      </c>
      <c r="M770" s="3" t="str" cm="1">
        <f t="array" ref="M770">INDEX(Types!A:A,1+BIN2DEC(MID($B770,20,2)))</f>
        <v>Control</v>
      </c>
      <c r="N770" s="3" t="str" cm="1">
        <f t="array" ref="N770">IF(M770="ALU",INDEX(ALUOps!A:A,1+BIN2DEC(MID($B770,22,5))),"")</f>
        <v/>
      </c>
      <c r="O770" s="3" t="str" cm="1">
        <f t="array" ref="O770">IF(M770="ALU",INDEX(TMP!A:A,1+BIN2DEC(MID($B770,27,2))),"")</f>
        <v/>
      </c>
      <c r="P770" s="6" t="str">
        <f t="shared" ref="P770:P833" si="78">IF(M770="ALU",BIN2DEC(MID($B770,29,1)),"")</f>
        <v/>
      </c>
      <c r="Q770" t="str">
        <f t="shared" si="74"/>
        <v/>
      </c>
      <c r="R770" t="str">
        <f t="shared" si="75"/>
        <v/>
      </c>
      <c r="S770" cm="1">
        <f t="array" ref="S770">IF(M770="Control",INDEX(IC!A:A,1+BIN2DEC(MID($B770,21,4))),"")</f>
        <v>0</v>
      </c>
      <c r="T770" cm="1">
        <f t="array" ref="T770">IF(M770="Control",INDEX(EC!A:A,1+BIN2DEC(MID($B770,25,3))),"")</f>
        <v>6</v>
      </c>
      <c r="U770" cm="1">
        <f t="array" ref="U770">IF(M770="Control",INDEX(SR!A:A,1+BIN2DEC(MID($B770,28,2))),"")</f>
        <v>0</v>
      </c>
      <c r="AD770" s="1" t="s">
        <v>716</v>
      </c>
    </row>
    <row r="771" spans="1:30" x14ac:dyDescent="0.25">
      <c r="A771" s="4" t="str">
        <f t="shared" ref="A771:A834" si="79">DEC2HEX(ROW(A770)-ROW($A$1),3)</f>
        <v>301</v>
      </c>
      <c r="B771" s="2" t="s">
        <v>720</v>
      </c>
      <c r="C771" s="3"/>
      <c r="D771" s="3"/>
      <c r="E771" s="3"/>
      <c r="F771" s="27" t="str" cm="1">
        <f t="array" ref="F771">INDEX(Sources!A:A, 1 + BIN2DEC(LEFT($B771,5)))</f>
        <v>OPR</v>
      </c>
      <c r="G771" s="27" t="str" cm="1">
        <f t="array" ref="G771">INDEX(Dest1!A:A,1+BIN2DEC(MID($B771,6,5)))</f>
        <v>UNK11</v>
      </c>
      <c r="H771" s="27" t="str" cm="1">
        <f t="array" ref="H771">INDEX(Source2!A:A,1+BIN2DEC(MID($B771,11,4)))</f>
        <v>--</v>
      </c>
      <c r="I771" s="23" cm="1">
        <f t="array" ref="I771">INDEX('D2'!A:A,1+BIN2DEC(MID($B771,16,2)))</f>
        <v>0</v>
      </c>
      <c r="J771" s="6">
        <f t="shared" ref="J771:J834" si="80">BIN2DEC(MID($B771,17,1))</f>
        <v>0</v>
      </c>
      <c r="K771" s="6">
        <f t="shared" si="76"/>
        <v>0</v>
      </c>
      <c r="L771" s="6">
        <f t="shared" si="77"/>
        <v>0</v>
      </c>
      <c r="M771" s="3" t="str" cm="1">
        <f t="array" ref="M771">INDEX(Types!A:A,1+BIN2DEC(MID($B771,20,2)))</f>
        <v>ALU</v>
      </c>
      <c r="N771" s="3" cm="1">
        <f t="array" ref="N771">IF(M771="ALU",INDEX(ALUOps!A:A,1+BIN2DEC(MID($B771,22,5))),"")</f>
        <v>31</v>
      </c>
      <c r="O771" s="3" cm="1">
        <f t="array" ref="O771">IF(M771="ALU",INDEX(TMP!A:A,1+BIN2DEC(MID($B771,27,2))),"")</f>
        <v>3</v>
      </c>
      <c r="P771" s="6">
        <f t="shared" si="78"/>
        <v>1</v>
      </c>
      <c r="Q771" t="str">
        <f t="shared" ref="Q771:Q834" si="81">IF(M771="Jump",BIN2DEC(MID($B771,22,4)),"")</f>
        <v/>
      </c>
      <c r="R771" t="str">
        <f t="shared" si="75"/>
        <v/>
      </c>
      <c r="S771" t="str" cm="1">
        <f t="array" ref="S771">IF(M771="Control",INDEX(IC!A:A,1+BIN2DEC(MID($B771,21,4))),"")</f>
        <v/>
      </c>
      <c r="T771" t="str" cm="1">
        <f t="array" ref="T771">IF(M771="Control",INDEX(EC!A:A,1+BIN2DEC(MID($B771,25,3))),"")</f>
        <v/>
      </c>
      <c r="U771" t="str" cm="1">
        <f t="array" ref="U771">IF(M771="Control",INDEX(SR!A:A,1+BIN2DEC(MID($B771,28,2))),"")</f>
        <v/>
      </c>
    </row>
    <row r="772" spans="1:30" x14ac:dyDescent="0.25">
      <c r="A772" s="4" t="str">
        <f t="shared" si="79"/>
        <v>302</v>
      </c>
      <c r="B772" s="2" t="s">
        <v>721</v>
      </c>
      <c r="C772" s="3"/>
      <c r="D772" s="3"/>
      <c r="E772" s="3"/>
      <c r="F772" s="27" t="str" cm="1">
        <f t="array" ref="F772">INDEX(Sources!A:A, 1 + BIN2DEC(LEFT($B772,5)))</f>
        <v>UNK17</v>
      </c>
      <c r="G772" s="27" t="str" cm="1">
        <f t="array" ref="G772">INDEX(Dest1!A:A,1+BIN2DEC(MID($B772,6,5)))</f>
        <v>TMPA</v>
      </c>
      <c r="H772" s="27" t="str" cm="1">
        <f t="array" ref="H772">INDEX(Source2!A:A,1+BIN2DEC(MID($B772,11,4)))</f>
        <v>11</v>
      </c>
      <c r="I772" s="23" t="str" cm="1">
        <f t="array" ref="I772">INDEX('D2'!A:A,1+BIN2DEC(MID($B772,16,2)))</f>
        <v>TMPB</v>
      </c>
      <c r="J772" s="6">
        <f t="shared" si="80"/>
        <v>0</v>
      </c>
      <c r="K772" s="6">
        <f t="shared" si="76"/>
        <v>0</v>
      </c>
      <c r="L772" s="6">
        <f t="shared" si="77"/>
        <v>0</v>
      </c>
      <c r="M772" s="3" t="str" cm="1">
        <f t="array" ref="M772">INDEX(Types!A:A,1+BIN2DEC(MID($B772,20,2)))</f>
        <v>ALU</v>
      </c>
      <c r="N772" s="3" cm="1">
        <f t="array" ref="N772">IF(M772="ALU",INDEX(ALUOps!A:A,1+BIN2DEC(MID($B772,22,5))),"")</f>
        <v>27</v>
      </c>
      <c r="O772" s="3" cm="1">
        <f t="array" ref="O772">IF(M772="ALU",INDEX(TMP!A:A,1+BIN2DEC(MID($B772,27,2))),"")</f>
        <v>3</v>
      </c>
      <c r="P772" s="6">
        <f t="shared" si="78"/>
        <v>1</v>
      </c>
      <c r="Q772" t="str">
        <f t="shared" si="81"/>
        <v/>
      </c>
      <c r="R772" t="str">
        <f t="shared" si="75"/>
        <v/>
      </c>
      <c r="S772" t="str" cm="1">
        <f t="array" ref="S772">IF(M772="Control",INDEX(IC!A:A,1+BIN2DEC(MID($B772,21,4))),"")</f>
        <v/>
      </c>
      <c r="T772" t="str" cm="1">
        <f t="array" ref="T772">IF(M772="Control",INDEX(EC!A:A,1+BIN2DEC(MID($B772,25,3))),"")</f>
        <v/>
      </c>
      <c r="U772" t="str" cm="1">
        <f t="array" ref="U772">IF(M772="Control",INDEX(SR!A:A,1+BIN2DEC(MID($B772,28,2))),"")</f>
        <v/>
      </c>
    </row>
    <row r="773" spans="1:30" x14ac:dyDescent="0.25">
      <c r="A773" s="4" t="str">
        <f t="shared" si="79"/>
        <v>303</v>
      </c>
      <c r="B773" s="2" t="s">
        <v>722</v>
      </c>
      <c r="C773" s="3"/>
      <c r="D773" s="3"/>
      <c r="E773" s="3"/>
      <c r="F773" s="27" t="str" cm="1">
        <f t="array" ref="F773">INDEX(Sources!A:A, 1 + BIN2DEC(LEFT($B773,5)))</f>
        <v>SIGMA</v>
      </c>
      <c r="G773" s="27" t="str" cm="1">
        <f t="array" ref="G773">INDEX(Dest1!A:A,1+BIN2DEC(MID($B773,6,5)))</f>
        <v>LC</v>
      </c>
      <c r="H773" s="27" t="str" cm="1">
        <f t="array" ref="H773">INDEX(Source2!A:A,1+BIN2DEC(MID($B773,11,4)))</f>
        <v>--</v>
      </c>
      <c r="I773" s="23" cm="1">
        <f t="array" ref="I773">INDEX('D2'!A:A,1+BIN2DEC(MID($B773,16,2)))</f>
        <v>0</v>
      </c>
      <c r="J773" s="6">
        <f t="shared" si="80"/>
        <v>0</v>
      </c>
      <c r="K773" s="6">
        <f t="shared" si="76"/>
        <v>0</v>
      </c>
      <c r="L773" s="6">
        <f t="shared" si="77"/>
        <v>0</v>
      </c>
      <c r="M773" s="3" t="str" cm="1">
        <f t="array" ref="M773">INDEX(Types!A:A,1+BIN2DEC(MID($B773,20,2)))</f>
        <v>ALU</v>
      </c>
      <c r="N773" s="3" cm="1">
        <f t="array" ref="N773">IF(M773="ALU",INDEX(ALUOps!A:A,1+BIN2DEC(MID($B773,22,5))),"")</f>
        <v>26</v>
      </c>
      <c r="O773" s="3" cm="1">
        <f t="array" ref="O773">IF(M773="ALU",INDEX(TMP!A:A,1+BIN2DEC(MID($B773,27,2))),"")</f>
        <v>3</v>
      </c>
      <c r="P773" s="6">
        <f t="shared" si="78"/>
        <v>1</v>
      </c>
      <c r="Q773" t="str">
        <f t="shared" si="81"/>
        <v/>
      </c>
      <c r="R773" t="str">
        <f t="shared" si="75"/>
        <v/>
      </c>
      <c r="S773" t="str" cm="1">
        <f t="array" ref="S773">IF(M773="Control",INDEX(IC!A:A,1+BIN2DEC(MID($B773,21,4))),"")</f>
        <v/>
      </c>
      <c r="T773" t="str" cm="1">
        <f t="array" ref="T773">IF(M773="Control",INDEX(EC!A:A,1+BIN2DEC(MID($B773,25,3))),"")</f>
        <v/>
      </c>
      <c r="U773" t="str" cm="1">
        <f t="array" ref="U773">IF(M773="Control",INDEX(SR!A:A,1+BIN2DEC(MID($B773,28,2))),"")</f>
        <v/>
      </c>
    </row>
    <row r="774" spans="1:30" x14ac:dyDescent="0.25">
      <c r="A774" s="4" t="str">
        <f t="shared" si="79"/>
        <v>304</v>
      </c>
      <c r="B774" s="2" t="s">
        <v>723</v>
      </c>
      <c r="C774" s="2" t="s">
        <v>719</v>
      </c>
      <c r="D774" s="2" t="s">
        <v>936</v>
      </c>
      <c r="E774" s="2" t="s">
        <v>488</v>
      </c>
      <c r="F774" s="27" t="str" cm="1">
        <f t="array" ref="F774">INDEX(Sources!A:A, 1 + BIN2DEC(LEFT($B774,5)))</f>
        <v>UNK1</v>
      </c>
      <c r="G774" s="27" t="str" cm="1">
        <f t="array" ref="G774">INDEX(Dest1!A:A,1+BIN2DEC(MID($B774,6,5)))</f>
        <v>TMPA</v>
      </c>
      <c r="H774" s="27" t="str" cm="1">
        <f t="array" ref="H774">INDEX(Source2!A:A,1+BIN2DEC(MID($B774,11,4)))</f>
        <v>11</v>
      </c>
      <c r="I774" s="23" cm="1">
        <f t="array" ref="I774">INDEX('D2'!A:A,1+BIN2DEC(MID($B774,16,2)))</f>
        <v>0</v>
      </c>
      <c r="J774" s="6">
        <f t="shared" si="80"/>
        <v>0</v>
      </c>
      <c r="K774" s="6">
        <f t="shared" si="76"/>
        <v>1</v>
      </c>
      <c r="L774" s="6">
        <f t="shared" si="77"/>
        <v>0</v>
      </c>
      <c r="M774" s="3" t="str" cm="1">
        <f t="array" ref="M774">INDEX(Types!A:A,1+BIN2DEC(MID($B774,20,2)))</f>
        <v>ALU</v>
      </c>
      <c r="N774" s="3" cm="1">
        <f t="array" ref="N774">IF(M774="ALU",INDEX(ALUOps!A:A,1+BIN2DEC(MID($B774,22,5))),"")</f>
        <v>3</v>
      </c>
      <c r="O774" s="3" cm="1">
        <f t="array" ref="O774">IF(M774="ALU",INDEX(TMP!A:A,1+BIN2DEC(MID($B774,27,2))),"")</f>
        <v>2</v>
      </c>
      <c r="P774" s="6">
        <f t="shared" si="78"/>
        <v>1</v>
      </c>
      <c r="Q774" t="str">
        <f t="shared" si="81"/>
        <v/>
      </c>
      <c r="R774" t="str">
        <f t="shared" si="75"/>
        <v/>
      </c>
      <c r="S774" t="str" cm="1">
        <f t="array" ref="S774">IF(M774="Control",INDEX(IC!A:A,1+BIN2DEC(MID($B774,21,4))),"")</f>
        <v/>
      </c>
      <c r="T774" t="str" cm="1">
        <f t="array" ref="T774">IF(M774="Control",INDEX(EC!A:A,1+BIN2DEC(MID($B774,25,3))),"")</f>
        <v/>
      </c>
      <c r="U774" t="str" cm="1">
        <f t="array" ref="U774">IF(M774="Control",INDEX(SR!A:A,1+BIN2DEC(MID($B774,28,2))),"")</f>
        <v/>
      </c>
      <c r="AD774" s="1" t="s">
        <v>716</v>
      </c>
    </row>
    <row r="775" spans="1:30" x14ac:dyDescent="0.25">
      <c r="A775" s="4" t="str">
        <f t="shared" si="79"/>
        <v>305</v>
      </c>
      <c r="B775" s="2" t="s">
        <v>725</v>
      </c>
      <c r="C775" s="3"/>
      <c r="D775" s="3"/>
      <c r="E775" s="3"/>
      <c r="F775" s="27" t="str" cm="1">
        <f t="array" ref="F775">INDEX(Sources!A:A, 1 + BIN2DEC(LEFT($B775,5)))</f>
        <v>OUT</v>
      </c>
      <c r="G775" s="27" t="str" cm="1">
        <f t="array" ref="G775">INDEX(Dest1!A:A,1+BIN2DEC(MID($B775,6,5)))</f>
        <v>UNK17</v>
      </c>
      <c r="H775" s="27" t="str" cm="1">
        <f t="array" ref="H775">INDEX(Source2!A:A,1+BIN2DEC(MID($B775,11,4)))</f>
        <v>--</v>
      </c>
      <c r="I775" s="23" cm="1">
        <f t="array" ref="I775">INDEX('D2'!A:A,1+BIN2DEC(MID($B775,16,2)))</f>
        <v>1</v>
      </c>
      <c r="J775" s="6">
        <f t="shared" si="80"/>
        <v>1</v>
      </c>
      <c r="K775" s="6">
        <f t="shared" si="76"/>
        <v>0</v>
      </c>
      <c r="L775" s="6">
        <f t="shared" si="77"/>
        <v>0</v>
      </c>
      <c r="M775" s="3" t="str" cm="1">
        <f t="array" ref="M775">INDEX(Types!A:A,1+BIN2DEC(MID($B775,20,2)))</f>
        <v>Jump</v>
      </c>
      <c r="N775" s="3" t="str" cm="1">
        <f t="array" ref="N775">IF(M775="ALU",INDEX(ALUOps!A:A,1+BIN2DEC(MID($B775,22,5))),"")</f>
        <v/>
      </c>
      <c r="O775" s="3" t="str" cm="1">
        <f t="array" ref="O775">IF(M775="ALU",INDEX(TMP!A:A,1+BIN2DEC(MID($B775,27,2))),"")</f>
        <v/>
      </c>
      <c r="P775" s="6" t="str">
        <f t="shared" si="78"/>
        <v/>
      </c>
      <c r="Q775">
        <f t="shared" si="81"/>
        <v>13</v>
      </c>
      <c r="R775">
        <f t="shared" ref="R775:R838" si="82">IF(M775="Jump",15-BIN2DEC(MID($B775,26,4)),"")</f>
        <v>11</v>
      </c>
      <c r="S775" t="str" cm="1">
        <f t="array" ref="S775">IF(M775="Control",INDEX(IC!A:A,1+BIN2DEC(MID($B775,21,4))),"")</f>
        <v/>
      </c>
      <c r="T775" t="str" cm="1">
        <f t="array" ref="T775">IF(M775="Control",INDEX(EC!A:A,1+BIN2DEC(MID($B775,25,3))),"")</f>
        <v/>
      </c>
      <c r="U775" t="str" cm="1">
        <f t="array" ref="U775">IF(M775="Control",INDEX(SR!A:A,1+BIN2DEC(MID($B775,28,2))),"")</f>
        <v/>
      </c>
    </row>
    <row r="776" spans="1:30" x14ac:dyDescent="0.25">
      <c r="A776" s="4" t="str">
        <f t="shared" si="79"/>
        <v>306</v>
      </c>
      <c r="B776" s="2" t="s">
        <v>726</v>
      </c>
      <c r="C776" s="3"/>
      <c r="D776" s="3"/>
      <c r="E776" s="3"/>
      <c r="F776" s="27" t="str" cm="1">
        <f t="array" ref="F776">INDEX(Sources!A:A, 1 + BIN2DEC(LEFT($B776,5)))</f>
        <v>--</v>
      </c>
      <c r="G776" s="27" t="str" cm="1">
        <f t="array" ref="G776">INDEX(Dest1!A:A,1+BIN2DEC(MID($B776,6,5)))</f>
        <v>--</v>
      </c>
      <c r="H776" s="27" t="str" cm="1">
        <f t="array" ref="H776">INDEX(Source2!A:A,1+BIN2DEC(MID($B776,11,4)))</f>
        <v>--</v>
      </c>
      <c r="I776" s="23" cm="1">
        <f t="array" ref="I776">INDEX('D2'!A:A,1+BIN2DEC(MID($B776,16,2)))</f>
        <v>0</v>
      </c>
      <c r="J776" s="6">
        <f t="shared" si="80"/>
        <v>0</v>
      </c>
      <c r="K776" s="6">
        <f t="shared" si="76"/>
        <v>0</v>
      </c>
      <c r="L776" s="6">
        <f t="shared" si="77"/>
        <v>0</v>
      </c>
      <c r="M776" s="3" t="str" cm="1">
        <f t="array" ref="M776">INDEX(Types!A:A,1+BIN2DEC(MID($B776,20,2)))</f>
        <v>Jump</v>
      </c>
      <c r="N776" s="3" t="str" cm="1">
        <f t="array" ref="N776">IF(M776="ALU",INDEX(ALUOps!A:A,1+BIN2DEC(MID($B776,22,5))),"")</f>
        <v/>
      </c>
      <c r="O776" s="3" t="str" cm="1">
        <f t="array" ref="O776">IF(M776="ALU",INDEX(TMP!A:A,1+BIN2DEC(MID($B776,27,2))),"")</f>
        <v/>
      </c>
      <c r="P776" s="6" t="str">
        <f t="shared" si="78"/>
        <v/>
      </c>
      <c r="Q776">
        <f t="shared" si="81"/>
        <v>14</v>
      </c>
      <c r="R776">
        <f t="shared" si="82"/>
        <v>14</v>
      </c>
      <c r="S776" t="str" cm="1">
        <f t="array" ref="S776">IF(M776="Control",INDEX(IC!A:A,1+BIN2DEC(MID($B776,21,4))),"")</f>
        <v/>
      </c>
      <c r="T776" t="str" cm="1">
        <f t="array" ref="T776">IF(M776="Control",INDEX(EC!A:A,1+BIN2DEC(MID($B776,25,3))),"")</f>
        <v/>
      </c>
      <c r="U776" t="str" cm="1">
        <f t="array" ref="U776">IF(M776="Control",INDEX(SR!A:A,1+BIN2DEC(MID($B776,28,2))),"")</f>
        <v/>
      </c>
    </row>
    <row r="777" spans="1:30" x14ac:dyDescent="0.25">
      <c r="A777" s="4" t="str">
        <f t="shared" si="79"/>
        <v>307</v>
      </c>
      <c r="B777" s="2" t="s">
        <v>727</v>
      </c>
      <c r="C777" s="3"/>
      <c r="D777" s="3"/>
      <c r="E777" s="3"/>
      <c r="F777" s="27" t="str" cm="1">
        <f t="array" ref="F777">INDEX(Sources!A:A, 1 + BIN2DEC(LEFT($B777,5)))</f>
        <v>SIGMA</v>
      </c>
      <c r="G777" s="27" t="str" cm="1">
        <f t="array" ref="G777">INDEX(Dest1!A:A,1+BIN2DEC(MID($B777,6,5)))</f>
        <v>UNK1</v>
      </c>
      <c r="H777" s="27" t="str" cm="1">
        <f t="array" ref="H777">INDEX(Source2!A:A,1+BIN2DEC(MID($B777,11,4)))</f>
        <v>11</v>
      </c>
      <c r="I777" s="23" t="str" cm="1">
        <f t="array" ref="I777">INDEX('D2'!A:A,1+BIN2DEC(MID($B777,16,2)))</f>
        <v>TMPB</v>
      </c>
      <c r="J777" s="6">
        <f t="shared" si="80"/>
        <v>0</v>
      </c>
      <c r="K777" s="6">
        <f t="shared" si="76"/>
        <v>0</v>
      </c>
      <c r="L777" s="6">
        <f t="shared" si="77"/>
        <v>0</v>
      </c>
      <c r="M777" s="3" t="str" cm="1">
        <f t="array" ref="M777">INDEX(Types!A:A,1+BIN2DEC(MID($B777,20,2)))</f>
        <v>Jump</v>
      </c>
      <c r="N777" s="3" t="str" cm="1">
        <f t="array" ref="N777">IF(M777="ALU",INDEX(ALUOps!A:A,1+BIN2DEC(MID($B777,22,5))),"")</f>
        <v/>
      </c>
      <c r="O777" s="3" t="str" cm="1">
        <f t="array" ref="O777">IF(M777="ALU",INDEX(TMP!A:A,1+BIN2DEC(MID($B777,27,2))),"")</f>
        <v/>
      </c>
      <c r="P777" s="6" t="str">
        <f t="shared" si="78"/>
        <v/>
      </c>
      <c r="Q777">
        <f t="shared" si="81"/>
        <v>13</v>
      </c>
      <c r="R777">
        <f t="shared" si="82"/>
        <v>14</v>
      </c>
      <c r="S777" t="str" cm="1">
        <f t="array" ref="S777">IF(M777="Control",INDEX(IC!A:A,1+BIN2DEC(MID($B777,21,4))),"")</f>
        <v/>
      </c>
      <c r="T777" t="str" cm="1">
        <f t="array" ref="T777">IF(M777="Control",INDEX(EC!A:A,1+BIN2DEC(MID($B777,25,3))),"")</f>
        <v/>
      </c>
      <c r="U777" t="str" cm="1">
        <f t="array" ref="U777">IF(M777="Control",INDEX(SR!A:A,1+BIN2DEC(MID($B777,28,2))),"")</f>
        <v/>
      </c>
    </row>
    <row r="778" spans="1:30" x14ac:dyDescent="0.25">
      <c r="A778" s="4" t="str">
        <f t="shared" si="79"/>
        <v>308</v>
      </c>
      <c r="B778" s="2" t="s">
        <v>728</v>
      </c>
      <c r="C778" s="2" t="s">
        <v>724</v>
      </c>
      <c r="D778" s="2" t="s">
        <v>936</v>
      </c>
      <c r="E778" s="2" t="s">
        <v>933</v>
      </c>
      <c r="F778" s="27" t="str" cm="1">
        <f t="array" ref="F778">INDEX(Sources!A:A, 1 + BIN2DEC(LEFT($B778,5)))</f>
        <v>UNK17</v>
      </c>
      <c r="G778" s="27" t="str" cm="1">
        <f t="array" ref="G778">INDEX(Dest1!A:A,1+BIN2DEC(MID($B778,6,5)))</f>
        <v>TMPB</v>
      </c>
      <c r="H778" s="27" t="str" cm="1">
        <f t="array" ref="H778">INDEX(Source2!A:A,1+BIN2DEC(MID($B778,11,4)))</f>
        <v>--</v>
      </c>
      <c r="I778" s="23" cm="1">
        <f t="array" ref="I778">INDEX('D2'!A:A,1+BIN2DEC(MID($B778,16,2)))</f>
        <v>0</v>
      </c>
      <c r="J778" s="6">
        <f t="shared" si="80"/>
        <v>0</v>
      </c>
      <c r="K778" s="6">
        <f t="shared" si="76"/>
        <v>0</v>
      </c>
      <c r="L778" s="6">
        <f t="shared" si="77"/>
        <v>0</v>
      </c>
      <c r="M778" s="3" t="str" cm="1">
        <f t="array" ref="M778">INDEX(Types!A:A,1+BIN2DEC(MID($B778,20,2)))</f>
        <v>Control</v>
      </c>
      <c r="N778" s="3" t="str" cm="1">
        <f t="array" ref="N778">IF(M778="ALU",INDEX(ALUOps!A:A,1+BIN2DEC(MID($B778,22,5))),"")</f>
        <v/>
      </c>
      <c r="O778" s="3" t="str" cm="1">
        <f t="array" ref="O778">IF(M778="ALU",INDEX(TMP!A:A,1+BIN2DEC(MID($B778,27,2))),"")</f>
        <v/>
      </c>
      <c r="P778" s="6" t="str">
        <f t="shared" si="78"/>
        <v/>
      </c>
      <c r="Q778" t="str">
        <f t="shared" si="81"/>
        <v/>
      </c>
      <c r="R778" t="str">
        <f t="shared" si="82"/>
        <v/>
      </c>
      <c r="S778" cm="1">
        <f t="array" ref="S778">IF(M778="Control",INDEX(IC!A:A,1+BIN2DEC(MID($B778,21,4))),"")</f>
        <v>0</v>
      </c>
      <c r="T778" cm="1">
        <f t="array" ref="T778">IF(M778="Control",INDEX(EC!A:A,1+BIN2DEC(MID($B778,25,3))),"")</f>
        <v>6</v>
      </c>
      <c r="U778" cm="1">
        <f t="array" ref="U778">IF(M778="Control",INDEX(SR!A:A,1+BIN2DEC(MID($B778,28,2))),"")</f>
        <v>0</v>
      </c>
      <c r="AD778" s="1" t="s">
        <v>716</v>
      </c>
    </row>
    <row r="779" spans="1:30" x14ac:dyDescent="0.25">
      <c r="A779" s="4" t="str">
        <f t="shared" si="79"/>
        <v>309</v>
      </c>
      <c r="B779" s="2" t="s">
        <v>486</v>
      </c>
      <c r="C779" s="3"/>
      <c r="D779" s="3"/>
      <c r="E779" s="3"/>
      <c r="F779" s="27" t="str" cm="1">
        <f t="array" ref="F779">INDEX(Sources!A:A, 1 + BIN2DEC(LEFT($B779,5)))</f>
        <v>OUT</v>
      </c>
      <c r="G779" s="27" t="str" cm="1">
        <f t="array" ref="G779">INDEX(Dest1!A:A,1+BIN2DEC(MID($B779,6,5)))</f>
        <v>UNK17</v>
      </c>
      <c r="H779" s="27" t="str" cm="1">
        <f t="array" ref="H779">INDEX(Source2!A:A,1+BIN2DEC(MID($B779,11,4)))</f>
        <v>--</v>
      </c>
      <c r="I779" s="23" cm="1">
        <f t="array" ref="I779">INDEX('D2'!A:A,1+BIN2DEC(MID($B779,16,2)))</f>
        <v>1</v>
      </c>
      <c r="J779" s="6">
        <f t="shared" si="80"/>
        <v>1</v>
      </c>
      <c r="K779" s="6">
        <f t="shared" si="76"/>
        <v>0</v>
      </c>
      <c r="L779" s="6">
        <f t="shared" si="77"/>
        <v>0</v>
      </c>
      <c r="M779" s="3" t="str" cm="1">
        <f t="array" ref="M779">INDEX(Types!A:A,1+BIN2DEC(MID($B779,20,2)))</f>
        <v>Control</v>
      </c>
      <c r="N779" s="3" t="str" cm="1">
        <f t="array" ref="N779">IF(M779="ALU",INDEX(ALUOps!A:A,1+BIN2DEC(MID($B779,22,5))),"")</f>
        <v/>
      </c>
      <c r="O779" s="3" t="str" cm="1">
        <f t="array" ref="O779">IF(M779="ALU",INDEX(TMP!A:A,1+BIN2DEC(MID($B779,27,2))),"")</f>
        <v/>
      </c>
      <c r="P779" s="6" t="str">
        <f t="shared" si="78"/>
        <v/>
      </c>
      <c r="Q779" t="str">
        <f t="shared" si="81"/>
        <v/>
      </c>
      <c r="R779" t="str">
        <f t="shared" si="82"/>
        <v/>
      </c>
      <c r="S779" cm="1">
        <f t="array" ref="S779">IF(M779="Control",INDEX(IC!A:A,1+BIN2DEC(MID($B779,21,4))),"")</f>
        <v>0</v>
      </c>
      <c r="T779" cm="1">
        <f t="array" ref="T779">IF(M779="Control",INDEX(EC!A:A,1+BIN2DEC(MID($B779,25,3))),"")</f>
        <v>0</v>
      </c>
      <c r="U779" cm="1">
        <f t="array" ref="U779">IF(M779="Control",INDEX(SR!A:A,1+BIN2DEC(MID($B779,28,2))),"")</f>
        <v>0</v>
      </c>
    </row>
    <row r="780" spans="1:30" x14ac:dyDescent="0.25">
      <c r="A780" s="4" t="str">
        <f t="shared" si="79"/>
        <v>30A</v>
      </c>
      <c r="B780" s="2" t="s">
        <v>730</v>
      </c>
      <c r="C780" s="3"/>
      <c r="D780" s="3"/>
      <c r="E780" s="3"/>
      <c r="F780" s="27" t="str" cm="1">
        <f t="array" ref="F780">INDEX(Sources!A:A, 1 + BIN2DEC(LEFT($B780,5)))</f>
        <v>LC</v>
      </c>
      <c r="G780" s="27" t="str" cm="1">
        <f t="array" ref="G780">INDEX(Dest1!A:A,1+BIN2DEC(MID($B780,6,5)))</f>
        <v>TMPA</v>
      </c>
      <c r="H780" s="27" t="str" cm="1">
        <f t="array" ref="H780">INDEX(Source2!A:A,1+BIN2DEC(MID($B780,11,4)))</f>
        <v>--</v>
      </c>
      <c r="I780" s="23" cm="1">
        <f t="array" ref="I780">INDEX('D2'!A:A,1+BIN2DEC(MID($B780,16,2)))</f>
        <v>0</v>
      </c>
      <c r="J780" s="6">
        <f t="shared" si="80"/>
        <v>0</v>
      </c>
      <c r="K780" s="6">
        <f t="shared" si="76"/>
        <v>0</v>
      </c>
      <c r="L780" s="6">
        <f t="shared" si="77"/>
        <v>0</v>
      </c>
      <c r="M780" s="3" t="str" cm="1">
        <f t="array" ref="M780">INDEX(Types!A:A,1+BIN2DEC(MID($B780,20,2)))</f>
        <v>ALU</v>
      </c>
      <c r="N780" s="3" cm="1">
        <f t="array" ref="N780">IF(M780="ALU",INDEX(ALUOps!A:A,1+BIN2DEC(MID($B780,22,5))),"")</f>
        <v>7</v>
      </c>
      <c r="O780" s="3" cm="1">
        <f t="array" ref="O780">IF(M780="ALU",INDEX(TMP!A:A,1+BIN2DEC(MID($B780,27,2))),"")</f>
        <v>2</v>
      </c>
      <c r="P780" s="6">
        <f t="shared" si="78"/>
        <v>1</v>
      </c>
      <c r="Q780" t="str">
        <f t="shared" si="81"/>
        <v/>
      </c>
      <c r="R780" t="str">
        <f t="shared" si="82"/>
        <v/>
      </c>
      <c r="S780" t="str" cm="1">
        <f t="array" ref="S780">IF(M780="Control",INDEX(IC!A:A,1+BIN2DEC(MID($B780,21,4))),"")</f>
        <v/>
      </c>
      <c r="T780" t="str" cm="1">
        <f t="array" ref="T780">IF(M780="Control",INDEX(EC!A:A,1+BIN2DEC(MID($B780,25,3))),"")</f>
        <v/>
      </c>
      <c r="U780" t="str" cm="1">
        <f t="array" ref="U780">IF(M780="Control",INDEX(SR!A:A,1+BIN2DEC(MID($B780,28,2))),"")</f>
        <v/>
      </c>
    </row>
    <row r="781" spans="1:30" x14ac:dyDescent="0.25">
      <c r="A781" s="4" t="str">
        <f t="shared" si="79"/>
        <v>30B</v>
      </c>
      <c r="B781" s="2" t="s">
        <v>731</v>
      </c>
      <c r="C781" s="3"/>
      <c r="D781" s="3"/>
      <c r="E781" s="3"/>
      <c r="F781" s="27" t="str" cm="1">
        <f t="array" ref="F781">INDEX(Sources!A:A, 1 + BIN2DEC(LEFT($B781,5)))</f>
        <v>SIGMA</v>
      </c>
      <c r="G781" s="27" t="str" cm="1">
        <f t="array" ref="G781">INDEX(Dest1!A:A,1+BIN2DEC(MID($B781,6,5)))</f>
        <v>LC</v>
      </c>
      <c r="H781" s="27" t="str" cm="1">
        <f t="array" ref="H781">INDEX(Source2!A:A,1+BIN2DEC(MID($B781,11,4)))</f>
        <v>11</v>
      </c>
      <c r="I781" s="23" cm="1">
        <f t="array" ref="I781">INDEX('D2'!A:A,1+BIN2DEC(MID($B781,16,2)))</f>
        <v>0</v>
      </c>
      <c r="J781" s="6">
        <f t="shared" si="80"/>
        <v>0</v>
      </c>
      <c r="K781" s="6">
        <f t="shared" si="76"/>
        <v>0</v>
      </c>
      <c r="L781" s="6">
        <f t="shared" si="77"/>
        <v>0</v>
      </c>
      <c r="M781" s="3" t="str" cm="1">
        <f t="array" ref="M781">INDEX(Types!A:A,1+BIN2DEC(MID($B781,20,2)))</f>
        <v>ALU</v>
      </c>
      <c r="N781" s="3" cm="1">
        <f t="array" ref="N781">IF(M781="ALU",INDEX(ALUOps!A:A,1+BIN2DEC(MID($B781,22,5))),"")</f>
        <v>10</v>
      </c>
      <c r="O781" s="3" cm="1">
        <f t="array" ref="O781">IF(M781="ALU",INDEX(TMP!A:A,1+BIN2DEC(MID($B781,27,2))),"")</f>
        <v>2</v>
      </c>
      <c r="P781" s="6">
        <f t="shared" si="78"/>
        <v>1</v>
      </c>
      <c r="Q781" t="str">
        <f t="shared" si="81"/>
        <v/>
      </c>
      <c r="R781" t="str">
        <f t="shared" si="82"/>
        <v/>
      </c>
      <c r="S781" t="str" cm="1">
        <f t="array" ref="S781">IF(M781="Control",INDEX(IC!A:A,1+BIN2DEC(MID($B781,21,4))),"")</f>
        <v/>
      </c>
      <c r="T781" t="str" cm="1">
        <f t="array" ref="T781">IF(M781="Control",INDEX(EC!A:A,1+BIN2DEC(MID($B781,25,3))),"")</f>
        <v/>
      </c>
      <c r="U781" t="str" cm="1">
        <f t="array" ref="U781">IF(M781="Control",INDEX(SR!A:A,1+BIN2DEC(MID($B781,28,2))),"")</f>
        <v/>
      </c>
    </row>
    <row r="782" spans="1:30" x14ac:dyDescent="0.25">
      <c r="A782" s="4" t="str">
        <f t="shared" si="79"/>
        <v>30C</v>
      </c>
      <c r="B782" s="2" t="s">
        <v>732</v>
      </c>
      <c r="C782" s="2" t="s">
        <v>729</v>
      </c>
      <c r="D782" s="2" t="s">
        <v>936</v>
      </c>
      <c r="E782" s="2" t="s">
        <v>462</v>
      </c>
      <c r="F782" s="27" t="str" cm="1">
        <f t="array" ref="F782">INDEX(Sources!A:A, 1 + BIN2DEC(LEFT($B782,5)))</f>
        <v>SIGMA</v>
      </c>
      <c r="G782" s="27" t="str" cm="1">
        <f t="array" ref="G782">INDEX(Dest1!A:A,1+BIN2DEC(MID($B782,6,5)))</f>
        <v>UNK24</v>
      </c>
      <c r="H782" s="27" t="str" cm="1">
        <f t="array" ref="H782">INDEX(Source2!A:A,1+BIN2DEC(MID($B782,11,4)))</f>
        <v>--</v>
      </c>
      <c r="I782" s="23" cm="1">
        <f t="array" ref="I782">INDEX('D2'!A:A,1+BIN2DEC(MID($B782,16,2)))</f>
        <v>0</v>
      </c>
      <c r="J782" s="6">
        <f t="shared" si="80"/>
        <v>0</v>
      </c>
      <c r="K782" s="6">
        <f t="shared" si="76"/>
        <v>0</v>
      </c>
      <c r="L782" s="6">
        <f t="shared" si="77"/>
        <v>0</v>
      </c>
      <c r="M782" s="3" t="str" cm="1">
        <f t="array" ref="M782">INDEX(Types!A:A,1+BIN2DEC(MID($B782,20,2)))</f>
        <v>ALU</v>
      </c>
      <c r="N782" s="3" cm="1">
        <f t="array" ref="N782">IF(M782="ALU",INDEX(ALUOps!A:A,1+BIN2DEC(MID($B782,22,5))),"")</f>
        <v>0</v>
      </c>
      <c r="O782" s="3" cm="1">
        <f t="array" ref="O782">IF(M782="ALU",INDEX(TMP!A:A,1+BIN2DEC(MID($B782,27,2))),"")</f>
        <v>1</v>
      </c>
      <c r="P782" s="6">
        <f t="shared" si="78"/>
        <v>1</v>
      </c>
      <c r="Q782" t="str">
        <f t="shared" si="81"/>
        <v/>
      </c>
      <c r="R782" t="str">
        <f t="shared" si="82"/>
        <v/>
      </c>
      <c r="S782" t="str" cm="1">
        <f t="array" ref="S782">IF(M782="Control",INDEX(IC!A:A,1+BIN2DEC(MID($B782,21,4))),"")</f>
        <v/>
      </c>
      <c r="T782" t="str" cm="1">
        <f t="array" ref="T782">IF(M782="Control",INDEX(EC!A:A,1+BIN2DEC(MID($B782,25,3))),"")</f>
        <v/>
      </c>
      <c r="U782" t="str" cm="1">
        <f t="array" ref="U782">IF(M782="Control",INDEX(SR!A:A,1+BIN2DEC(MID($B782,28,2))),"")</f>
        <v/>
      </c>
      <c r="AD782" s="1" t="s">
        <v>498</v>
      </c>
    </row>
    <row r="783" spans="1:30" x14ac:dyDescent="0.25">
      <c r="A783" s="4" t="str">
        <f t="shared" si="79"/>
        <v>30D</v>
      </c>
      <c r="B783" s="2" t="s">
        <v>734</v>
      </c>
      <c r="C783" s="3"/>
      <c r="D783" s="3"/>
      <c r="E783" s="3"/>
      <c r="F783" s="27" t="str" cm="1">
        <f t="array" ref="F783">INDEX(Sources!A:A, 1 + BIN2DEC(LEFT($B783,5)))</f>
        <v>TMPA</v>
      </c>
      <c r="G783" s="27" t="str" cm="1">
        <f t="array" ref="G783">INDEX(Dest1!A:A,1+BIN2DEC(MID($B783,6,5)))</f>
        <v>OPR</v>
      </c>
      <c r="H783" s="27" t="str" cm="1">
        <f t="array" ref="H783">INDEX(Source2!A:A,1+BIN2DEC(MID($B783,11,4)))</f>
        <v>11</v>
      </c>
      <c r="I783" s="23" cm="1">
        <f t="array" ref="I783">INDEX('D2'!A:A,1+BIN2DEC(MID($B783,16,2)))</f>
        <v>0</v>
      </c>
      <c r="J783" s="6">
        <f t="shared" si="80"/>
        <v>0</v>
      </c>
      <c r="K783" s="6">
        <f t="shared" si="76"/>
        <v>0</v>
      </c>
      <c r="L783" s="6">
        <f t="shared" si="77"/>
        <v>0</v>
      </c>
      <c r="M783" s="3" t="str" cm="1">
        <f t="array" ref="M783">INDEX(Types!A:A,1+BIN2DEC(MID($B783,20,2)))</f>
        <v>Control</v>
      </c>
      <c r="N783" s="3" t="str" cm="1">
        <f t="array" ref="N783">IF(M783="ALU",INDEX(ALUOps!A:A,1+BIN2DEC(MID($B783,22,5))),"")</f>
        <v/>
      </c>
      <c r="O783" s="3" t="str" cm="1">
        <f t="array" ref="O783">IF(M783="ALU",INDEX(TMP!A:A,1+BIN2DEC(MID($B783,27,2))),"")</f>
        <v/>
      </c>
      <c r="P783" s="6" t="str">
        <f t="shared" si="78"/>
        <v/>
      </c>
      <c r="Q783" t="str">
        <f t="shared" si="81"/>
        <v/>
      </c>
      <c r="R783" t="str">
        <f t="shared" si="82"/>
        <v/>
      </c>
      <c r="S783" cm="1">
        <f t="array" ref="S783">IF(M783="Control",INDEX(IC!A:A,1+BIN2DEC(MID($B783,21,4))),"")</f>
        <v>0</v>
      </c>
      <c r="T783" cm="1">
        <f t="array" ref="T783">IF(M783="Control",INDEX(EC!A:A,1+BIN2DEC(MID($B783,25,3))),"")</f>
        <v>0</v>
      </c>
      <c r="U783" cm="1">
        <f t="array" ref="U783">IF(M783="Control",INDEX(SR!A:A,1+BIN2DEC(MID($B783,28,2))),"")</f>
        <v>0</v>
      </c>
    </row>
    <row r="784" spans="1:30" x14ac:dyDescent="0.25">
      <c r="A784" s="4" t="str">
        <f t="shared" si="79"/>
        <v>30E</v>
      </c>
      <c r="B784" s="2" t="s">
        <v>735</v>
      </c>
      <c r="C784" s="3"/>
      <c r="D784" s="3"/>
      <c r="E784" s="3"/>
      <c r="F784" s="27" t="str" cm="1">
        <f t="array" ref="F784">INDEX(Sources!A:A, 1 + BIN2DEC(LEFT($B784,5)))</f>
        <v>UNK22</v>
      </c>
      <c r="G784" s="27" t="str" cm="1">
        <f t="array" ref="G784">INDEX(Dest1!A:A,1+BIN2DEC(MID($B784,6,5)))</f>
        <v>UNK17</v>
      </c>
      <c r="H784" s="27" t="str" cm="1">
        <f t="array" ref="H784">INDEX(Source2!A:A,1+BIN2DEC(MID($B784,11,4)))</f>
        <v>--</v>
      </c>
      <c r="I784" s="23" cm="1">
        <f t="array" ref="I784">INDEX('D2'!A:A,1+BIN2DEC(MID($B784,16,2)))</f>
        <v>0</v>
      </c>
      <c r="J784" s="6">
        <f t="shared" si="80"/>
        <v>0</v>
      </c>
      <c r="K784" s="6">
        <f t="shared" si="76"/>
        <v>0</v>
      </c>
      <c r="L784" s="6">
        <f t="shared" si="77"/>
        <v>0</v>
      </c>
      <c r="M784" s="3" t="str" cm="1">
        <f t="array" ref="M784">INDEX(Types!A:A,1+BIN2DEC(MID($B784,20,2)))</f>
        <v>ALU</v>
      </c>
      <c r="N784" s="3" cm="1">
        <f t="array" ref="N784">IF(M784="ALU",INDEX(ALUOps!A:A,1+BIN2DEC(MID($B784,22,5))),"")</f>
        <v>0</v>
      </c>
      <c r="O784" s="3" cm="1">
        <f t="array" ref="O784">IF(M784="ALU",INDEX(TMP!A:A,1+BIN2DEC(MID($B784,27,2))),"")</f>
        <v>2</v>
      </c>
      <c r="P784" s="6">
        <f t="shared" si="78"/>
        <v>1</v>
      </c>
      <c r="Q784" t="str">
        <f t="shared" si="81"/>
        <v/>
      </c>
      <c r="R784" t="str">
        <f t="shared" si="82"/>
        <v/>
      </c>
      <c r="S784" t="str" cm="1">
        <f t="array" ref="S784">IF(M784="Control",INDEX(IC!A:A,1+BIN2DEC(MID($B784,21,4))),"")</f>
        <v/>
      </c>
      <c r="T784" t="str" cm="1">
        <f t="array" ref="T784">IF(M784="Control",INDEX(EC!A:A,1+BIN2DEC(MID($B784,25,3))),"")</f>
        <v/>
      </c>
      <c r="U784" t="str" cm="1">
        <f t="array" ref="U784">IF(M784="Control",INDEX(SR!A:A,1+BIN2DEC(MID($B784,28,2))),"")</f>
        <v/>
      </c>
    </row>
    <row r="785" spans="1:30" x14ac:dyDescent="0.25">
      <c r="A785" s="4" t="str">
        <f t="shared" si="79"/>
        <v>30F</v>
      </c>
      <c r="B785" s="2" t="s">
        <v>369</v>
      </c>
      <c r="C785" s="3"/>
      <c r="D785" s="3"/>
      <c r="E785" s="3"/>
      <c r="F785" s="27" t="str" cm="1">
        <f t="array" ref="F785">INDEX(Sources!A:A, 1 + BIN2DEC(LEFT($B785,5)))</f>
        <v>SIGMA</v>
      </c>
      <c r="G785" s="27" t="str" cm="1">
        <f t="array" ref="G785">INDEX(Dest1!A:A,1+BIN2DEC(MID($B785,6,5)))</f>
        <v>TMPA</v>
      </c>
      <c r="H785" s="27" t="str" cm="1">
        <f t="array" ref="H785">INDEX(Source2!A:A,1+BIN2DEC(MID($B785,11,4)))</f>
        <v>--</v>
      </c>
      <c r="I785" s="23" cm="1">
        <f t="array" ref="I785">INDEX('D2'!A:A,1+BIN2DEC(MID($B785,16,2)))</f>
        <v>0</v>
      </c>
      <c r="J785" s="6">
        <f t="shared" si="80"/>
        <v>0</v>
      </c>
      <c r="K785" s="6">
        <f t="shared" si="76"/>
        <v>0</v>
      </c>
      <c r="L785" s="6">
        <f t="shared" si="77"/>
        <v>0</v>
      </c>
      <c r="M785" s="3" t="str" cm="1">
        <f t="array" ref="M785">INDEX(Types!A:A,1+BIN2DEC(MID($B785,20,2)))</f>
        <v>ALU</v>
      </c>
      <c r="N785" s="3" cm="1">
        <f t="array" ref="N785">IF(M785="ALU",INDEX(ALUOps!A:A,1+BIN2DEC(MID($B785,22,5))),"")</f>
        <v>12</v>
      </c>
      <c r="O785" s="3" cm="1">
        <f t="array" ref="O785">IF(M785="ALU",INDEX(TMP!A:A,1+BIN2DEC(MID($B785,27,2))),"")</f>
        <v>1</v>
      </c>
      <c r="P785" s="6">
        <f t="shared" si="78"/>
        <v>0</v>
      </c>
      <c r="Q785" t="str">
        <f t="shared" si="81"/>
        <v/>
      </c>
      <c r="R785" t="str">
        <f t="shared" si="82"/>
        <v/>
      </c>
      <c r="S785" t="str" cm="1">
        <f t="array" ref="S785">IF(M785="Control",INDEX(IC!A:A,1+BIN2DEC(MID($B785,21,4))),"")</f>
        <v/>
      </c>
      <c r="T785" t="str" cm="1">
        <f t="array" ref="T785">IF(M785="Control",INDEX(EC!A:A,1+BIN2DEC(MID($B785,25,3))),"")</f>
        <v/>
      </c>
      <c r="U785" t="str" cm="1">
        <f t="array" ref="U785">IF(M785="Control",INDEX(SR!A:A,1+BIN2DEC(MID($B785,28,2))),"")</f>
        <v/>
      </c>
    </row>
    <row r="786" spans="1:30" x14ac:dyDescent="0.25">
      <c r="A786" s="4" t="str">
        <f t="shared" si="79"/>
        <v>310</v>
      </c>
      <c r="B786" s="2" t="s">
        <v>736</v>
      </c>
      <c r="C786" s="2" t="s">
        <v>733</v>
      </c>
      <c r="D786" s="2" t="s">
        <v>936</v>
      </c>
      <c r="E786" s="2" t="s">
        <v>929</v>
      </c>
      <c r="F786" s="27" t="str" cm="1">
        <f t="array" ref="F786">INDEX(Sources!A:A, 1 + BIN2DEC(LEFT($B786,5)))</f>
        <v>A</v>
      </c>
      <c r="G786" s="27" t="str" cm="1">
        <f t="array" ref="G786">INDEX(Dest1!A:A,1+BIN2DEC(MID($B786,6,5)))</f>
        <v>TMPA</v>
      </c>
      <c r="H786" s="27" t="str" cm="1">
        <f t="array" ref="H786">INDEX(Source2!A:A,1+BIN2DEC(MID($B786,11,4)))</f>
        <v>--</v>
      </c>
      <c r="I786" s="23" cm="1">
        <f t="array" ref="I786">INDEX('D2'!A:A,1+BIN2DEC(MID($B786,16,2)))</f>
        <v>0</v>
      </c>
      <c r="J786" s="6">
        <f t="shared" si="80"/>
        <v>0</v>
      </c>
      <c r="K786" s="6">
        <f t="shared" si="76"/>
        <v>0</v>
      </c>
      <c r="L786" s="6">
        <f t="shared" si="77"/>
        <v>0</v>
      </c>
      <c r="M786" s="3" t="str" cm="1">
        <f t="array" ref="M786">INDEX(Types!A:A,1+BIN2DEC(MID($B786,20,2)))</f>
        <v>ALU</v>
      </c>
      <c r="N786" s="3" cm="1">
        <f t="array" ref="N786">IF(M786="ALU",INDEX(ALUOps!A:A,1+BIN2DEC(MID($B786,22,5))),"")</f>
        <v>0</v>
      </c>
      <c r="O786" s="3" cm="1">
        <f t="array" ref="O786">IF(M786="ALU",INDEX(TMP!A:A,1+BIN2DEC(MID($B786,27,2))),"")</f>
        <v>2</v>
      </c>
      <c r="P786" s="6">
        <f t="shared" si="78"/>
        <v>1</v>
      </c>
      <c r="Q786" t="str">
        <f t="shared" si="81"/>
        <v/>
      </c>
      <c r="R786" t="str">
        <f t="shared" si="82"/>
        <v/>
      </c>
      <c r="S786" t="str" cm="1">
        <f t="array" ref="S786">IF(M786="Control",INDEX(IC!A:A,1+BIN2DEC(MID($B786,21,4))),"")</f>
        <v/>
      </c>
      <c r="T786" t="str" cm="1">
        <f t="array" ref="T786">IF(M786="Control",INDEX(EC!A:A,1+BIN2DEC(MID($B786,25,3))),"")</f>
        <v/>
      </c>
      <c r="U786" t="str" cm="1">
        <f t="array" ref="U786">IF(M786="Control",INDEX(SR!A:A,1+BIN2DEC(MID($B786,28,2))),"")</f>
        <v/>
      </c>
      <c r="AD786" s="1" t="s">
        <v>498</v>
      </c>
    </row>
    <row r="787" spans="1:30" x14ac:dyDescent="0.25">
      <c r="A787" s="4" t="str">
        <f t="shared" si="79"/>
        <v>311</v>
      </c>
      <c r="B787" s="2" t="s">
        <v>739</v>
      </c>
      <c r="C787" s="3"/>
      <c r="D787" s="3"/>
      <c r="E787" s="3"/>
      <c r="F787" s="27" t="str" cm="1">
        <f t="array" ref="F787">INDEX(Sources!A:A, 1 + BIN2DEC(LEFT($B787,5)))</f>
        <v>SIGMA</v>
      </c>
      <c r="G787" s="27" t="str" cm="1">
        <f t="array" ref="G787">INDEX(Dest1!A:A,1+BIN2DEC(MID($B787,6,5)))</f>
        <v>LC</v>
      </c>
      <c r="H787" s="27" t="str" cm="1">
        <f t="array" ref="H787">INDEX(Source2!A:A,1+BIN2DEC(MID($B787,11,4)))</f>
        <v>--</v>
      </c>
      <c r="I787" s="23" cm="1">
        <f t="array" ref="I787">INDEX('D2'!A:A,1+BIN2DEC(MID($B787,16,2)))</f>
        <v>0</v>
      </c>
      <c r="J787" s="6">
        <f t="shared" si="80"/>
        <v>0</v>
      </c>
      <c r="K787" s="6">
        <f t="shared" si="76"/>
        <v>0</v>
      </c>
      <c r="L787" s="6">
        <f t="shared" si="77"/>
        <v>0</v>
      </c>
      <c r="M787" s="3" t="str" cm="1">
        <f t="array" ref="M787">INDEX(Types!A:A,1+BIN2DEC(MID($B787,20,2)))</f>
        <v>Control</v>
      </c>
      <c r="N787" s="3" t="str" cm="1">
        <f t="array" ref="N787">IF(M787="ALU",INDEX(ALUOps!A:A,1+BIN2DEC(MID($B787,22,5))),"")</f>
        <v/>
      </c>
      <c r="O787" s="3" t="str" cm="1">
        <f t="array" ref="O787">IF(M787="ALU",INDEX(TMP!A:A,1+BIN2DEC(MID($B787,27,2))),"")</f>
        <v/>
      </c>
      <c r="P787" s="6" t="str">
        <f t="shared" si="78"/>
        <v/>
      </c>
      <c r="Q787" t="str">
        <f t="shared" si="81"/>
        <v/>
      </c>
      <c r="R787" t="str">
        <f t="shared" si="82"/>
        <v/>
      </c>
      <c r="S787" cm="1">
        <f t="array" ref="S787">IF(M787="Control",INDEX(IC!A:A,1+BIN2DEC(MID($B787,21,4))),"")</f>
        <v>0</v>
      </c>
      <c r="T787" cm="1">
        <f t="array" ref="T787">IF(M787="Control",INDEX(EC!A:A,1+BIN2DEC(MID($B787,25,3))),"")</f>
        <v>0</v>
      </c>
      <c r="U787" cm="1">
        <f t="array" ref="U787">IF(M787="Control",INDEX(SR!A:A,1+BIN2DEC(MID($B787,28,2))),"")</f>
        <v>0</v>
      </c>
    </row>
    <row r="788" spans="1:30" x14ac:dyDescent="0.25">
      <c r="A788" s="4" t="str">
        <f t="shared" si="79"/>
        <v>312</v>
      </c>
      <c r="B788" s="2" t="s">
        <v>740</v>
      </c>
      <c r="C788" s="3"/>
      <c r="D788" s="3"/>
      <c r="E788" s="3"/>
      <c r="F788" s="27" t="str" cm="1">
        <f t="array" ref="F788">INDEX(Sources!A:A, 1 + BIN2DEC(LEFT($B788,5)))</f>
        <v>UNK22</v>
      </c>
      <c r="G788" s="27" t="str" cm="1">
        <f t="array" ref="G788">INDEX(Dest1!A:A,1+BIN2DEC(MID($B788,6,5)))</f>
        <v>TMPA</v>
      </c>
      <c r="H788" s="27" t="str" cm="1">
        <f t="array" ref="H788">INDEX(Source2!A:A,1+BIN2DEC(MID($B788,11,4)))</f>
        <v>--</v>
      </c>
      <c r="I788" s="23" cm="1">
        <f t="array" ref="I788">INDEX('D2'!A:A,1+BIN2DEC(MID($B788,16,2)))</f>
        <v>0</v>
      </c>
      <c r="J788" s="6">
        <f t="shared" si="80"/>
        <v>0</v>
      </c>
      <c r="K788" s="6">
        <f t="shared" si="76"/>
        <v>0</v>
      </c>
      <c r="L788" s="6">
        <f t="shared" si="77"/>
        <v>0</v>
      </c>
      <c r="M788" s="3" t="str" cm="1">
        <f t="array" ref="M788">INDEX(Types!A:A,1+BIN2DEC(MID($B788,20,2)))</f>
        <v>Jump</v>
      </c>
      <c r="N788" s="3" t="str" cm="1">
        <f t="array" ref="N788">IF(M788="ALU",INDEX(ALUOps!A:A,1+BIN2DEC(MID($B788,22,5))),"")</f>
        <v/>
      </c>
      <c r="O788" s="3" t="str" cm="1">
        <f t="array" ref="O788">IF(M788="ALU",INDEX(TMP!A:A,1+BIN2DEC(MID($B788,27,2))),"")</f>
        <v/>
      </c>
      <c r="P788" s="6" t="str">
        <f t="shared" si="78"/>
        <v/>
      </c>
      <c r="Q788">
        <f t="shared" si="81"/>
        <v>13</v>
      </c>
      <c r="R788">
        <f t="shared" si="82"/>
        <v>8</v>
      </c>
      <c r="S788" t="str" cm="1">
        <f t="array" ref="S788">IF(M788="Control",INDEX(IC!A:A,1+BIN2DEC(MID($B788,21,4))),"")</f>
        <v/>
      </c>
      <c r="T788" t="str" cm="1">
        <f t="array" ref="T788">IF(M788="Control",INDEX(EC!A:A,1+BIN2DEC(MID($B788,25,3))),"")</f>
        <v/>
      </c>
      <c r="U788" t="str" cm="1">
        <f t="array" ref="U788">IF(M788="Control",INDEX(SR!A:A,1+BIN2DEC(MID($B788,28,2))),"")</f>
        <v/>
      </c>
    </row>
    <row r="789" spans="1:30" x14ac:dyDescent="0.25">
      <c r="A789" s="4" t="str">
        <f t="shared" si="79"/>
        <v>313</v>
      </c>
      <c r="B789" s="2" t="s">
        <v>369</v>
      </c>
      <c r="C789" s="3"/>
      <c r="D789" s="3"/>
      <c r="E789" s="3"/>
      <c r="F789" s="27" t="str" cm="1">
        <f t="array" ref="F789">INDEX(Sources!A:A, 1 + BIN2DEC(LEFT($B789,5)))</f>
        <v>SIGMA</v>
      </c>
      <c r="G789" s="27" t="str" cm="1">
        <f t="array" ref="G789">INDEX(Dest1!A:A,1+BIN2DEC(MID($B789,6,5)))</f>
        <v>TMPA</v>
      </c>
      <c r="H789" s="27" t="str" cm="1">
        <f t="array" ref="H789">INDEX(Source2!A:A,1+BIN2DEC(MID($B789,11,4)))</f>
        <v>--</v>
      </c>
      <c r="I789" s="23" cm="1">
        <f t="array" ref="I789">INDEX('D2'!A:A,1+BIN2DEC(MID($B789,16,2)))</f>
        <v>0</v>
      </c>
      <c r="J789" s="6">
        <f t="shared" si="80"/>
        <v>0</v>
      </c>
      <c r="K789" s="6">
        <f t="shared" si="76"/>
        <v>0</v>
      </c>
      <c r="L789" s="6">
        <f t="shared" si="77"/>
        <v>0</v>
      </c>
      <c r="M789" s="3" t="str" cm="1">
        <f t="array" ref="M789">INDEX(Types!A:A,1+BIN2DEC(MID($B789,20,2)))</f>
        <v>ALU</v>
      </c>
      <c r="N789" s="3" cm="1">
        <f t="array" ref="N789">IF(M789="ALU",INDEX(ALUOps!A:A,1+BIN2DEC(MID($B789,22,5))),"")</f>
        <v>12</v>
      </c>
      <c r="O789" s="3" cm="1">
        <f t="array" ref="O789">IF(M789="ALU",INDEX(TMP!A:A,1+BIN2DEC(MID($B789,27,2))),"")</f>
        <v>1</v>
      </c>
      <c r="P789" s="6">
        <f t="shared" si="78"/>
        <v>0</v>
      </c>
      <c r="Q789" t="str">
        <f t="shared" si="81"/>
        <v/>
      </c>
      <c r="R789" t="str">
        <f t="shared" si="82"/>
        <v/>
      </c>
      <c r="S789" t="str" cm="1">
        <f t="array" ref="S789">IF(M789="Control",INDEX(IC!A:A,1+BIN2DEC(MID($B789,21,4))),"")</f>
        <v/>
      </c>
      <c r="T789" t="str" cm="1">
        <f t="array" ref="T789">IF(M789="Control",INDEX(EC!A:A,1+BIN2DEC(MID($B789,25,3))),"")</f>
        <v/>
      </c>
      <c r="U789" t="str" cm="1">
        <f t="array" ref="U789">IF(M789="Control",INDEX(SR!A:A,1+BIN2DEC(MID($B789,28,2))),"")</f>
        <v/>
      </c>
    </row>
    <row r="790" spans="1:30" x14ac:dyDescent="0.25">
      <c r="A790" s="4" t="str">
        <f t="shared" si="79"/>
        <v>314</v>
      </c>
      <c r="B790" s="2" t="s">
        <v>714</v>
      </c>
      <c r="C790" s="2" t="s">
        <v>737</v>
      </c>
      <c r="D790" s="2" t="s">
        <v>936</v>
      </c>
      <c r="E790" s="2" t="s">
        <v>462</v>
      </c>
      <c r="F790" s="27" t="str" cm="1">
        <f t="array" ref="F790">INDEX(Sources!A:A, 1 + BIN2DEC(LEFT($B790,5)))</f>
        <v>REG</v>
      </c>
      <c r="G790" s="27" t="str" cm="1">
        <f t="array" ref="G790">INDEX(Dest1!A:A,1+BIN2DEC(MID($B790,6,5)))</f>
        <v>UNK17</v>
      </c>
      <c r="H790" s="27" t="str" cm="1">
        <f t="array" ref="H790">INDEX(Source2!A:A,1+BIN2DEC(MID($B790,11,4)))</f>
        <v>12</v>
      </c>
      <c r="I790" s="23" cm="1">
        <f t="array" ref="I790">INDEX('D2'!A:A,1+BIN2DEC(MID($B790,16,2)))</f>
        <v>0</v>
      </c>
      <c r="J790" s="6">
        <f t="shared" si="80"/>
        <v>0</v>
      </c>
      <c r="K790" s="6">
        <f t="shared" si="76"/>
        <v>0</v>
      </c>
      <c r="L790" s="6">
        <f t="shared" si="77"/>
        <v>0</v>
      </c>
      <c r="M790" s="3" t="str" cm="1">
        <f t="array" ref="M790">INDEX(Types!A:A,1+BIN2DEC(MID($B790,20,2)))</f>
        <v>ALU</v>
      </c>
      <c r="N790" s="3" cm="1">
        <f t="array" ref="N790">IF(M790="ALU",INDEX(ALUOps!A:A,1+BIN2DEC(MID($B790,22,5))),"")</f>
        <v>0</v>
      </c>
      <c r="O790" s="3" cm="1">
        <f t="array" ref="O790">IF(M790="ALU",INDEX(TMP!A:A,1+BIN2DEC(MID($B790,27,2))),"")</f>
        <v>1</v>
      </c>
      <c r="P790" s="6">
        <f t="shared" si="78"/>
        <v>1</v>
      </c>
      <c r="Q790" t="str">
        <f t="shared" si="81"/>
        <v/>
      </c>
      <c r="R790" t="str">
        <f t="shared" si="82"/>
        <v/>
      </c>
      <c r="S790" t="str" cm="1">
        <f t="array" ref="S790">IF(M790="Control",INDEX(IC!A:A,1+BIN2DEC(MID($B790,21,4))),"")</f>
        <v/>
      </c>
      <c r="T790" t="str" cm="1">
        <f t="array" ref="T790">IF(M790="Control",INDEX(EC!A:A,1+BIN2DEC(MID($B790,25,3))),"")</f>
        <v/>
      </c>
      <c r="U790" t="str" cm="1">
        <f t="array" ref="U790">IF(M790="Control",INDEX(SR!A:A,1+BIN2DEC(MID($B790,28,2))),"")</f>
        <v/>
      </c>
      <c r="X790" t="s">
        <v>1118</v>
      </c>
      <c r="AD790" s="1" t="s">
        <v>738</v>
      </c>
    </row>
    <row r="791" spans="1:30" x14ac:dyDescent="0.25">
      <c r="A791" s="4" t="str">
        <f t="shared" si="79"/>
        <v>315</v>
      </c>
      <c r="B791" s="2" t="s">
        <v>743</v>
      </c>
      <c r="C791" s="3"/>
      <c r="D791" s="3"/>
      <c r="E791" s="3"/>
      <c r="F791" s="27" t="str" cm="1">
        <f t="array" ref="F791">INDEX(Sources!A:A, 1 + BIN2DEC(LEFT($B791,5)))</f>
        <v>Q</v>
      </c>
      <c r="G791" s="27" t="str" cm="1">
        <f t="array" ref="G791">INDEX(Dest1!A:A,1+BIN2DEC(MID($B791,6,5)))</f>
        <v>UNK11</v>
      </c>
      <c r="H791" s="27" t="str" cm="1">
        <f t="array" ref="H791">INDEX(Source2!A:A,1+BIN2DEC(MID($B791,11,4)))</f>
        <v>11</v>
      </c>
      <c r="I791" s="23" cm="1">
        <f t="array" ref="I791">INDEX('D2'!A:A,1+BIN2DEC(MID($B791,16,2)))</f>
        <v>0</v>
      </c>
      <c r="J791" s="6">
        <f t="shared" si="80"/>
        <v>0</v>
      </c>
      <c r="K791" s="6">
        <f t="shared" si="76"/>
        <v>0</v>
      </c>
      <c r="L791" s="6">
        <f t="shared" si="77"/>
        <v>0</v>
      </c>
      <c r="M791" s="3" t="str" cm="1">
        <f t="array" ref="M791">INDEX(Types!A:A,1+BIN2DEC(MID($B791,20,2)))</f>
        <v>Control</v>
      </c>
      <c r="N791" s="3" t="str" cm="1">
        <f t="array" ref="N791">IF(M791="ALU",INDEX(ALUOps!A:A,1+BIN2DEC(MID($B791,22,5))),"")</f>
        <v/>
      </c>
      <c r="O791" s="3" t="str" cm="1">
        <f t="array" ref="O791">IF(M791="ALU",INDEX(TMP!A:A,1+BIN2DEC(MID($B791,27,2))),"")</f>
        <v/>
      </c>
      <c r="P791" s="6" t="str">
        <f t="shared" si="78"/>
        <v/>
      </c>
      <c r="Q791" t="str">
        <f t="shared" si="81"/>
        <v/>
      </c>
      <c r="R791" t="str">
        <f t="shared" si="82"/>
        <v/>
      </c>
      <c r="S791" cm="1">
        <f t="array" ref="S791">IF(M791="Control",INDEX(IC!A:A,1+BIN2DEC(MID($B791,21,4))),"")</f>
        <v>0</v>
      </c>
      <c r="T791" cm="1">
        <f t="array" ref="T791">IF(M791="Control",INDEX(EC!A:A,1+BIN2DEC(MID($B791,25,3))),"")</f>
        <v>0</v>
      </c>
      <c r="U791" cm="1">
        <f t="array" ref="U791">IF(M791="Control",INDEX(SR!A:A,1+BIN2DEC(MID($B791,28,2))),"")</f>
        <v>0</v>
      </c>
    </row>
    <row r="792" spans="1:30" x14ac:dyDescent="0.25">
      <c r="A792" s="4" t="str">
        <f t="shared" si="79"/>
        <v>316</v>
      </c>
      <c r="B792" s="2" t="s">
        <v>744</v>
      </c>
      <c r="C792" s="3"/>
      <c r="D792" s="3"/>
      <c r="E792" s="3"/>
      <c r="F792" s="27" t="str" cm="1">
        <f t="array" ref="F792">INDEX(Sources!A:A, 1 + BIN2DEC(LEFT($B792,5)))</f>
        <v>--</v>
      </c>
      <c r="G792" s="27" t="str" cm="1">
        <f t="array" ref="G792">INDEX(Dest1!A:A,1+BIN2DEC(MID($B792,6,5)))</f>
        <v>--</v>
      </c>
      <c r="H792" s="27" t="str" cm="1">
        <f t="array" ref="H792">INDEX(Source2!A:A,1+BIN2DEC(MID($B792,11,4)))</f>
        <v>--</v>
      </c>
      <c r="I792" s="23" cm="1">
        <f t="array" ref="I792">INDEX('D2'!A:A,1+BIN2DEC(MID($B792,16,2)))</f>
        <v>0</v>
      </c>
      <c r="J792" s="6">
        <f t="shared" si="80"/>
        <v>0</v>
      </c>
      <c r="K792" s="6">
        <f t="shared" si="76"/>
        <v>0</v>
      </c>
      <c r="L792" s="6">
        <f t="shared" si="77"/>
        <v>0</v>
      </c>
      <c r="M792" s="3" t="str" cm="1">
        <f t="array" ref="M792">INDEX(Types!A:A,1+BIN2DEC(MID($B792,20,2)))</f>
        <v>ALU</v>
      </c>
      <c r="N792" s="3" cm="1">
        <f t="array" ref="N792">IF(M792="ALU",INDEX(ALUOps!A:A,1+BIN2DEC(MID($B792,22,5))),"")</f>
        <v>26</v>
      </c>
      <c r="O792" s="3" cm="1">
        <f t="array" ref="O792">IF(M792="ALU",INDEX(TMP!A:A,1+BIN2DEC(MID($B792,27,2))),"")</f>
        <v>3</v>
      </c>
      <c r="P792" s="6">
        <f t="shared" si="78"/>
        <v>1</v>
      </c>
      <c r="Q792" t="str">
        <f t="shared" si="81"/>
        <v/>
      </c>
      <c r="R792" t="str">
        <f t="shared" si="82"/>
        <v/>
      </c>
      <c r="S792" t="str" cm="1">
        <f t="array" ref="S792">IF(M792="Control",INDEX(IC!A:A,1+BIN2DEC(MID($B792,21,4))),"")</f>
        <v/>
      </c>
      <c r="T792" t="str" cm="1">
        <f t="array" ref="T792">IF(M792="Control",INDEX(EC!A:A,1+BIN2DEC(MID($B792,25,3))),"")</f>
        <v/>
      </c>
      <c r="U792" t="str" cm="1">
        <f t="array" ref="U792">IF(M792="Control",INDEX(SR!A:A,1+BIN2DEC(MID($B792,28,2))),"")</f>
        <v/>
      </c>
    </row>
    <row r="793" spans="1:30" x14ac:dyDescent="0.25">
      <c r="A793" s="4" t="str">
        <f t="shared" si="79"/>
        <v>317</v>
      </c>
      <c r="B793" s="2" t="s">
        <v>718</v>
      </c>
      <c r="C793" s="3"/>
      <c r="D793" s="3"/>
      <c r="E793" s="3"/>
      <c r="F793" s="27" t="str" cm="1">
        <f t="array" ref="F793">INDEX(Sources!A:A, 1 + BIN2DEC(LEFT($B793,5)))</f>
        <v>SIGMA</v>
      </c>
      <c r="G793" s="27" t="str" cm="1">
        <f t="array" ref="G793">INDEX(Dest1!A:A,1+BIN2DEC(MID($B793,6,5)))</f>
        <v>A</v>
      </c>
      <c r="H793" s="27" t="str" cm="1">
        <f t="array" ref="H793">INDEX(Source2!A:A,1+BIN2DEC(MID($B793,11,4)))</f>
        <v>--</v>
      </c>
      <c r="I793" s="23" cm="1">
        <f t="array" ref="I793">INDEX('D2'!A:A,1+BIN2DEC(MID($B793,16,2)))</f>
        <v>0</v>
      </c>
      <c r="J793" s="6">
        <f t="shared" si="80"/>
        <v>0</v>
      </c>
      <c r="K793" s="6">
        <f t="shared" si="76"/>
        <v>0</v>
      </c>
      <c r="L793" s="6">
        <f t="shared" si="77"/>
        <v>0</v>
      </c>
      <c r="M793" s="3" t="str" cm="1">
        <f t="array" ref="M793">INDEX(Types!A:A,1+BIN2DEC(MID($B793,20,2)))</f>
        <v>ALU</v>
      </c>
      <c r="N793" s="3" cm="1">
        <f t="array" ref="N793">IF(M793="ALU",INDEX(ALUOps!A:A,1+BIN2DEC(MID($B793,22,5))),"")</f>
        <v>0</v>
      </c>
      <c r="O793" s="3" cm="1">
        <f t="array" ref="O793">IF(M793="ALU",INDEX(TMP!A:A,1+BIN2DEC(MID($B793,27,2))),"")</f>
        <v>3</v>
      </c>
      <c r="P793" s="6">
        <f t="shared" si="78"/>
        <v>1</v>
      </c>
      <c r="Q793" t="str">
        <f t="shared" si="81"/>
        <v/>
      </c>
      <c r="R793" t="str">
        <f t="shared" si="82"/>
        <v/>
      </c>
      <c r="S793" t="str" cm="1">
        <f t="array" ref="S793">IF(M793="Control",INDEX(IC!A:A,1+BIN2DEC(MID($B793,21,4))),"")</f>
        <v/>
      </c>
      <c r="T793" t="str" cm="1">
        <f t="array" ref="T793">IF(M793="Control",INDEX(EC!A:A,1+BIN2DEC(MID($B793,25,3))),"")</f>
        <v/>
      </c>
      <c r="U793" t="str" cm="1">
        <f t="array" ref="U793">IF(M793="Control",INDEX(SR!A:A,1+BIN2DEC(MID($B793,28,2))),"")</f>
        <v/>
      </c>
    </row>
    <row r="794" spans="1:30" x14ac:dyDescent="0.25">
      <c r="A794" s="4" t="str">
        <f t="shared" si="79"/>
        <v>318</v>
      </c>
      <c r="B794" s="2" t="s">
        <v>745</v>
      </c>
      <c r="C794" s="2" t="s">
        <v>741</v>
      </c>
      <c r="D794" s="2" t="s">
        <v>936</v>
      </c>
      <c r="E794" s="2" t="s">
        <v>462</v>
      </c>
      <c r="F794" s="27" t="str" cm="1">
        <f t="array" ref="F794">INDEX(Sources!A:A, 1 + BIN2DEC(LEFT($B794,5)))</f>
        <v>OPR</v>
      </c>
      <c r="G794" s="27" t="str" cm="1">
        <f t="array" ref="G794">INDEX(Dest1!A:A,1+BIN2DEC(MID($B794,6,5)))</f>
        <v>UNK11</v>
      </c>
      <c r="H794" s="27" t="str" cm="1">
        <f t="array" ref="H794">INDEX(Source2!A:A,1+BIN2DEC(MID($B794,11,4)))</f>
        <v>--</v>
      </c>
      <c r="I794" s="23" cm="1">
        <f t="array" ref="I794">INDEX('D2'!A:A,1+BIN2DEC(MID($B794,16,2)))</f>
        <v>0</v>
      </c>
      <c r="J794" s="6">
        <f t="shared" si="80"/>
        <v>0</v>
      </c>
      <c r="K794" s="6">
        <f t="shared" si="76"/>
        <v>0</v>
      </c>
      <c r="L794" s="6">
        <f t="shared" si="77"/>
        <v>0</v>
      </c>
      <c r="M794" s="3" t="str" cm="1">
        <f t="array" ref="M794">INDEX(Types!A:A,1+BIN2DEC(MID($B794,20,2)))</f>
        <v>ALU</v>
      </c>
      <c r="N794" s="3" cm="1">
        <f t="array" ref="N794">IF(M794="ALU",INDEX(ALUOps!A:A,1+BIN2DEC(MID($B794,22,5))),"")</f>
        <v>0</v>
      </c>
      <c r="O794" s="3" cm="1">
        <f t="array" ref="O794">IF(M794="ALU",INDEX(TMP!A:A,1+BIN2DEC(MID($B794,27,2))),"")</f>
        <v>3</v>
      </c>
      <c r="P794" s="6">
        <f t="shared" si="78"/>
        <v>1</v>
      </c>
      <c r="Q794" t="str">
        <f t="shared" si="81"/>
        <v/>
      </c>
      <c r="R794" t="str">
        <f t="shared" si="82"/>
        <v/>
      </c>
      <c r="S794" t="str" cm="1">
        <f t="array" ref="S794">IF(M794="Control",INDEX(IC!A:A,1+BIN2DEC(MID($B794,21,4))),"")</f>
        <v/>
      </c>
      <c r="T794" t="str" cm="1">
        <f t="array" ref="T794">IF(M794="Control",INDEX(EC!A:A,1+BIN2DEC(MID($B794,25,3))),"")</f>
        <v/>
      </c>
      <c r="U794" t="str" cm="1">
        <f t="array" ref="U794">IF(M794="Control",INDEX(SR!A:A,1+BIN2DEC(MID($B794,28,2))),"")</f>
        <v/>
      </c>
      <c r="AD794" s="1" t="s">
        <v>742</v>
      </c>
    </row>
    <row r="795" spans="1:30" x14ac:dyDescent="0.25">
      <c r="A795" s="4" t="str">
        <f t="shared" si="79"/>
        <v>319</v>
      </c>
      <c r="B795" s="2" t="s">
        <v>747</v>
      </c>
      <c r="C795" s="3"/>
      <c r="D795" s="3"/>
      <c r="E795" s="3"/>
      <c r="F795" s="27" t="str" cm="1">
        <f t="array" ref="F795">INDEX(Sources!A:A, 1 + BIN2DEC(LEFT($B795,5)))</f>
        <v>TMPB</v>
      </c>
      <c r="G795" s="27" t="str" cm="1">
        <f t="array" ref="G795">INDEX(Dest1!A:A,1+BIN2DEC(MID($B795,6,5)))</f>
        <v>LC</v>
      </c>
      <c r="H795" s="27" t="str" cm="1">
        <f t="array" ref="H795">INDEX(Source2!A:A,1+BIN2DEC(MID($B795,11,4)))</f>
        <v>11</v>
      </c>
      <c r="I795" s="23" cm="1">
        <f t="array" ref="I795">INDEX('D2'!A:A,1+BIN2DEC(MID($B795,16,2)))</f>
        <v>0</v>
      </c>
      <c r="J795" s="6">
        <f t="shared" si="80"/>
        <v>0</v>
      </c>
      <c r="K795" s="6">
        <f t="shared" si="76"/>
        <v>0</v>
      </c>
      <c r="L795" s="6">
        <f t="shared" si="77"/>
        <v>0</v>
      </c>
      <c r="M795" s="3" t="str" cm="1">
        <f t="array" ref="M795">INDEX(Types!A:A,1+BIN2DEC(MID($B795,20,2)))</f>
        <v>Control</v>
      </c>
      <c r="N795" s="3" t="str" cm="1">
        <f t="array" ref="N795">IF(M795="ALU",INDEX(ALUOps!A:A,1+BIN2DEC(MID($B795,22,5))),"")</f>
        <v/>
      </c>
      <c r="O795" s="3" t="str" cm="1">
        <f t="array" ref="O795">IF(M795="ALU",INDEX(TMP!A:A,1+BIN2DEC(MID($B795,27,2))),"")</f>
        <v/>
      </c>
      <c r="P795" s="6" t="str">
        <f t="shared" si="78"/>
        <v/>
      </c>
      <c r="Q795" t="str">
        <f t="shared" si="81"/>
        <v/>
      </c>
      <c r="R795" t="str">
        <f t="shared" si="82"/>
        <v/>
      </c>
      <c r="S795" cm="1">
        <f t="array" ref="S795">IF(M795="Control",INDEX(IC!A:A,1+BIN2DEC(MID($B795,21,4))),"")</f>
        <v>0</v>
      </c>
      <c r="T795" cm="1">
        <f t="array" ref="T795">IF(M795="Control",INDEX(EC!A:A,1+BIN2DEC(MID($B795,25,3))),"")</f>
        <v>0</v>
      </c>
      <c r="U795" cm="1">
        <f t="array" ref="U795">IF(M795="Control",INDEX(SR!A:A,1+BIN2DEC(MID($B795,28,2))),"")</f>
        <v>0</v>
      </c>
    </row>
    <row r="796" spans="1:30" x14ac:dyDescent="0.25">
      <c r="A796" s="4" t="str">
        <f t="shared" si="79"/>
        <v>31A</v>
      </c>
      <c r="B796" s="2" t="s">
        <v>748</v>
      </c>
      <c r="C796" s="3"/>
      <c r="D796" s="3"/>
      <c r="E796" s="3"/>
      <c r="F796" s="27" t="str" cm="1">
        <f t="array" ref="F796">INDEX(Sources!A:A, 1 + BIN2DEC(LEFT($B796,5)))</f>
        <v>UNK22</v>
      </c>
      <c r="G796" s="27" t="str" cm="1">
        <f t="array" ref="G796">INDEX(Dest1!A:A,1+BIN2DEC(MID($B796,6,5)))</f>
        <v>UNK17</v>
      </c>
      <c r="H796" s="27" t="str" cm="1">
        <f t="array" ref="H796">INDEX(Source2!A:A,1+BIN2DEC(MID($B796,11,4)))</f>
        <v>--</v>
      </c>
      <c r="I796" s="23" cm="1">
        <f t="array" ref="I796">INDEX('D2'!A:A,1+BIN2DEC(MID($B796,16,2)))</f>
        <v>0</v>
      </c>
      <c r="J796" s="6">
        <f t="shared" si="80"/>
        <v>0</v>
      </c>
      <c r="K796" s="6">
        <f t="shared" si="76"/>
        <v>0</v>
      </c>
      <c r="L796" s="6">
        <f t="shared" si="77"/>
        <v>0</v>
      </c>
      <c r="M796" s="3" t="str" cm="1">
        <f t="array" ref="M796">INDEX(Types!A:A,1+BIN2DEC(MID($B796,20,2)))</f>
        <v>Jump</v>
      </c>
      <c r="N796" s="3" t="str" cm="1">
        <f t="array" ref="N796">IF(M796="ALU",INDEX(ALUOps!A:A,1+BIN2DEC(MID($B796,22,5))),"")</f>
        <v/>
      </c>
      <c r="O796" s="3" t="str" cm="1">
        <f t="array" ref="O796">IF(M796="ALU",INDEX(TMP!A:A,1+BIN2DEC(MID($B796,27,2))),"")</f>
        <v/>
      </c>
      <c r="P796" s="6" t="str">
        <f t="shared" si="78"/>
        <v/>
      </c>
      <c r="Q796">
        <f t="shared" si="81"/>
        <v>13</v>
      </c>
      <c r="R796">
        <f t="shared" si="82"/>
        <v>6</v>
      </c>
      <c r="S796" t="str" cm="1">
        <f t="array" ref="S796">IF(M796="Control",INDEX(IC!A:A,1+BIN2DEC(MID($B796,21,4))),"")</f>
        <v/>
      </c>
      <c r="T796" t="str" cm="1">
        <f t="array" ref="T796">IF(M796="Control",INDEX(EC!A:A,1+BIN2DEC(MID($B796,25,3))),"")</f>
        <v/>
      </c>
      <c r="U796" t="str" cm="1">
        <f t="array" ref="U796">IF(M796="Control",INDEX(SR!A:A,1+BIN2DEC(MID($B796,28,2))),"")</f>
        <v/>
      </c>
    </row>
    <row r="797" spans="1:30" x14ac:dyDescent="0.25">
      <c r="A797" s="4" t="str">
        <f t="shared" si="79"/>
        <v>31B</v>
      </c>
      <c r="B797" s="2" t="s">
        <v>215</v>
      </c>
      <c r="C797" s="3"/>
      <c r="D797" s="3"/>
      <c r="E797" s="3"/>
      <c r="F797" s="27" t="str" cm="1">
        <f t="array" ref="F797">INDEX(Sources!A:A, 1 + BIN2DEC(LEFT($B797,5)))</f>
        <v>--</v>
      </c>
      <c r="G797" s="27" t="str" cm="1">
        <f t="array" ref="G797">INDEX(Dest1!A:A,1+BIN2DEC(MID($B797,6,5)))</f>
        <v>UNK26</v>
      </c>
      <c r="H797" s="27" t="str" cm="1">
        <f t="array" ref="H797">INDEX(Source2!A:A,1+BIN2DEC(MID($B797,11,4)))</f>
        <v>--</v>
      </c>
      <c r="I797" s="23" cm="1">
        <f t="array" ref="I797">INDEX('D2'!A:A,1+BIN2DEC(MID($B797,16,2)))</f>
        <v>0</v>
      </c>
      <c r="J797" s="6">
        <f t="shared" si="80"/>
        <v>0</v>
      </c>
      <c r="K797" s="6">
        <f t="shared" si="76"/>
        <v>0</v>
      </c>
      <c r="L797" s="6">
        <f t="shared" si="77"/>
        <v>0</v>
      </c>
      <c r="M797" s="3" t="str" cm="1">
        <f t="array" ref="M797">INDEX(Types!A:A,1+BIN2DEC(MID($B797,20,2)))</f>
        <v>Control</v>
      </c>
      <c r="N797" s="3" t="str" cm="1">
        <f t="array" ref="N797">IF(M797="ALU",INDEX(ALUOps!A:A,1+BIN2DEC(MID($B797,22,5))),"")</f>
        <v/>
      </c>
      <c r="O797" s="3" t="str" cm="1">
        <f t="array" ref="O797">IF(M797="ALU",INDEX(TMP!A:A,1+BIN2DEC(MID($B797,27,2))),"")</f>
        <v/>
      </c>
      <c r="P797" s="6" t="str">
        <f t="shared" si="78"/>
        <v/>
      </c>
      <c r="Q797" t="str">
        <f t="shared" si="81"/>
        <v/>
      </c>
      <c r="R797" t="str">
        <f t="shared" si="82"/>
        <v/>
      </c>
      <c r="S797" cm="1">
        <f t="array" ref="S797">IF(M797="Control",INDEX(IC!A:A,1+BIN2DEC(MID($B797,21,4))),"")</f>
        <v>0</v>
      </c>
      <c r="T797" cm="1">
        <f t="array" ref="T797">IF(M797="Control",INDEX(EC!A:A,1+BIN2DEC(MID($B797,25,3))),"")</f>
        <v>6</v>
      </c>
      <c r="U797" cm="1">
        <f t="array" ref="U797">IF(M797="Control",INDEX(SR!A:A,1+BIN2DEC(MID($B797,28,2))),"")</f>
        <v>3</v>
      </c>
    </row>
    <row r="798" spans="1:30" x14ac:dyDescent="0.25">
      <c r="A798" s="4" t="str">
        <f t="shared" si="79"/>
        <v>31C</v>
      </c>
      <c r="B798" s="2" t="s">
        <v>749</v>
      </c>
      <c r="C798" s="2" t="s">
        <v>746</v>
      </c>
      <c r="D798" s="2" t="s">
        <v>936</v>
      </c>
      <c r="E798" s="2" t="s">
        <v>929</v>
      </c>
      <c r="F798" s="27" t="str" cm="1">
        <f t="array" ref="F798">INDEX(Sources!A:A, 1 + BIN2DEC(LEFT($B798,5)))</f>
        <v>OUT</v>
      </c>
      <c r="G798" s="27" t="str" cm="1">
        <f t="array" ref="G798">INDEX(Dest1!A:A,1+BIN2DEC(MID($B798,6,5)))</f>
        <v>TMPA</v>
      </c>
      <c r="H798" s="27" t="str" cm="1">
        <f t="array" ref="H798">INDEX(Source2!A:A,1+BIN2DEC(MID($B798,11,4)))</f>
        <v>--</v>
      </c>
      <c r="I798" s="23" cm="1">
        <f t="array" ref="I798">INDEX('D2'!A:A,1+BIN2DEC(MID($B798,16,2)))</f>
        <v>1</v>
      </c>
      <c r="J798" s="6">
        <f t="shared" si="80"/>
        <v>1</v>
      </c>
      <c r="K798" s="6">
        <f t="shared" si="76"/>
        <v>0</v>
      </c>
      <c r="L798" s="6">
        <f t="shared" si="77"/>
        <v>0</v>
      </c>
      <c r="M798" s="3" t="str" cm="1">
        <f t="array" ref="M798">INDEX(Types!A:A,1+BIN2DEC(MID($B798,20,2)))</f>
        <v>ALU</v>
      </c>
      <c r="N798" s="3" cm="1">
        <f t="array" ref="N798">IF(M798="ALU",INDEX(ALUOps!A:A,1+BIN2DEC(MID($B798,22,5))),"")</f>
        <v>0</v>
      </c>
      <c r="O798" s="3" cm="1">
        <f t="array" ref="O798">IF(M798="ALU",INDEX(TMP!A:A,1+BIN2DEC(MID($B798,27,2))),"")</f>
        <v>2</v>
      </c>
      <c r="P798" s="6">
        <f t="shared" si="78"/>
        <v>1</v>
      </c>
      <c r="Q798" t="str">
        <f t="shared" si="81"/>
        <v/>
      </c>
      <c r="R798" t="str">
        <f t="shared" si="82"/>
        <v/>
      </c>
      <c r="S798" t="str" cm="1">
        <f t="array" ref="S798">IF(M798="Control",INDEX(IC!A:A,1+BIN2DEC(MID($B798,21,4))),"")</f>
        <v/>
      </c>
      <c r="T798" t="str" cm="1">
        <f t="array" ref="T798">IF(M798="Control",INDEX(EC!A:A,1+BIN2DEC(MID($B798,25,3))),"")</f>
        <v/>
      </c>
      <c r="U798" t="str" cm="1">
        <f t="array" ref="U798">IF(M798="Control",INDEX(SR!A:A,1+BIN2DEC(MID($B798,28,2))),"")</f>
        <v/>
      </c>
      <c r="AD798" s="1" t="s">
        <v>520</v>
      </c>
    </row>
    <row r="799" spans="1:30" x14ac:dyDescent="0.25">
      <c r="A799" s="4" t="str">
        <f t="shared" si="79"/>
        <v>31D</v>
      </c>
      <c r="B799" s="2" t="s">
        <v>369</v>
      </c>
      <c r="C799" s="3"/>
      <c r="D799" s="3"/>
      <c r="E799" s="3"/>
      <c r="F799" s="27" t="str" cm="1">
        <f t="array" ref="F799">INDEX(Sources!A:A, 1 + BIN2DEC(LEFT($B799,5)))</f>
        <v>SIGMA</v>
      </c>
      <c r="G799" s="27" t="str" cm="1">
        <f t="array" ref="G799">INDEX(Dest1!A:A,1+BIN2DEC(MID($B799,6,5)))</f>
        <v>TMPA</v>
      </c>
      <c r="H799" s="27" t="str" cm="1">
        <f t="array" ref="H799">INDEX(Source2!A:A,1+BIN2DEC(MID($B799,11,4)))</f>
        <v>--</v>
      </c>
      <c r="I799" s="23" cm="1">
        <f t="array" ref="I799">INDEX('D2'!A:A,1+BIN2DEC(MID($B799,16,2)))</f>
        <v>0</v>
      </c>
      <c r="J799" s="6">
        <f t="shared" si="80"/>
        <v>0</v>
      </c>
      <c r="K799" s="6">
        <f t="shared" si="76"/>
        <v>0</v>
      </c>
      <c r="L799" s="6">
        <f t="shared" si="77"/>
        <v>0</v>
      </c>
      <c r="M799" s="3" t="str" cm="1">
        <f t="array" ref="M799">INDEX(Types!A:A,1+BIN2DEC(MID($B799,20,2)))</f>
        <v>ALU</v>
      </c>
      <c r="N799" s="3" cm="1">
        <f t="array" ref="N799">IF(M799="ALU",INDEX(ALUOps!A:A,1+BIN2DEC(MID($B799,22,5))),"")</f>
        <v>12</v>
      </c>
      <c r="O799" s="3" cm="1">
        <f t="array" ref="O799">IF(M799="ALU",INDEX(TMP!A:A,1+BIN2DEC(MID($B799,27,2))),"")</f>
        <v>1</v>
      </c>
      <c r="P799" s="6">
        <f t="shared" si="78"/>
        <v>0</v>
      </c>
      <c r="Q799" t="str">
        <f t="shared" si="81"/>
        <v/>
      </c>
      <c r="R799" t="str">
        <f t="shared" si="82"/>
        <v/>
      </c>
      <c r="S799" t="str" cm="1">
        <f t="array" ref="S799">IF(M799="Control",INDEX(IC!A:A,1+BIN2DEC(MID($B799,21,4))),"")</f>
        <v/>
      </c>
      <c r="T799" t="str" cm="1">
        <f t="array" ref="T799">IF(M799="Control",INDEX(EC!A:A,1+BIN2DEC(MID($B799,25,3))),"")</f>
        <v/>
      </c>
      <c r="U799" t="str" cm="1">
        <f t="array" ref="U799">IF(M799="Control",INDEX(SR!A:A,1+BIN2DEC(MID($B799,28,2))),"")</f>
        <v/>
      </c>
    </row>
    <row r="800" spans="1:30" x14ac:dyDescent="0.25">
      <c r="A800" s="4" t="str">
        <f t="shared" si="79"/>
        <v>31E</v>
      </c>
      <c r="B800" s="2" t="s">
        <v>751</v>
      </c>
      <c r="C800" s="3"/>
      <c r="D800" s="3"/>
      <c r="E800" s="3"/>
      <c r="F800" s="27" t="str" cm="1">
        <f t="array" ref="F800">INDEX(Sources!A:A, 1 + BIN2DEC(LEFT($B800,5)))</f>
        <v>TMPB</v>
      </c>
      <c r="G800" s="27" t="str" cm="1">
        <f t="array" ref="G800">INDEX(Dest1!A:A,1+BIN2DEC(MID($B800,6,5)))</f>
        <v>OUT</v>
      </c>
      <c r="H800" s="27" t="str" cm="1">
        <f t="array" ref="H800">INDEX(Source2!A:A,1+BIN2DEC(MID($B800,11,4)))</f>
        <v>--</v>
      </c>
      <c r="I800" s="23" cm="1">
        <f t="array" ref="I800">INDEX('D2'!A:A,1+BIN2DEC(MID($B800,16,2)))</f>
        <v>0</v>
      </c>
      <c r="J800" s="6">
        <f t="shared" si="80"/>
        <v>0</v>
      </c>
      <c r="K800" s="6">
        <f t="shared" si="76"/>
        <v>0</v>
      </c>
      <c r="L800" s="6">
        <f t="shared" si="77"/>
        <v>0</v>
      </c>
      <c r="M800" s="3" t="str" cm="1">
        <f t="array" ref="M800">INDEX(Types!A:A,1+BIN2DEC(MID($B800,20,2)))</f>
        <v>Control</v>
      </c>
      <c r="N800" s="3" t="str" cm="1">
        <f t="array" ref="N800">IF(M800="ALU",INDEX(ALUOps!A:A,1+BIN2DEC(MID($B800,22,5))),"")</f>
        <v/>
      </c>
      <c r="O800" s="3" t="str" cm="1">
        <f t="array" ref="O800">IF(M800="ALU",INDEX(TMP!A:A,1+BIN2DEC(MID($B800,27,2))),"")</f>
        <v/>
      </c>
      <c r="P800" s="6" t="str">
        <f t="shared" si="78"/>
        <v/>
      </c>
      <c r="Q800" t="str">
        <f t="shared" si="81"/>
        <v/>
      </c>
      <c r="R800" t="str">
        <f t="shared" si="82"/>
        <v/>
      </c>
      <c r="S800" cm="1">
        <f t="array" ref="S800">IF(M800="Control",INDEX(IC!A:A,1+BIN2DEC(MID($B800,21,4))),"")</f>
        <v>0</v>
      </c>
      <c r="T800" cm="1">
        <f t="array" ref="T800">IF(M800="Control",INDEX(EC!A:A,1+BIN2DEC(MID($B800,25,3))),"")</f>
        <v>0</v>
      </c>
      <c r="U800" cm="1">
        <f t="array" ref="U800">IF(M800="Control",INDEX(SR!A:A,1+BIN2DEC(MID($B800,28,2))),"")</f>
        <v>0</v>
      </c>
    </row>
    <row r="801" spans="1:30" x14ac:dyDescent="0.25">
      <c r="A801" s="4" t="str">
        <f t="shared" si="79"/>
        <v>31F</v>
      </c>
      <c r="B801" s="2" t="s">
        <v>752</v>
      </c>
      <c r="C801" s="3"/>
      <c r="D801" s="3"/>
      <c r="E801" s="3"/>
      <c r="F801" s="27" t="str" cm="1">
        <f t="array" ref="F801">INDEX(Sources!A:A, 1 + BIN2DEC(LEFT($B801,5)))</f>
        <v>REG</v>
      </c>
      <c r="G801" s="27" t="str" cm="1">
        <f t="array" ref="G801">INDEX(Dest1!A:A,1+BIN2DEC(MID($B801,6,5)))</f>
        <v>UNK11</v>
      </c>
      <c r="H801" s="27" t="str" cm="1">
        <f t="array" ref="H801">INDEX(Source2!A:A,1+BIN2DEC(MID($B801,11,4)))</f>
        <v>--</v>
      </c>
      <c r="I801" s="23" cm="1">
        <f t="array" ref="I801">INDEX('D2'!A:A,1+BIN2DEC(MID($B801,16,2)))</f>
        <v>0</v>
      </c>
      <c r="J801" s="6">
        <f t="shared" si="80"/>
        <v>0</v>
      </c>
      <c r="K801" s="6">
        <f t="shared" si="76"/>
        <v>0</v>
      </c>
      <c r="L801" s="6">
        <f t="shared" si="77"/>
        <v>0</v>
      </c>
      <c r="M801" s="3" t="str" cm="1">
        <f t="array" ref="M801">INDEX(Types!A:A,1+BIN2DEC(MID($B801,20,2)))</f>
        <v>ALU</v>
      </c>
      <c r="N801" s="3" cm="1">
        <f t="array" ref="N801">IF(M801="ALU",INDEX(ALUOps!A:A,1+BIN2DEC(MID($B801,22,5))),"")</f>
        <v>7</v>
      </c>
      <c r="O801" s="3" cm="1">
        <f t="array" ref="O801">IF(M801="ALU",INDEX(TMP!A:A,1+BIN2DEC(MID($B801,27,2))),"")</f>
        <v>3</v>
      </c>
      <c r="P801" s="6">
        <f t="shared" si="78"/>
        <v>1</v>
      </c>
      <c r="Q801" t="str">
        <f t="shared" si="81"/>
        <v/>
      </c>
      <c r="R801" t="str">
        <f t="shared" si="82"/>
        <v/>
      </c>
      <c r="S801" t="str" cm="1">
        <f t="array" ref="S801">IF(M801="Control",INDEX(IC!A:A,1+BIN2DEC(MID($B801,21,4))),"")</f>
        <v/>
      </c>
      <c r="T801" t="str" cm="1">
        <f t="array" ref="T801">IF(M801="Control",INDEX(EC!A:A,1+BIN2DEC(MID($B801,25,3))),"")</f>
        <v/>
      </c>
      <c r="U801" t="str" cm="1">
        <f t="array" ref="U801">IF(M801="Control",INDEX(SR!A:A,1+BIN2DEC(MID($B801,28,2))),"")</f>
        <v/>
      </c>
    </row>
    <row r="802" spans="1:30" x14ac:dyDescent="0.25">
      <c r="A802" s="4" t="str">
        <f t="shared" si="79"/>
        <v>320</v>
      </c>
      <c r="B802" s="2" t="s">
        <v>753</v>
      </c>
      <c r="C802" s="2" t="s">
        <v>750</v>
      </c>
      <c r="D802" s="2" t="s">
        <v>936</v>
      </c>
      <c r="E802" s="2" t="s">
        <v>488</v>
      </c>
      <c r="F802" s="27" t="str" cm="1">
        <f t="array" ref="F802">INDEX(Sources!A:A, 1 + BIN2DEC(LEFT($B802,5)))</f>
        <v>OPR</v>
      </c>
      <c r="G802" s="27" t="str" cm="1">
        <f t="array" ref="G802">INDEX(Dest1!A:A,1+BIN2DEC(MID($B802,6,5)))</f>
        <v>UNK11</v>
      </c>
      <c r="H802" s="27" t="str" cm="1">
        <f t="array" ref="H802">INDEX(Source2!A:A,1+BIN2DEC(MID($B802,11,4)))</f>
        <v>11</v>
      </c>
      <c r="I802" s="23" cm="1">
        <f t="array" ref="I802">INDEX('D2'!A:A,1+BIN2DEC(MID($B802,16,2)))</f>
        <v>0</v>
      </c>
      <c r="J802" s="6">
        <f t="shared" si="80"/>
        <v>0</v>
      </c>
      <c r="K802" s="6">
        <f t="shared" si="76"/>
        <v>0</v>
      </c>
      <c r="L802" s="6">
        <f t="shared" si="77"/>
        <v>0</v>
      </c>
      <c r="M802" s="3" t="str" cm="1">
        <f t="array" ref="M802">INDEX(Types!A:A,1+BIN2DEC(MID($B802,20,2)))</f>
        <v>ALU</v>
      </c>
      <c r="N802" s="3" cm="1">
        <f t="array" ref="N802">IF(M802="ALU",INDEX(ALUOps!A:A,1+BIN2DEC(MID($B802,22,5))),"")</f>
        <v>31</v>
      </c>
      <c r="O802" s="3" cm="1">
        <f t="array" ref="O802">IF(M802="ALU",INDEX(TMP!A:A,1+BIN2DEC(MID($B802,27,2))),"")</f>
        <v>3</v>
      </c>
      <c r="P802" s="6">
        <f t="shared" si="78"/>
        <v>1</v>
      </c>
      <c r="Q802" t="str">
        <f t="shared" si="81"/>
        <v/>
      </c>
      <c r="R802" t="str">
        <f t="shared" si="82"/>
        <v/>
      </c>
      <c r="S802" t="str" cm="1">
        <f t="array" ref="S802">IF(M802="Control",INDEX(IC!A:A,1+BIN2DEC(MID($B802,21,4))),"")</f>
        <v/>
      </c>
      <c r="T802" t="str" cm="1">
        <f t="array" ref="T802">IF(M802="Control",INDEX(EC!A:A,1+BIN2DEC(MID($B802,25,3))),"")</f>
        <v/>
      </c>
      <c r="U802" t="str" cm="1">
        <f t="array" ref="U802">IF(M802="Control",INDEX(SR!A:A,1+BIN2DEC(MID($B802,28,2))),"")</f>
        <v/>
      </c>
      <c r="AD802" s="1" t="s">
        <v>742</v>
      </c>
    </row>
    <row r="803" spans="1:30" x14ac:dyDescent="0.25">
      <c r="A803" s="4" t="str">
        <f t="shared" si="79"/>
        <v>321</v>
      </c>
      <c r="B803" s="2" t="s">
        <v>427</v>
      </c>
      <c r="C803" s="3"/>
      <c r="D803" s="3"/>
      <c r="E803" s="3"/>
      <c r="F803" s="27" t="str" cm="1">
        <f t="array" ref="F803">INDEX(Sources!A:A, 1 + BIN2DEC(LEFT($B803,5)))</f>
        <v>SIGMA</v>
      </c>
      <c r="G803" s="27" t="str" cm="1">
        <f t="array" ref="G803">INDEX(Dest1!A:A,1+BIN2DEC(MID($B803,6,5)))</f>
        <v>UNK17</v>
      </c>
      <c r="H803" s="27" t="str" cm="1">
        <f t="array" ref="H803">INDEX(Source2!A:A,1+BIN2DEC(MID($B803,11,4)))</f>
        <v>--</v>
      </c>
      <c r="I803" s="23" cm="1">
        <f t="array" ref="I803">INDEX('D2'!A:A,1+BIN2DEC(MID($B803,16,2)))</f>
        <v>0</v>
      </c>
      <c r="J803" s="6">
        <f t="shared" si="80"/>
        <v>0</v>
      </c>
      <c r="K803" s="6">
        <f t="shared" si="76"/>
        <v>0</v>
      </c>
      <c r="L803" s="6">
        <f t="shared" si="77"/>
        <v>0</v>
      </c>
      <c r="M803" s="3" t="str" cm="1">
        <f t="array" ref="M803">INDEX(Types!A:A,1+BIN2DEC(MID($B803,20,2)))</f>
        <v>Control</v>
      </c>
      <c r="N803" s="3" t="str" cm="1">
        <f t="array" ref="N803">IF(M803="ALU",INDEX(ALUOps!A:A,1+BIN2DEC(MID($B803,22,5))),"")</f>
        <v/>
      </c>
      <c r="O803" s="3" t="str" cm="1">
        <f t="array" ref="O803">IF(M803="ALU",INDEX(TMP!A:A,1+BIN2DEC(MID($B803,27,2))),"")</f>
        <v/>
      </c>
      <c r="P803" s="6" t="str">
        <f t="shared" si="78"/>
        <v/>
      </c>
      <c r="Q803" t="str">
        <f t="shared" si="81"/>
        <v/>
      </c>
      <c r="R803" t="str">
        <f t="shared" si="82"/>
        <v/>
      </c>
      <c r="S803" cm="1">
        <f t="array" ref="S803">IF(M803="Control",INDEX(IC!A:A,1+BIN2DEC(MID($B803,21,4))),"")</f>
        <v>0</v>
      </c>
      <c r="T803" cm="1">
        <f t="array" ref="T803">IF(M803="Control",INDEX(EC!A:A,1+BIN2DEC(MID($B803,25,3))),"")</f>
        <v>0</v>
      </c>
      <c r="U803" cm="1">
        <f t="array" ref="U803">IF(M803="Control",INDEX(SR!A:A,1+BIN2DEC(MID($B803,28,2))),"")</f>
        <v>0</v>
      </c>
    </row>
    <row r="804" spans="1:30" x14ac:dyDescent="0.25">
      <c r="A804" s="4" t="str">
        <f t="shared" si="79"/>
        <v>322</v>
      </c>
      <c r="B804" s="2" t="s">
        <v>755</v>
      </c>
      <c r="C804" s="3"/>
      <c r="D804" s="3"/>
      <c r="E804" s="3"/>
      <c r="F804" s="27" t="str" cm="1">
        <f t="array" ref="F804">INDEX(Sources!A:A, 1 + BIN2DEC(LEFT($B804,5)))</f>
        <v>TMPA</v>
      </c>
      <c r="G804" s="27" t="str" cm="1">
        <f t="array" ref="G804">INDEX(Dest1!A:A,1+BIN2DEC(MID($B804,6,5)))</f>
        <v>LC</v>
      </c>
      <c r="H804" s="27" t="str" cm="1">
        <f t="array" ref="H804">INDEX(Source2!A:A,1+BIN2DEC(MID($B804,11,4)))</f>
        <v>--</v>
      </c>
      <c r="I804" s="23" cm="1">
        <f t="array" ref="I804">INDEX('D2'!A:A,1+BIN2DEC(MID($B804,16,2)))</f>
        <v>0</v>
      </c>
      <c r="J804" s="6">
        <f t="shared" si="80"/>
        <v>0</v>
      </c>
      <c r="K804" s="6">
        <f t="shared" si="76"/>
        <v>0</v>
      </c>
      <c r="L804" s="6">
        <f t="shared" si="77"/>
        <v>0</v>
      </c>
      <c r="M804" s="3" t="str" cm="1">
        <f t="array" ref="M804">INDEX(Types!A:A,1+BIN2DEC(MID($B804,20,2)))</f>
        <v>Control</v>
      </c>
      <c r="N804" s="3" t="str" cm="1">
        <f t="array" ref="N804">IF(M804="ALU",INDEX(ALUOps!A:A,1+BIN2DEC(MID($B804,22,5))),"")</f>
        <v/>
      </c>
      <c r="O804" s="3" t="str" cm="1">
        <f t="array" ref="O804">IF(M804="ALU",INDEX(TMP!A:A,1+BIN2DEC(MID($B804,27,2))),"")</f>
        <v/>
      </c>
      <c r="P804" s="6" t="str">
        <f t="shared" si="78"/>
        <v/>
      </c>
      <c r="Q804" t="str">
        <f t="shared" si="81"/>
        <v/>
      </c>
      <c r="R804" t="str">
        <f t="shared" si="82"/>
        <v/>
      </c>
      <c r="S804" cm="1">
        <f t="array" ref="S804">IF(M804="Control",INDEX(IC!A:A,1+BIN2DEC(MID($B804,21,4))),"")</f>
        <v>0</v>
      </c>
      <c r="T804" cm="1">
        <f t="array" ref="T804">IF(M804="Control",INDEX(EC!A:A,1+BIN2DEC(MID($B804,25,3))),"")</f>
        <v>0</v>
      </c>
      <c r="U804" cm="1">
        <f t="array" ref="U804">IF(M804="Control",INDEX(SR!A:A,1+BIN2DEC(MID($B804,28,2))),"")</f>
        <v>0</v>
      </c>
    </row>
    <row r="805" spans="1:30" x14ac:dyDescent="0.25">
      <c r="A805" s="4" t="str">
        <f t="shared" si="79"/>
        <v>323</v>
      </c>
      <c r="B805" s="2" t="s">
        <v>756</v>
      </c>
      <c r="C805" s="3"/>
      <c r="D805" s="3"/>
      <c r="E805" s="3"/>
      <c r="F805" s="27" t="str" cm="1">
        <f t="array" ref="F805">INDEX(Sources!A:A, 1 + BIN2DEC(LEFT($B805,5)))</f>
        <v>REG</v>
      </c>
      <c r="G805" s="27" t="str" cm="1">
        <f t="array" ref="G805">INDEX(Dest1!A:A,1+BIN2DEC(MID($B805,6,5)))</f>
        <v>TMPA</v>
      </c>
      <c r="H805" s="27" t="str" cm="1">
        <f t="array" ref="H805">INDEX(Source2!A:A,1+BIN2DEC(MID($B805,11,4)))</f>
        <v>12</v>
      </c>
      <c r="I805" s="23" cm="1">
        <f t="array" ref="I805">INDEX('D2'!A:A,1+BIN2DEC(MID($B805,16,2)))</f>
        <v>0</v>
      </c>
      <c r="J805" s="6">
        <f t="shared" si="80"/>
        <v>0</v>
      </c>
      <c r="K805" s="6">
        <f t="shared" si="76"/>
        <v>0</v>
      </c>
      <c r="L805" s="6">
        <f t="shared" si="77"/>
        <v>0</v>
      </c>
      <c r="M805" s="3" t="str" cm="1">
        <f t="array" ref="M805">INDEX(Types!A:A,1+BIN2DEC(MID($B805,20,2)))</f>
        <v>ALU</v>
      </c>
      <c r="N805" s="3" cm="1">
        <f t="array" ref="N805">IF(M805="ALU",INDEX(ALUOps!A:A,1+BIN2DEC(MID($B805,22,5))),"")</f>
        <v>27</v>
      </c>
      <c r="O805" s="3" cm="1">
        <f t="array" ref="O805">IF(M805="ALU",INDEX(TMP!A:A,1+BIN2DEC(MID($B805,27,2))),"")</f>
        <v>1</v>
      </c>
      <c r="P805" s="6">
        <f t="shared" si="78"/>
        <v>1</v>
      </c>
      <c r="Q805" t="str">
        <f t="shared" si="81"/>
        <v/>
      </c>
      <c r="R805" t="str">
        <f t="shared" si="82"/>
        <v/>
      </c>
      <c r="S805" t="str" cm="1">
        <f t="array" ref="S805">IF(M805="Control",INDEX(IC!A:A,1+BIN2DEC(MID($B805,21,4))),"")</f>
        <v/>
      </c>
      <c r="T805" t="str" cm="1">
        <f t="array" ref="T805">IF(M805="Control",INDEX(EC!A:A,1+BIN2DEC(MID($B805,25,3))),"")</f>
        <v/>
      </c>
      <c r="U805" t="str" cm="1">
        <f t="array" ref="U805">IF(M805="Control",INDEX(SR!A:A,1+BIN2DEC(MID($B805,28,2))),"")</f>
        <v/>
      </c>
    </row>
    <row r="806" spans="1:30" x14ac:dyDescent="0.25">
      <c r="A806" s="4" t="str">
        <f t="shared" si="79"/>
        <v>324</v>
      </c>
      <c r="B806" s="2" t="s">
        <v>757</v>
      </c>
      <c r="C806" s="2" t="s">
        <v>754</v>
      </c>
      <c r="D806" s="2" t="s">
        <v>936</v>
      </c>
      <c r="E806" s="2" t="s">
        <v>933</v>
      </c>
      <c r="F806" s="27" t="str" cm="1">
        <f t="array" ref="F806">INDEX(Sources!A:A, 1 + BIN2DEC(LEFT($B806,5)))</f>
        <v>OPR</v>
      </c>
      <c r="G806" s="27" t="str" cm="1">
        <f t="array" ref="G806">INDEX(Dest1!A:A,1+BIN2DEC(MID($B806,6,5)))</f>
        <v>UNK11</v>
      </c>
      <c r="H806" s="27" t="str" cm="1">
        <f t="array" ref="H806">INDEX(Source2!A:A,1+BIN2DEC(MID($B806,11,4)))</f>
        <v>--</v>
      </c>
      <c r="I806" s="23" cm="1">
        <f t="array" ref="I806">INDEX('D2'!A:A,1+BIN2DEC(MID($B806,16,2)))</f>
        <v>0</v>
      </c>
      <c r="J806" s="6">
        <f t="shared" si="80"/>
        <v>0</v>
      </c>
      <c r="K806" s="6">
        <f t="shared" si="76"/>
        <v>0</v>
      </c>
      <c r="L806" s="6">
        <f t="shared" si="77"/>
        <v>0</v>
      </c>
      <c r="M806" s="3" t="str" cm="1">
        <f t="array" ref="M806">INDEX(Types!A:A,1+BIN2DEC(MID($B806,20,2)))</f>
        <v>Control</v>
      </c>
      <c r="N806" s="3" t="str" cm="1">
        <f t="array" ref="N806">IF(M806="ALU",INDEX(ALUOps!A:A,1+BIN2DEC(MID($B806,22,5))),"")</f>
        <v/>
      </c>
      <c r="O806" s="3" t="str" cm="1">
        <f t="array" ref="O806">IF(M806="ALU",INDEX(TMP!A:A,1+BIN2DEC(MID($B806,27,2))),"")</f>
        <v/>
      </c>
      <c r="P806" s="6" t="str">
        <f t="shared" si="78"/>
        <v/>
      </c>
      <c r="Q806" t="str">
        <f t="shared" si="81"/>
        <v/>
      </c>
      <c r="R806" t="str">
        <f t="shared" si="82"/>
        <v/>
      </c>
      <c r="S806" cm="1">
        <f t="array" ref="S806">IF(M806="Control",INDEX(IC!A:A,1+BIN2DEC(MID($B806,21,4))),"")</f>
        <v>0</v>
      </c>
      <c r="T806" cm="1">
        <f t="array" ref="T806">IF(M806="Control",INDEX(EC!A:A,1+BIN2DEC(MID($B806,25,3))),"")</f>
        <v>0</v>
      </c>
      <c r="U806" cm="1">
        <f t="array" ref="U806">IF(M806="Control",INDEX(SR!A:A,1+BIN2DEC(MID($B806,28,2))),"")</f>
        <v>0</v>
      </c>
      <c r="AD806" s="1" t="s">
        <v>742</v>
      </c>
    </row>
    <row r="807" spans="1:30" x14ac:dyDescent="0.25">
      <c r="A807" s="4" t="str">
        <f t="shared" si="79"/>
        <v>325</v>
      </c>
      <c r="B807" s="2" t="s">
        <v>760</v>
      </c>
      <c r="C807" s="3"/>
      <c r="D807" s="3"/>
      <c r="E807" s="3"/>
      <c r="F807" s="27" t="str" cm="1">
        <f t="array" ref="F807">INDEX(Sources!A:A, 1 + BIN2DEC(LEFT($B807,5)))</f>
        <v>SIGMA</v>
      </c>
      <c r="G807" s="27" t="str" cm="1">
        <f t="array" ref="G807">INDEX(Dest1!A:A,1+BIN2DEC(MID($B807,6,5)))</f>
        <v>OPR</v>
      </c>
      <c r="H807" s="27" t="str" cm="1">
        <f t="array" ref="H807">INDEX(Source2!A:A,1+BIN2DEC(MID($B807,11,4)))</f>
        <v>--</v>
      </c>
      <c r="I807" s="23" cm="1">
        <f t="array" ref="I807">INDEX('D2'!A:A,1+BIN2DEC(MID($B807,16,2)))</f>
        <v>0</v>
      </c>
      <c r="J807" s="6">
        <f t="shared" si="80"/>
        <v>0</v>
      </c>
      <c r="K807" s="6">
        <f t="shared" si="76"/>
        <v>0</v>
      </c>
      <c r="L807" s="6">
        <f t="shared" si="77"/>
        <v>0</v>
      </c>
      <c r="M807" s="3" t="str" cm="1">
        <f t="array" ref="M807">INDEX(Types!A:A,1+BIN2DEC(MID($B807,20,2)))</f>
        <v>ALU</v>
      </c>
      <c r="N807" s="3" cm="1">
        <f t="array" ref="N807">IF(M807="ALU",INDEX(ALUOps!A:A,1+BIN2DEC(MID($B807,22,5))),"")</f>
        <v>26</v>
      </c>
      <c r="O807" s="3" cm="1">
        <f t="array" ref="O807">IF(M807="ALU",INDEX(TMP!A:A,1+BIN2DEC(MID($B807,27,2))),"")</f>
        <v>1</v>
      </c>
      <c r="P807" s="6">
        <f t="shared" si="78"/>
        <v>1</v>
      </c>
      <c r="Q807" t="str">
        <f t="shared" si="81"/>
        <v/>
      </c>
      <c r="R807" t="str">
        <f t="shared" si="82"/>
        <v/>
      </c>
      <c r="S807" t="str" cm="1">
        <f t="array" ref="S807">IF(M807="Control",INDEX(IC!A:A,1+BIN2DEC(MID($B807,21,4))),"")</f>
        <v/>
      </c>
      <c r="T807" t="str" cm="1">
        <f t="array" ref="T807">IF(M807="Control",INDEX(EC!A:A,1+BIN2DEC(MID($B807,25,3))),"")</f>
        <v/>
      </c>
      <c r="U807" t="str" cm="1">
        <f t="array" ref="U807">IF(M807="Control",INDEX(SR!A:A,1+BIN2DEC(MID($B807,28,2))),"")</f>
        <v/>
      </c>
    </row>
    <row r="808" spans="1:30" x14ac:dyDescent="0.25">
      <c r="A808" s="4" t="str">
        <f t="shared" si="79"/>
        <v>326</v>
      </c>
      <c r="B808" s="2" t="s">
        <v>761</v>
      </c>
      <c r="C808" s="3"/>
      <c r="D808" s="3"/>
      <c r="E808" s="3"/>
      <c r="F808" s="27" t="str" cm="1">
        <f t="array" ref="F808">INDEX(Sources!A:A, 1 + BIN2DEC(LEFT($B808,5)))</f>
        <v>A</v>
      </c>
      <c r="G808" s="27" t="str" cm="1">
        <f t="array" ref="G808">INDEX(Dest1!A:A,1+BIN2DEC(MID($B808,6,5)))</f>
        <v>TMPA</v>
      </c>
      <c r="H808" s="27" t="str" cm="1">
        <f t="array" ref="H808">INDEX(Source2!A:A,1+BIN2DEC(MID($B808,11,4)))</f>
        <v>11</v>
      </c>
      <c r="I808" s="23" cm="1">
        <f t="array" ref="I808">INDEX('D2'!A:A,1+BIN2DEC(MID($B808,16,2)))</f>
        <v>0</v>
      </c>
      <c r="J808" s="6">
        <f t="shared" si="80"/>
        <v>0</v>
      </c>
      <c r="K808" s="6">
        <f t="shared" si="76"/>
        <v>1</v>
      </c>
      <c r="L808" s="6">
        <f t="shared" si="77"/>
        <v>0</v>
      </c>
      <c r="M808" s="3" t="str" cm="1">
        <f t="array" ref="M808">INDEX(Types!A:A,1+BIN2DEC(MID($B808,20,2)))</f>
        <v>Control</v>
      </c>
      <c r="N808" s="3" t="str" cm="1">
        <f t="array" ref="N808">IF(M808="ALU",INDEX(ALUOps!A:A,1+BIN2DEC(MID($B808,22,5))),"")</f>
        <v/>
      </c>
      <c r="O808" s="3" t="str" cm="1">
        <f t="array" ref="O808">IF(M808="ALU",INDEX(TMP!A:A,1+BIN2DEC(MID($B808,27,2))),"")</f>
        <v/>
      </c>
      <c r="P808" s="6" t="str">
        <f t="shared" si="78"/>
        <v/>
      </c>
      <c r="Q808" t="str">
        <f t="shared" si="81"/>
        <v/>
      </c>
      <c r="R808" t="str">
        <f t="shared" si="82"/>
        <v/>
      </c>
      <c r="S808" cm="1">
        <f t="array" ref="S808">IF(M808="Control",INDEX(IC!A:A,1+BIN2DEC(MID($B808,21,4))),"")</f>
        <v>1</v>
      </c>
      <c r="T808" cm="1">
        <f t="array" ref="T808">IF(M808="Control",INDEX(EC!A:A,1+BIN2DEC(MID($B808,25,3))),"")</f>
        <v>4</v>
      </c>
      <c r="U808" cm="1">
        <f t="array" ref="U808">IF(M808="Control",INDEX(SR!A:A,1+BIN2DEC(MID($B808,28,2))),"")</f>
        <v>1</v>
      </c>
    </row>
    <row r="809" spans="1:30" x14ac:dyDescent="0.25">
      <c r="A809" s="4" t="str">
        <f t="shared" si="79"/>
        <v>327</v>
      </c>
      <c r="B809" s="2" t="s">
        <v>4</v>
      </c>
      <c r="C809" s="3"/>
      <c r="D809" s="3"/>
      <c r="E809" s="3"/>
      <c r="F809" s="27" t="str" cm="1">
        <f t="array" ref="F809">INDEX(Sources!A:A, 1 + BIN2DEC(LEFT($B809,5)))</f>
        <v>--</v>
      </c>
      <c r="G809" s="27" t="str" cm="1">
        <f t="array" ref="G809">INDEX(Dest1!A:A,1+BIN2DEC(MID($B809,6,5)))</f>
        <v>--</v>
      </c>
      <c r="H809" s="27" t="str" cm="1">
        <f t="array" ref="H809">INDEX(Source2!A:A,1+BIN2DEC(MID($B809,11,4)))</f>
        <v>--</v>
      </c>
      <c r="I809" s="23" cm="1">
        <f t="array" ref="I809">INDEX('D2'!A:A,1+BIN2DEC(MID($B809,16,2)))</f>
        <v>0</v>
      </c>
      <c r="J809" s="6">
        <f t="shared" si="80"/>
        <v>0</v>
      </c>
      <c r="K809" s="6">
        <f t="shared" si="76"/>
        <v>0</v>
      </c>
      <c r="L809" s="6">
        <f t="shared" si="77"/>
        <v>0</v>
      </c>
      <c r="M809" s="3" t="str" cm="1">
        <f t="array" ref="M809">INDEX(Types!A:A,1+BIN2DEC(MID($B809,20,2)))</f>
        <v>Control</v>
      </c>
      <c r="N809" s="3" t="str" cm="1">
        <f t="array" ref="N809">IF(M809="ALU",INDEX(ALUOps!A:A,1+BIN2DEC(MID($B809,22,5))),"")</f>
        <v/>
      </c>
      <c r="O809" s="3" t="str" cm="1">
        <f t="array" ref="O809">IF(M809="ALU",INDEX(TMP!A:A,1+BIN2DEC(MID($B809,27,2))),"")</f>
        <v/>
      </c>
      <c r="P809" s="6" t="str">
        <f t="shared" si="78"/>
        <v/>
      </c>
      <c r="Q809" t="str">
        <f t="shared" si="81"/>
        <v/>
      </c>
      <c r="R809" t="str">
        <f t="shared" si="82"/>
        <v/>
      </c>
      <c r="S809" cm="1">
        <f t="array" ref="S809">IF(M809="Control",INDEX(IC!A:A,1+BIN2DEC(MID($B809,21,4))),"")</f>
        <v>0</v>
      </c>
      <c r="T809" cm="1">
        <f t="array" ref="T809">IF(M809="Control",INDEX(EC!A:A,1+BIN2DEC(MID($B809,25,3))),"")</f>
        <v>0</v>
      </c>
      <c r="U809" cm="1">
        <f t="array" ref="U809">IF(M809="Control",INDEX(SR!A:A,1+BIN2DEC(MID($B809,28,2))),"")</f>
        <v>0</v>
      </c>
    </row>
    <row r="810" spans="1:30" x14ac:dyDescent="0.25">
      <c r="A810" s="4" t="str">
        <f t="shared" si="79"/>
        <v>328</v>
      </c>
      <c r="B810" s="2" t="s">
        <v>762</v>
      </c>
      <c r="C810" s="2" t="s">
        <v>758</v>
      </c>
      <c r="D810" s="2" t="s">
        <v>931</v>
      </c>
      <c r="E810" s="2" t="s">
        <v>462</v>
      </c>
      <c r="F810" s="27" t="str" cm="1">
        <f t="array" ref="F810">INDEX(Sources!A:A, 1 + BIN2DEC(LEFT($B810,5)))</f>
        <v>--</v>
      </c>
      <c r="G810" s="27" t="str" cm="1">
        <f t="array" ref="G810">INDEX(Dest1!A:A,1+BIN2DEC(MID($B810,6,5)))</f>
        <v>UNK26</v>
      </c>
      <c r="H810" s="27" t="str" cm="1">
        <f t="array" ref="H810">INDEX(Source2!A:A,1+BIN2DEC(MID($B810,11,4)))</f>
        <v>--</v>
      </c>
      <c r="I810" s="23" cm="1">
        <f t="array" ref="I810">INDEX('D2'!A:A,1+BIN2DEC(MID($B810,16,2)))</f>
        <v>0</v>
      </c>
      <c r="J810" s="6">
        <f t="shared" si="80"/>
        <v>0</v>
      </c>
      <c r="K810" s="6">
        <f t="shared" si="76"/>
        <v>0</v>
      </c>
      <c r="L810" s="6">
        <f t="shared" si="77"/>
        <v>0</v>
      </c>
      <c r="M810" s="3" t="str" cm="1">
        <f t="array" ref="M810">INDEX(Types!A:A,1+BIN2DEC(MID($B810,20,2)))</f>
        <v>Jump</v>
      </c>
      <c r="N810" s="3" t="str" cm="1">
        <f t="array" ref="N810">IF(M810="ALU",INDEX(ALUOps!A:A,1+BIN2DEC(MID($B810,22,5))),"")</f>
        <v/>
      </c>
      <c r="O810" s="3" t="str" cm="1">
        <f t="array" ref="O810">IF(M810="ALU",INDEX(TMP!A:A,1+BIN2DEC(MID($B810,27,2))),"")</f>
        <v/>
      </c>
      <c r="P810" s="6" t="str">
        <f t="shared" si="78"/>
        <v/>
      </c>
      <c r="Q810">
        <f t="shared" si="81"/>
        <v>14</v>
      </c>
      <c r="R810">
        <f t="shared" si="82"/>
        <v>14</v>
      </c>
      <c r="S810" t="str" cm="1">
        <f t="array" ref="S810">IF(M810="Control",INDEX(IC!A:A,1+BIN2DEC(MID($B810,21,4))),"")</f>
        <v/>
      </c>
      <c r="T810" t="str" cm="1">
        <f t="array" ref="T810">IF(M810="Control",INDEX(EC!A:A,1+BIN2DEC(MID($B810,25,3))),"")</f>
        <v/>
      </c>
      <c r="U810" t="str" cm="1">
        <f t="array" ref="U810">IF(M810="Control",INDEX(SR!A:A,1+BIN2DEC(MID($B810,28,2))),"")</f>
        <v/>
      </c>
      <c r="AD810" s="1" t="s">
        <v>759</v>
      </c>
    </row>
    <row r="811" spans="1:30" x14ac:dyDescent="0.25">
      <c r="A811" s="4" t="str">
        <f t="shared" si="79"/>
        <v>329</v>
      </c>
      <c r="B811" s="2" t="s">
        <v>764</v>
      </c>
      <c r="C811" s="3"/>
      <c r="D811" s="3"/>
      <c r="E811" s="3"/>
      <c r="F811" s="27" t="str" cm="1">
        <f t="array" ref="F811">INDEX(Sources!A:A, 1 + BIN2DEC(LEFT($B811,5)))</f>
        <v>REG</v>
      </c>
      <c r="G811" s="27" t="str" cm="1">
        <f t="array" ref="G811">INDEX(Dest1!A:A,1+BIN2DEC(MID($B811,6,5)))</f>
        <v>TMPA</v>
      </c>
      <c r="H811" s="27" t="str" cm="1">
        <f t="array" ref="H811">INDEX(Source2!A:A,1+BIN2DEC(MID($B811,11,4)))</f>
        <v>11</v>
      </c>
      <c r="I811" s="23" t="str" cm="1">
        <f t="array" ref="I811">INDEX('D2'!A:A,1+BIN2DEC(MID($B811,16,2)))</f>
        <v>TMPB</v>
      </c>
      <c r="J811" s="6">
        <f t="shared" si="80"/>
        <v>0</v>
      </c>
      <c r="K811" s="6">
        <f t="shared" si="76"/>
        <v>0</v>
      </c>
      <c r="L811" s="6">
        <f t="shared" si="77"/>
        <v>0</v>
      </c>
      <c r="M811" s="3" t="str" cm="1">
        <f t="array" ref="M811">INDEX(Types!A:A,1+BIN2DEC(MID($B811,20,2)))</f>
        <v>ALU</v>
      </c>
      <c r="N811" s="3" cm="1">
        <f t="array" ref="N811">IF(M811="ALU",INDEX(ALUOps!A:A,1+BIN2DEC(MID($B811,22,5))),"")</f>
        <v>26</v>
      </c>
      <c r="O811" s="3" cm="1">
        <f t="array" ref="O811">IF(M811="ALU",INDEX(TMP!A:A,1+BIN2DEC(MID($B811,27,2))),"")</f>
        <v>3</v>
      </c>
      <c r="P811" s="6">
        <f t="shared" si="78"/>
        <v>1</v>
      </c>
      <c r="Q811" t="str">
        <f t="shared" si="81"/>
        <v/>
      </c>
      <c r="R811" t="str">
        <f t="shared" si="82"/>
        <v/>
      </c>
      <c r="S811" t="str" cm="1">
        <f t="array" ref="S811">IF(M811="Control",INDEX(IC!A:A,1+BIN2DEC(MID($B811,21,4))),"")</f>
        <v/>
      </c>
      <c r="T811" t="str" cm="1">
        <f t="array" ref="T811">IF(M811="Control",INDEX(EC!A:A,1+BIN2DEC(MID($B811,25,3))),"")</f>
        <v/>
      </c>
      <c r="U811" t="str" cm="1">
        <f t="array" ref="U811">IF(M811="Control",INDEX(SR!A:A,1+BIN2DEC(MID($B811,28,2))),"")</f>
        <v/>
      </c>
    </row>
    <row r="812" spans="1:30" x14ac:dyDescent="0.25">
      <c r="A812" s="4" t="str">
        <f t="shared" si="79"/>
        <v>32A</v>
      </c>
      <c r="B812" s="2" t="s">
        <v>739</v>
      </c>
      <c r="C812" s="3"/>
      <c r="D812" s="3"/>
      <c r="E812" s="3"/>
      <c r="F812" s="27" t="str" cm="1">
        <f t="array" ref="F812">INDEX(Sources!A:A, 1 + BIN2DEC(LEFT($B812,5)))</f>
        <v>SIGMA</v>
      </c>
      <c r="G812" s="27" t="str" cm="1">
        <f t="array" ref="G812">INDEX(Dest1!A:A,1+BIN2DEC(MID($B812,6,5)))</f>
        <v>LC</v>
      </c>
      <c r="H812" s="27" t="str" cm="1">
        <f t="array" ref="H812">INDEX(Source2!A:A,1+BIN2DEC(MID($B812,11,4)))</f>
        <v>--</v>
      </c>
      <c r="I812" s="23" cm="1">
        <f t="array" ref="I812">INDEX('D2'!A:A,1+BIN2DEC(MID($B812,16,2)))</f>
        <v>0</v>
      </c>
      <c r="J812" s="6">
        <f t="shared" si="80"/>
        <v>0</v>
      </c>
      <c r="K812" s="6">
        <f t="shared" si="76"/>
        <v>0</v>
      </c>
      <c r="L812" s="6">
        <f t="shared" si="77"/>
        <v>0</v>
      </c>
      <c r="M812" s="3" t="str" cm="1">
        <f t="array" ref="M812">INDEX(Types!A:A,1+BIN2DEC(MID($B812,20,2)))</f>
        <v>Control</v>
      </c>
      <c r="N812" s="3" t="str" cm="1">
        <f t="array" ref="N812">IF(M812="ALU",INDEX(ALUOps!A:A,1+BIN2DEC(MID($B812,22,5))),"")</f>
        <v/>
      </c>
      <c r="O812" s="3" t="str" cm="1">
        <f t="array" ref="O812">IF(M812="ALU",INDEX(TMP!A:A,1+BIN2DEC(MID($B812,27,2))),"")</f>
        <v/>
      </c>
      <c r="P812" s="6" t="str">
        <f t="shared" si="78"/>
        <v/>
      </c>
      <c r="Q812" t="str">
        <f t="shared" si="81"/>
        <v/>
      </c>
      <c r="R812" t="str">
        <f t="shared" si="82"/>
        <v/>
      </c>
      <c r="S812" cm="1">
        <f t="array" ref="S812">IF(M812="Control",INDEX(IC!A:A,1+BIN2DEC(MID($B812,21,4))),"")</f>
        <v>0</v>
      </c>
      <c r="T812" cm="1">
        <f t="array" ref="T812">IF(M812="Control",INDEX(EC!A:A,1+BIN2DEC(MID($B812,25,3))),"")</f>
        <v>0</v>
      </c>
      <c r="U812" cm="1">
        <f t="array" ref="U812">IF(M812="Control",INDEX(SR!A:A,1+BIN2DEC(MID($B812,28,2))),"")</f>
        <v>0</v>
      </c>
    </row>
    <row r="813" spans="1:30" x14ac:dyDescent="0.25">
      <c r="A813" s="4" t="str">
        <f t="shared" si="79"/>
        <v>32B</v>
      </c>
      <c r="B813" s="2" t="s">
        <v>765</v>
      </c>
      <c r="C813" s="3"/>
      <c r="D813" s="3"/>
      <c r="E813" s="3"/>
      <c r="F813" s="27" t="str" cm="1">
        <f t="array" ref="F813">INDEX(Sources!A:A, 1 + BIN2DEC(LEFT($B813,5)))</f>
        <v>OUT</v>
      </c>
      <c r="G813" s="27" t="str" cm="1">
        <f t="array" ref="G813">INDEX(Dest1!A:A,1+BIN2DEC(MID($B813,6,5)))</f>
        <v>TMPB</v>
      </c>
      <c r="H813" s="27" t="str" cm="1">
        <f t="array" ref="H813">INDEX(Source2!A:A,1+BIN2DEC(MID($B813,11,4)))</f>
        <v>--</v>
      </c>
      <c r="I813" s="23" cm="1">
        <f t="array" ref="I813">INDEX('D2'!A:A,1+BIN2DEC(MID($B813,16,2)))</f>
        <v>0</v>
      </c>
      <c r="J813" s="6">
        <f t="shared" si="80"/>
        <v>0</v>
      </c>
      <c r="K813" s="6">
        <f t="shared" si="76"/>
        <v>0</v>
      </c>
      <c r="L813" s="6">
        <f t="shared" si="77"/>
        <v>0</v>
      </c>
      <c r="M813" s="3" t="str" cm="1">
        <f t="array" ref="M813">INDEX(Types!A:A,1+BIN2DEC(MID($B813,20,2)))</f>
        <v>Control</v>
      </c>
      <c r="N813" s="3" t="str" cm="1">
        <f t="array" ref="N813">IF(M813="ALU",INDEX(ALUOps!A:A,1+BIN2DEC(MID($B813,22,5))),"")</f>
        <v/>
      </c>
      <c r="O813" s="3" t="str" cm="1">
        <f t="array" ref="O813">IF(M813="ALU",INDEX(TMP!A:A,1+BIN2DEC(MID($B813,27,2))),"")</f>
        <v/>
      </c>
      <c r="P813" s="6" t="str">
        <f t="shared" si="78"/>
        <v/>
      </c>
      <c r="Q813" t="str">
        <f t="shared" si="81"/>
        <v/>
      </c>
      <c r="R813" t="str">
        <f t="shared" si="82"/>
        <v/>
      </c>
      <c r="S813" cm="1">
        <f t="array" ref="S813">IF(M813="Control",INDEX(IC!A:A,1+BIN2DEC(MID($B813,21,4))),"")</f>
        <v>0</v>
      </c>
      <c r="T813" cm="1">
        <f t="array" ref="T813">IF(M813="Control",INDEX(EC!A:A,1+BIN2DEC(MID($B813,25,3))),"")</f>
        <v>0</v>
      </c>
      <c r="U813" cm="1">
        <f t="array" ref="U813">IF(M813="Control",INDEX(SR!A:A,1+BIN2DEC(MID($B813,28,2))),"")</f>
        <v>0</v>
      </c>
    </row>
    <row r="814" spans="1:30" x14ac:dyDescent="0.25">
      <c r="A814" s="4" t="str">
        <f t="shared" si="79"/>
        <v>32C</v>
      </c>
      <c r="B814" s="2" t="s">
        <v>766</v>
      </c>
      <c r="C814" s="2" t="s">
        <v>763</v>
      </c>
      <c r="D814" s="2" t="s">
        <v>931</v>
      </c>
      <c r="E814" s="2" t="s">
        <v>929</v>
      </c>
      <c r="F814" s="27" t="str" cm="1">
        <f t="array" ref="F814">INDEX(Sources!A:A, 1 + BIN2DEC(LEFT($B814,5)))</f>
        <v>UNK22</v>
      </c>
      <c r="G814" s="27" t="str" cm="1">
        <f t="array" ref="G814">INDEX(Dest1!A:A,1+BIN2DEC(MID($B814,6,5)))</f>
        <v>UNK17</v>
      </c>
      <c r="H814" s="27" t="str" cm="1">
        <f t="array" ref="H814">INDEX(Source2!A:A,1+BIN2DEC(MID($B814,11,4)))</f>
        <v>7</v>
      </c>
      <c r="I814" s="23" cm="1">
        <f t="array" ref="I814">INDEX('D2'!A:A,1+BIN2DEC(MID($B814,16,2)))</f>
        <v>0</v>
      </c>
      <c r="J814" s="6">
        <f t="shared" si="80"/>
        <v>0</v>
      </c>
      <c r="K814" s="6">
        <f t="shared" si="76"/>
        <v>0</v>
      </c>
      <c r="L814" s="6">
        <f t="shared" si="77"/>
        <v>0</v>
      </c>
      <c r="M814" s="3" t="str" cm="1">
        <f t="array" ref="M814">INDEX(Types!A:A,1+BIN2DEC(MID($B814,20,2)))</f>
        <v>ALU</v>
      </c>
      <c r="N814" s="3" cm="1">
        <f t="array" ref="N814">IF(M814="ALU",INDEX(ALUOps!A:A,1+BIN2DEC(MID($B814,22,5))),"")</f>
        <v>0</v>
      </c>
      <c r="O814" s="3" cm="1">
        <f t="array" ref="O814">IF(M814="ALU",INDEX(TMP!A:A,1+BIN2DEC(MID($B814,27,2))),"")</f>
        <v>2</v>
      </c>
      <c r="P814" s="6">
        <f t="shared" si="78"/>
        <v>1</v>
      </c>
      <c r="Q814" t="str">
        <f t="shared" si="81"/>
        <v/>
      </c>
      <c r="R814" t="str">
        <f t="shared" si="82"/>
        <v/>
      </c>
      <c r="S814" t="str" cm="1">
        <f t="array" ref="S814">IF(M814="Control",INDEX(IC!A:A,1+BIN2DEC(MID($B814,21,4))),"")</f>
        <v/>
      </c>
      <c r="T814" t="str" cm="1">
        <f t="array" ref="T814">IF(M814="Control",INDEX(EC!A:A,1+BIN2DEC(MID($B814,25,3))),"")</f>
        <v/>
      </c>
      <c r="U814" t="str" cm="1">
        <f t="array" ref="U814">IF(M814="Control",INDEX(SR!A:A,1+BIN2DEC(MID($B814,28,2))),"")</f>
        <v/>
      </c>
      <c r="AD814" s="1" t="s">
        <v>759</v>
      </c>
    </row>
    <row r="815" spans="1:30" x14ac:dyDescent="0.25">
      <c r="A815" s="4" t="str">
        <f t="shared" si="79"/>
        <v>32D</v>
      </c>
      <c r="B815" s="2" t="s">
        <v>369</v>
      </c>
      <c r="C815" s="3"/>
      <c r="D815" s="3"/>
      <c r="E815" s="3"/>
      <c r="F815" s="27" t="str" cm="1">
        <f t="array" ref="F815">INDEX(Sources!A:A, 1 + BIN2DEC(LEFT($B815,5)))</f>
        <v>SIGMA</v>
      </c>
      <c r="G815" s="27" t="str" cm="1">
        <f t="array" ref="G815">INDEX(Dest1!A:A,1+BIN2DEC(MID($B815,6,5)))</f>
        <v>TMPA</v>
      </c>
      <c r="H815" s="27" t="str" cm="1">
        <f t="array" ref="H815">INDEX(Source2!A:A,1+BIN2DEC(MID($B815,11,4)))</f>
        <v>--</v>
      </c>
      <c r="I815" s="23" cm="1">
        <f t="array" ref="I815">INDEX('D2'!A:A,1+BIN2DEC(MID($B815,16,2)))</f>
        <v>0</v>
      </c>
      <c r="J815" s="6">
        <f t="shared" si="80"/>
        <v>0</v>
      </c>
      <c r="K815" s="6">
        <f t="shared" si="76"/>
        <v>0</v>
      </c>
      <c r="L815" s="6">
        <f t="shared" si="77"/>
        <v>0</v>
      </c>
      <c r="M815" s="3" t="str" cm="1">
        <f t="array" ref="M815">INDEX(Types!A:A,1+BIN2DEC(MID($B815,20,2)))</f>
        <v>ALU</v>
      </c>
      <c r="N815" s="3" cm="1">
        <f t="array" ref="N815">IF(M815="ALU",INDEX(ALUOps!A:A,1+BIN2DEC(MID($B815,22,5))),"")</f>
        <v>12</v>
      </c>
      <c r="O815" s="3" cm="1">
        <f t="array" ref="O815">IF(M815="ALU",INDEX(TMP!A:A,1+BIN2DEC(MID($B815,27,2))),"")</f>
        <v>1</v>
      </c>
      <c r="P815" s="6">
        <f t="shared" si="78"/>
        <v>0</v>
      </c>
      <c r="Q815" t="str">
        <f t="shared" si="81"/>
        <v/>
      </c>
      <c r="R815" t="str">
        <f t="shared" si="82"/>
        <v/>
      </c>
      <c r="S815" t="str" cm="1">
        <f t="array" ref="S815">IF(M815="Control",INDEX(IC!A:A,1+BIN2DEC(MID($B815,21,4))),"")</f>
        <v/>
      </c>
      <c r="T815" t="str" cm="1">
        <f t="array" ref="T815">IF(M815="Control",INDEX(EC!A:A,1+BIN2DEC(MID($B815,25,3))),"")</f>
        <v/>
      </c>
      <c r="U815" t="str" cm="1">
        <f t="array" ref="U815">IF(M815="Control",INDEX(SR!A:A,1+BIN2DEC(MID($B815,28,2))),"")</f>
        <v/>
      </c>
    </row>
    <row r="816" spans="1:30" x14ac:dyDescent="0.25">
      <c r="A816" s="4" t="str">
        <f t="shared" si="79"/>
        <v>32E</v>
      </c>
      <c r="B816" s="2" t="s">
        <v>768</v>
      </c>
      <c r="C816" s="3"/>
      <c r="D816" s="3"/>
      <c r="E816" s="3"/>
      <c r="F816" s="27" t="str" cm="1">
        <f t="array" ref="F816">INDEX(Sources!A:A, 1 + BIN2DEC(LEFT($B816,5)))</f>
        <v>--</v>
      </c>
      <c r="G816" s="27" t="str" cm="1">
        <f t="array" ref="G816">INDEX(Dest1!A:A,1+BIN2DEC(MID($B816,6,5)))</f>
        <v>UNK17</v>
      </c>
      <c r="H816" s="27" t="str" cm="1">
        <f t="array" ref="H816">INDEX(Source2!A:A,1+BIN2DEC(MID($B816,11,4)))</f>
        <v>--</v>
      </c>
      <c r="I816" s="23" cm="1">
        <f t="array" ref="I816">INDEX('D2'!A:A,1+BIN2DEC(MID($B816,16,2)))</f>
        <v>0</v>
      </c>
      <c r="J816" s="6">
        <f t="shared" si="80"/>
        <v>0</v>
      </c>
      <c r="K816" s="6">
        <f t="shared" si="76"/>
        <v>0</v>
      </c>
      <c r="L816" s="6">
        <f t="shared" si="77"/>
        <v>0</v>
      </c>
      <c r="M816" s="3" t="str" cm="1">
        <f t="array" ref="M816">INDEX(Types!A:A,1+BIN2DEC(MID($B816,20,2)))</f>
        <v>ALU</v>
      </c>
      <c r="N816" s="3" cm="1">
        <f t="array" ref="N816">IF(M816="ALU",INDEX(ALUOps!A:A,1+BIN2DEC(MID($B816,22,5))),"")</f>
        <v>0</v>
      </c>
      <c r="O816" s="3" cm="1">
        <f t="array" ref="O816">IF(M816="ALU",INDEX(TMP!A:A,1+BIN2DEC(MID($B816,27,2))),"")</f>
        <v>1</v>
      </c>
      <c r="P816" s="6">
        <f t="shared" si="78"/>
        <v>1</v>
      </c>
      <c r="Q816" t="str">
        <f t="shared" si="81"/>
        <v/>
      </c>
      <c r="R816" t="str">
        <f t="shared" si="82"/>
        <v/>
      </c>
      <c r="S816" t="str" cm="1">
        <f t="array" ref="S816">IF(M816="Control",INDEX(IC!A:A,1+BIN2DEC(MID($B816,21,4))),"")</f>
        <v/>
      </c>
      <c r="T816" t="str" cm="1">
        <f t="array" ref="T816">IF(M816="Control",INDEX(EC!A:A,1+BIN2DEC(MID($B816,25,3))),"")</f>
        <v/>
      </c>
      <c r="U816" t="str" cm="1">
        <f t="array" ref="U816">IF(M816="Control",INDEX(SR!A:A,1+BIN2DEC(MID($B816,28,2))),"")</f>
        <v/>
      </c>
    </row>
    <row r="817" spans="1:30" x14ac:dyDescent="0.25">
      <c r="A817" s="4" t="str">
        <f t="shared" si="79"/>
        <v>32F</v>
      </c>
      <c r="B817" s="2" t="s">
        <v>198</v>
      </c>
      <c r="C817" s="3"/>
      <c r="D817" s="3"/>
      <c r="E817" s="3"/>
      <c r="F817" s="27" t="str" cm="1">
        <f t="array" ref="F817">INDEX(Sources!A:A, 1 + BIN2DEC(LEFT($B817,5)))</f>
        <v>--</v>
      </c>
      <c r="G817" s="27" t="str" cm="1">
        <f t="array" ref="G817">INDEX(Dest1!A:A,1+BIN2DEC(MID($B817,6,5)))</f>
        <v>UNK26</v>
      </c>
      <c r="H817" s="27" t="str" cm="1">
        <f t="array" ref="H817">INDEX(Source2!A:A,1+BIN2DEC(MID($B817,11,4)))</f>
        <v>--</v>
      </c>
      <c r="I817" s="23" cm="1">
        <f t="array" ref="I817">INDEX('D2'!A:A,1+BIN2DEC(MID($B817,16,2)))</f>
        <v>0</v>
      </c>
      <c r="J817" s="6">
        <f t="shared" si="80"/>
        <v>0</v>
      </c>
      <c r="K817" s="6">
        <f t="shared" si="76"/>
        <v>0</v>
      </c>
      <c r="L817" s="6">
        <f t="shared" si="77"/>
        <v>0</v>
      </c>
      <c r="M817" s="3" t="str" cm="1">
        <f t="array" ref="M817">INDEX(Types!A:A,1+BIN2DEC(MID($B817,20,2)))</f>
        <v>Control</v>
      </c>
      <c r="N817" s="3" t="str" cm="1">
        <f t="array" ref="N817">IF(M817="ALU",INDEX(ALUOps!A:A,1+BIN2DEC(MID($B817,22,5))),"")</f>
        <v/>
      </c>
      <c r="O817" s="3" t="str" cm="1">
        <f t="array" ref="O817">IF(M817="ALU",INDEX(TMP!A:A,1+BIN2DEC(MID($B817,27,2))),"")</f>
        <v/>
      </c>
      <c r="P817" s="6" t="str">
        <f t="shared" si="78"/>
        <v/>
      </c>
      <c r="Q817" t="str">
        <f t="shared" si="81"/>
        <v/>
      </c>
      <c r="R817" t="str">
        <f t="shared" si="82"/>
        <v/>
      </c>
      <c r="S817" cm="1">
        <f t="array" ref="S817">IF(M817="Control",INDEX(IC!A:A,1+BIN2DEC(MID($B817,21,4))),"")</f>
        <v>0</v>
      </c>
      <c r="T817" cm="1">
        <f t="array" ref="T817">IF(M817="Control",INDEX(EC!A:A,1+BIN2DEC(MID($B817,25,3))),"")</f>
        <v>5</v>
      </c>
      <c r="U817" cm="1">
        <f t="array" ref="U817">IF(M817="Control",INDEX(SR!A:A,1+BIN2DEC(MID($B817,28,2))),"")</f>
        <v>3</v>
      </c>
    </row>
    <row r="818" spans="1:30" x14ac:dyDescent="0.25">
      <c r="A818" s="4" t="str">
        <f t="shared" si="79"/>
        <v>330</v>
      </c>
      <c r="B818" s="2" t="s">
        <v>751</v>
      </c>
      <c r="C818" s="2" t="s">
        <v>767</v>
      </c>
      <c r="D818" s="2" t="s">
        <v>931</v>
      </c>
      <c r="E818" s="2" t="s">
        <v>488</v>
      </c>
      <c r="F818" s="27" t="str" cm="1">
        <f t="array" ref="F818">INDEX(Sources!A:A, 1 + BIN2DEC(LEFT($B818,5)))</f>
        <v>TMPB</v>
      </c>
      <c r="G818" s="27" t="str" cm="1">
        <f t="array" ref="G818">INDEX(Dest1!A:A,1+BIN2DEC(MID($B818,6,5)))</f>
        <v>OUT</v>
      </c>
      <c r="H818" s="27" t="str" cm="1">
        <f t="array" ref="H818">INDEX(Source2!A:A,1+BIN2DEC(MID($B818,11,4)))</f>
        <v>--</v>
      </c>
      <c r="I818" s="23" cm="1">
        <f t="array" ref="I818">INDEX('D2'!A:A,1+BIN2DEC(MID($B818,16,2)))</f>
        <v>0</v>
      </c>
      <c r="J818" s="6">
        <f t="shared" si="80"/>
        <v>0</v>
      </c>
      <c r="K818" s="6">
        <f t="shared" si="76"/>
        <v>0</v>
      </c>
      <c r="L818" s="6">
        <f t="shared" si="77"/>
        <v>0</v>
      </c>
      <c r="M818" s="3" t="str" cm="1">
        <f t="array" ref="M818">INDEX(Types!A:A,1+BIN2DEC(MID($B818,20,2)))</f>
        <v>Control</v>
      </c>
      <c r="N818" s="3" t="str" cm="1">
        <f t="array" ref="N818">IF(M818="ALU",INDEX(ALUOps!A:A,1+BIN2DEC(MID($B818,22,5))),"")</f>
        <v/>
      </c>
      <c r="O818" s="3" t="str" cm="1">
        <f t="array" ref="O818">IF(M818="ALU",INDEX(TMP!A:A,1+BIN2DEC(MID($B818,27,2))),"")</f>
        <v/>
      </c>
      <c r="P818" s="6" t="str">
        <f t="shared" si="78"/>
        <v/>
      </c>
      <c r="Q818" t="str">
        <f t="shared" si="81"/>
        <v/>
      </c>
      <c r="R818" t="str">
        <f t="shared" si="82"/>
        <v/>
      </c>
      <c r="S818" cm="1">
        <f t="array" ref="S818">IF(M818="Control",INDEX(IC!A:A,1+BIN2DEC(MID($B818,21,4))),"")</f>
        <v>0</v>
      </c>
      <c r="T818" cm="1">
        <f t="array" ref="T818">IF(M818="Control",INDEX(EC!A:A,1+BIN2DEC(MID($B818,25,3))),"")</f>
        <v>0</v>
      </c>
      <c r="U818" cm="1">
        <f t="array" ref="U818">IF(M818="Control",INDEX(SR!A:A,1+BIN2DEC(MID($B818,28,2))),"")</f>
        <v>0</v>
      </c>
      <c r="AD818" s="1" t="s">
        <v>759</v>
      </c>
    </row>
    <row r="819" spans="1:30" x14ac:dyDescent="0.25">
      <c r="A819" s="4" t="str">
        <f t="shared" si="79"/>
        <v>331</v>
      </c>
      <c r="B819" s="2" t="s">
        <v>770</v>
      </c>
      <c r="C819" s="3"/>
      <c r="D819" s="3"/>
      <c r="E819" s="3"/>
      <c r="F819" s="27" t="str" cm="1">
        <f t="array" ref="F819">INDEX(Sources!A:A, 1 + BIN2DEC(LEFT($B819,5)))</f>
        <v>OPR</v>
      </c>
      <c r="G819" s="27" t="str" cm="1">
        <f t="array" ref="G819">INDEX(Dest1!A:A,1+BIN2DEC(MID($B819,6,5)))</f>
        <v>UNK11</v>
      </c>
      <c r="H819" s="27" t="str" cm="1">
        <f t="array" ref="H819">INDEX(Source2!A:A,1+BIN2DEC(MID($B819,11,4)))</f>
        <v>--</v>
      </c>
      <c r="I819" s="23" cm="1">
        <f t="array" ref="I819">INDEX('D2'!A:A,1+BIN2DEC(MID($B819,16,2)))</f>
        <v>0</v>
      </c>
      <c r="J819" s="6">
        <f t="shared" si="80"/>
        <v>0</v>
      </c>
      <c r="K819" s="6">
        <f t="shared" si="76"/>
        <v>0</v>
      </c>
      <c r="L819" s="6">
        <f t="shared" si="77"/>
        <v>0</v>
      </c>
      <c r="M819" s="3" t="str" cm="1">
        <f t="array" ref="M819">INDEX(Types!A:A,1+BIN2DEC(MID($B819,20,2)))</f>
        <v>ALU</v>
      </c>
      <c r="N819" s="3" cm="1">
        <f t="array" ref="N819">IF(M819="ALU",INDEX(ALUOps!A:A,1+BIN2DEC(MID($B819,22,5))),"")</f>
        <v>3</v>
      </c>
      <c r="O819" s="3" cm="1">
        <f t="array" ref="O819">IF(M819="ALU",INDEX(TMP!A:A,1+BIN2DEC(MID($B819,27,2))),"")</f>
        <v>1</v>
      </c>
      <c r="P819" s="6">
        <f t="shared" si="78"/>
        <v>1</v>
      </c>
      <c r="Q819" t="str">
        <f t="shared" si="81"/>
        <v/>
      </c>
      <c r="R819" t="str">
        <f t="shared" si="82"/>
        <v/>
      </c>
      <c r="S819" t="str" cm="1">
        <f t="array" ref="S819">IF(M819="Control",INDEX(IC!A:A,1+BIN2DEC(MID($B819,21,4))),"")</f>
        <v/>
      </c>
      <c r="T819" t="str" cm="1">
        <f t="array" ref="T819">IF(M819="Control",INDEX(EC!A:A,1+BIN2DEC(MID($B819,25,3))),"")</f>
        <v/>
      </c>
      <c r="U819" t="str" cm="1">
        <f t="array" ref="U819">IF(M819="Control",INDEX(SR!A:A,1+BIN2DEC(MID($B819,28,2))),"")</f>
        <v/>
      </c>
    </row>
    <row r="820" spans="1:30" x14ac:dyDescent="0.25">
      <c r="A820" s="4" t="str">
        <f t="shared" si="79"/>
        <v>332</v>
      </c>
      <c r="B820" s="2" t="s">
        <v>771</v>
      </c>
      <c r="C820" s="3"/>
      <c r="D820" s="3"/>
      <c r="E820" s="3"/>
      <c r="F820" s="27" t="str" cm="1">
        <f t="array" ref="F820">INDEX(Sources!A:A, 1 + BIN2DEC(LEFT($B820,5)))</f>
        <v>SIGMA</v>
      </c>
      <c r="G820" s="27" t="str" cm="1">
        <f t="array" ref="G820">INDEX(Dest1!A:A,1+BIN2DEC(MID($B820,6,5)))</f>
        <v>--</v>
      </c>
      <c r="H820" s="27" t="str" cm="1">
        <f t="array" ref="H820">INDEX(Source2!A:A,1+BIN2DEC(MID($B820,11,4)))</f>
        <v>--</v>
      </c>
      <c r="I820" s="23" cm="1">
        <f t="array" ref="I820">INDEX('D2'!A:A,1+BIN2DEC(MID($B820,16,2)))</f>
        <v>0</v>
      </c>
      <c r="J820" s="6">
        <f t="shared" si="80"/>
        <v>0</v>
      </c>
      <c r="K820" s="6">
        <f t="shared" si="76"/>
        <v>0</v>
      </c>
      <c r="L820" s="6">
        <f t="shared" si="77"/>
        <v>0</v>
      </c>
      <c r="M820" s="3" t="str" cm="1">
        <f t="array" ref="M820">INDEX(Types!A:A,1+BIN2DEC(MID($B820,20,2)))</f>
        <v>ALU</v>
      </c>
      <c r="N820" s="3" cm="1">
        <f t="array" ref="N820">IF(M820="ALU",INDEX(ALUOps!A:A,1+BIN2DEC(MID($B820,22,5))),"")</f>
        <v>0</v>
      </c>
      <c r="O820" s="3" cm="1">
        <f t="array" ref="O820">IF(M820="ALU",INDEX(TMP!A:A,1+BIN2DEC(MID($B820,27,2))),"")</f>
        <v>3</v>
      </c>
      <c r="P820" s="6">
        <f t="shared" si="78"/>
        <v>1</v>
      </c>
      <c r="Q820" t="str">
        <f t="shared" si="81"/>
        <v/>
      </c>
      <c r="R820" t="str">
        <f t="shared" si="82"/>
        <v/>
      </c>
      <c r="S820" t="str" cm="1">
        <f t="array" ref="S820">IF(M820="Control",INDEX(IC!A:A,1+BIN2DEC(MID($B820,21,4))),"")</f>
        <v/>
      </c>
      <c r="T820" t="str" cm="1">
        <f t="array" ref="T820">IF(M820="Control",INDEX(EC!A:A,1+BIN2DEC(MID($B820,25,3))),"")</f>
        <v/>
      </c>
      <c r="U820" t="str" cm="1">
        <f t="array" ref="U820">IF(M820="Control",INDEX(SR!A:A,1+BIN2DEC(MID($B820,28,2))),"")</f>
        <v/>
      </c>
    </row>
    <row r="821" spans="1:30" x14ac:dyDescent="0.25">
      <c r="A821" s="4" t="str">
        <f t="shared" si="79"/>
        <v>333</v>
      </c>
      <c r="B821" s="2" t="s">
        <v>747</v>
      </c>
      <c r="C821" s="3"/>
      <c r="D821" s="3"/>
      <c r="E821" s="3"/>
      <c r="F821" s="27" t="str" cm="1">
        <f t="array" ref="F821">INDEX(Sources!A:A, 1 + BIN2DEC(LEFT($B821,5)))</f>
        <v>TMPB</v>
      </c>
      <c r="G821" s="27" t="str" cm="1">
        <f t="array" ref="G821">INDEX(Dest1!A:A,1+BIN2DEC(MID($B821,6,5)))</f>
        <v>LC</v>
      </c>
      <c r="H821" s="27" t="str" cm="1">
        <f t="array" ref="H821">INDEX(Source2!A:A,1+BIN2DEC(MID($B821,11,4)))</f>
        <v>11</v>
      </c>
      <c r="I821" s="23" cm="1">
        <f t="array" ref="I821">INDEX('D2'!A:A,1+BIN2DEC(MID($B821,16,2)))</f>
        <v>0</v>
      </c>
      <c r="J821" s="6">
        <f t="shared" si="80"/>
        <v>0</v>
      </c>
      <c r="K821" s="6">
        <f t="shared" si="76"/>
        <v>0</v>
      </c>
      <c r="L821" s="6">
        <f t="shared" si="77"/>
        <v>0</v>
      </c>
      <c r="M821" s="3" t="str" cm="1">
        <f t="array" ref="M821">INDEX(Types!A:A,1+BIN2DEC(MID($B821,20,2)))</f>
        <v>Control</v>
      </c>
      <c r="N821" s="3" t="str" cm="1">
        <f t="array" ref="N821">IF(M821="ALU",INDEX(ALUOps!A:A,1+BIN2DEC(MID($B821,22,5))),"")</f>
        <v/>
      </c>
      <c r="O821" s="3" t="str" cm="1">
        <f t="array" ref="O821">IF(M821="ALU",INDEX(TMP!A:A,1+BIN2DEC(MID($B821,27,2))),"")</f>
        <v/>
      </c>
      <c r="P821" s="6" t="str">
        <f t="shared" si="78"/>
        <v/>
      </c>
      <c r="Q821" t="str">
        <f t="shared" si="81"/>
        <v/>
      </c>
      <c r="R821" t="str">
        <f t="shared" si="82"/>
        <v/>
      </c>
      <c r="S821" cm="1">
        <f t="array" ref="S821">IF(M821="Control",INDEX(IC!A:A,1+BIN2DEC(MID($B821,21,4))),"")</f>
        <v>0</v>
      </c>
      <c r="T821" cm="1">
        <f t="array" ref="T821">IF(M821="Control",INDEX(EC!A:A,1+BIN2DEC(MID($B821,25,3))),"")</f>
        <v>0</v>
      </c>
      <c r="U821" cm="1">
        <f t="array" ref="U821">IF(M821="Control",INDEX(SR!A:A,1+BIN2DEC(MID($B821,28,2))),"")</f>
        <v>0</v>
      </c>
    </row>
    <row r="822" spans="1:30" x14ac:dyDescent="0.25">
      <c r="A822" s="4" t="str">
        <f t="shared" si="79"/>
        <v>334</v>
      </c>
      <c r="B822" s="2" t="s">
        <v>772</v>
      </c>
      <c r="C822" s="2" t="s">
        <v>769</v>
      </c>
      <c r="D822" s="2" t="s">
        <v>931</v>
      </c>
      <c r="E822" s="2" t="s">
        <v>933</v>
      </c>
      <c r="F822" s="27" t="str" cm="1">
        <f t="array" ref="F822">INDEX(Sources!A:A, 1 + BIN2DEC(LEFT($B822,5)))</f>
        <v>UNK22</v>
      </c>
      <c r="G822" s="27" t="str" cm="1">
        <f t="array" ref="G822">INDEX(Dest1!A:A,1+BIN2DEC(MID($B822,6,5)))</f>
        <v>UNK17</v>
      </c>
      <c r="H822" s="27" t="str" cm="1">
        <f t="array" ref="H822">INDEX(Source2!A:A,1+BIN2DEC(MID($B822,11,4)))</f>
        <v>--</v>
      </c>
      <c r="I822" s="23" cm="1">
        <f t="array" ref="I822">INDEX('D2'!A:A,1+BIN2DEC(MID($B822,16,2)))</f>
        <v>0</v>
      </c>
      <c r="J822" s="6">
        <f t="shared" si="80"/>
        <v>0</v>
      </c>
      <c r="K822" s="6">
        <f t="shared" si="76"/>
        <v>0</v>
      </c>
      <c r="L822" s="6">
        <f t="shared" si="77"/>
        <v>0</v>
      </c>
      <c r="M822" s="3" t="str" cm="1">
        <f t="array" ref="M822">INDEX(Types!A:A,1+BIN2DEC(MID($B822,20,2)))</f>
        <v>Jump</v>
      </c>
      <c r="N822" s="3" t="str" cm="1">
        <f t="array" ref="N822">IF(M822="ALU",INDEX(ALUOps!A:A,1+BIN2DEC(MID($B822,22,5))),"")</f>
        <v/>
      </c>
      <c r="O822" s="3" t="str" cm="1">
        <f t="array" ref="O822">IF(M822="ALU",INDEX(TMP!A:A,1+BIN2DEC(MID($B822,27,2))),"")</f>
        <v/>
      </c>
      <c r="P822" s="6" t="str">
        <f t="shared" si="78"/>
        <v/>
      </c>
      <c r="Q822">
        <f t="shared" si="81"/>
        <v>12</v>
      </c>
      <c r="R822">
        <f t="shared" si="82"/>
        <v>14</v>
      </c>
      <c r="S822" t="str" cm="1">
        <f t="array" ref="S822">IF(M822="Control",INDEX(IC!A:A,1+BIN2DEC(MID($B822,21,4))),"")</f>
        <v/>
      </c>
      <c r="T822" t="str" cm="1">
        <f t="array" ref="T822">IF(M822="Control",INDEX(EC!A:A,1+BIN2DEC(MID($B822,25,3))),"")</f>
        <v/>
      </c>
      <c r="U822" t="str" cm="1">
        <f t="array" ref="U822">IF(M822="Control",INDEX(SR!A:A,1+BIN2DEC(MID($B822,28,2))),"")</f>
        <v/>
      </c>
      <c r="AD822" s="1" t="s">
        <v>759</v>
      </c>
    </row>
    <row r="823" spans="1:30" x14ac:dyDescent="0.25">
      <c r="A823" s="4" t="str">
        <f t="shared" si="79"/>
        <v>335</v>
      </c>
      <c r="B823" s="2" t="s">
        <v>775</v>
      </c>
      <c r="C823" s="3"/>
      <c r="D823" s="3"/>
      <c r="E823" s="3"/>
      <c r="F823" s="27" t="str" cm="1">
        <f t="array" ref="F823">INDEX(Sources!A:A, 1 + BIN2DEC(LEFT($B823,5)))</f>
        <v>SIGMA</v>
      </c>
      <c r="G823" s="27" t="str" cm="1">
        <f t="array" ref="G823">INDEX(Dest1!A:A,1+BIN2DEC(MID($B823,6,5)))</f>
        <v>OPR</v>
      </c>
      <c r="H823" s="27" t="str" cm="1">
        <f t="array" ref="H823">INDEX(Source2!A:A,1+BIN2DEC(MID($B823,11,4)))</f>
        <v>--</v>
      </c>
      <c r="I823" s="23" cm="1">
        <f t="array" ref="I823">INDEX('D2'!A:A,1+BIN2DEC(MID($B823,16,2)))</f>
        <v>0</v>
      </c>
      <c r="J823" s="6">
        <f t="shared" si="80"/>
        <v>0</v>
      </c>
      <c r="K823" s="6">
        <f t="shared" si="76"/>
        <v>0</v>
      </c>
      <c r="L823" s="6">
        <f t="shared" si="77"/>
        <v>1</v>
      </c>
      <c r="M823" s="3" t="str" cm="1">
        <f t="array" ref="M823">INDEX(Types!A:A,1+BIN2DEC(MID($B823,20,2)))</f>
        <v>Control</v>
      </c>
      <c r="N823" s="3" t="str" cm="1">
        <f t="array" ref="N823">IF(M823="ALU",INDEX(ALUOps!A:A,1+BIN2DEC(MID($B823,22,5))),"")</f>
        <v/>
      </c>
      <c r="O823" s="3" t="str" cm="1">
        <f t="array" ref="O823">IF(M823="ALU",INDEX(TMP!A:A,1+BIN2DEC(MID($B823,27,2))),"")</f>
        <v/>
      </c>
      <c r="P823" s="6" t="str">
        <f t="shared" si="78"/>
        <v/>
      </c>
      <c r="Q823" t="str">
        <f t="shared" si="81"/>
        <v/>
      </c>
      <c r="R823" t="str">
        <f t="shared" si="82"/>
        <v/>
      </c>
      <c r="S823" cm="1">
        <f t="array" ref="S823">IF(M823="Control",INDEX(IC!A:A,1+BIN2DEC(MID($B823,21,4))),"")</f>
        <v>0</v>
      </c>
      <c r="T823" cm="1">
        <f t="array" ref="T823">IF(M823="Control",INDEX(EC!A:A,1+BIN2DEC(MID($B823,25,3))),"")</f>
        <v>0</v>
      </c>
      <c r="U823" cm="1">
        <f t="array" ref="U823">IF(M823="Control",INDEX(SR!A:A,1+BIN2DEC(MID($B823,28,2))),"")</f>
        <v>0</v>
      </c>
    </row>
    <row r="824" spans="1:30" x14ac:dyDescent="0.25">
      <c r="A824" s="4" t="str">
        <f t="shared" si="79"/>
        <v>336</v>
      </c>
      <c r="B824" s="2" t="s">
        <v>4</v>
      </c>
      <c r="C824" s="3"/>
      <c r="D824" s="3"/>
      <c r="E824" s="3"/>
      <c r="F824" s="27" t="str" cm="1">
        <f t="array" ref="F824">INDEX(Sources!A:A, 1 + BIN2DEC(LEFT($B824,5)))</f>
        <v>--</v>
      </c>
      <c r="G824" s="27" t="str" cm="1">
        <f t="array" ref="G824">INDEX(Dest1!A:A,1+BIN2DEC(MID($B824,6,5)))</f>
        <v>--</v>
      </c>
      <c r="H824" s="27" t="str" cm="1">
        <f t="array" ref="H824">INDEX(Source2!A:A,1+BIN2DEC(MID($B824,11,4)))</f>
        <v>--</v>
      </c>
      <c r="I824" s="23" cm="1">
        <f t="array" ref="I824">INDEX('D2'!A:A,1+BIN2DEC(MID($B824,16,2)))</f>
        <v>0</v>
      </c>
      <c r="J824" s="6">
        <f t="shared" si="80"/>
        <v>0</v>
      </c>
      <c r="K824" s="6">
        <f t="shared" si="76"/>
        <v>0</v>
      </c>
      <c r="L824" s="6">
        <f t="shared" si="77"/>
        <v>0</v>
      </c>
      <c r="M824" s="3" t="str" cm="1">
        <f t="array" ref="M824">INDEX(Types!A:A,1+BIN2DEC(MID($B824,20,2)))</f>
        <v>Control</v>
      </c>
      <c r="N824" s="3" t="str" cm="1">
        <f t="array" ref="N824">IF(M824="ALU",INDEX(ALUOps!A:A,1+BIN2DEC(MID($B824,22,5))),"")</f>
        <v/>
      </c>
      <c r="O824" s="3" t="str" cm="1">
        <f t="array" ref="O824">IF(M824="ALU",INDEX(TMP!A:A,1+BIN2DEC(MID($B824,27,2))),"")</f>
        <v/>
      </c>
      <c r="P824" s="6" t="str">
        <f t="shared" si="78"/>
        <v/>
      </c>
      <c r="Q824" t="str">
        <f t="shared" si="81"/>
        <v/>
      </c>
      <c r="R824" t="str">
        <f t="shared" si="82"/>
        <v/>
      </c>
      <c r="S824" cm="1">
        <f t="array" ref="S824">IF(M824="Control",INDEX(IC!A:A,1+BIN2DEC(MID($B824,21,4))),"")</f>
        <v>0</v>
      </c>
      <c r="T824" cm="1">
        <f t="array" ref="T824">IF(M824="Control",INDEX(EC!A:A,1+BIN2DEC(MID($B824,25,3))),"")</f>
        <v>0</v>
      </c>
      <c r="U824" cm="1">
        <f t="array" ref="U824">IF(M824="Control",INDEX(SR!A:A,1+BIN2DEC(MID($B824,28,2))),"")</f>
        <v>0</v>
      </c>
    </row>
    <row r="825" spans="1:30" x14ac:dyDescent="0.25">
      <c r="A825" s="4" t="str">
        <f t="shared" si="79"/>
        <v>337</v>
      </c>
      <c r="B825" s="2" t="s">
        <v>215</v>
      </c>
      <c r="C825" s="3"/>
      <c r="D825" s="3"/>
      <c r="E825" s="3"/>
      <c r="F825" s="27" t="str" cm="1">
        <f t="array" ref="F825">INDEX(Sources!A:A, 1 + BIN2DEC(LEFT($B825,5)))</f>
        <v>--</v>
      </c>
      <c r="G825" s="27" t="str" cm="1">
        <f t="array" ref="G825">INDEX(Dest1!A:A,1+BIN2DEC(MID($B825,6,5)))</f>
        <v>UNK26</v>
      </c>
      <c r="H825" s="27" t="str" cm="1">
        <f t="array" ref="H825">INDEX(Source2!A:A,1+BIN2DEC(MID($B825,11,4)))</f>
        <v>--</v>
      </c>
      <c r="I825" s="23" cm="1">
        <f t="array" ref="I825">INDEX('D2'!A:A,1+BIN2DEC(MID($B825,16,2)))</f>
        <v>0</v>
      </c>
      <c r="J825" s="6">
        <f t="shared" si="80"/>
        <v>0</v>
      </c>
      <c r="K825" s="6">
        <f t="shared" si="76"/>
        <v>0</v>
      </c>
      <c r="L825" s="6">
        <f t="shared" si="77"/>
        <v>0</v>
      </c>
      <c r="M825" s="3" t="str" cm="1">
        <f t="array" ref="M825">INDEX(Types!A:A,1+BIN2DEC(MID($B825,20,2)))</f>
        <v>Control</v>
      </c>
      <c r="N825" s="3" t="str" cm="1">
        <f t="array" ref="N825">IF(M825="ALU",INDEX(ALUOps!A:A,1+BIN2DEC(MID($B825,22,5))),"")</f>
        <v/>
      </c>
      <c r="O825" s="3" t="str" cm="1">
        <f t="array" ref="O825">IF(M825="ALU",INDEX(TMP!A:A,1+BIN2DEC(MID($B825,27,2))),"")</f>
        <v/>
      </c>
      <c r="P825" s="6" t="str">
        <f t="shared" si="78"/>
        <v/>
      </c>
      <c r="Q825" t="str">
        <f t="shared" si="81"/>
        <v/>
      </c>
      <c r="R825" t="str">
        <f t="shared" si="82"/>
        <v/>
      </c>
      <c r="S825" cm="1">
        <f t="array" ref="S825">IF(M825="Control",INDEX(IC!A:A,1+BIN2DEC(MID($B825,21,4))),"")</f>
        <v>0</v>
      </c>
      <c r="T825" cm="1">
        <f t="array" ref="T825">IF(M825="Control",INDEX(EC!A:A,1+BIN2DEC(MID($B825,25,3))),"")</f>
        <v>6</v>
      </c>
      <c r="U825" cm="1">
        <f t="array" ref="U825">IF(M825="Control",INDEX(SR!A:A,1+BIN2DEC(MID($B825,28,2))),"")</f>
        <v>3</v>
      </c>
    </row>
    <row r="826" spans="1:30" x14ac:dyDescent="0.25">
      <c r="A826" s="4" t="str">
        <f t="shared" si="79"/>
        <v>338</v>
      </c>
      <c r="B826" s="2" t="s">
        <v>776</v>
      </c>
      <c r="C826" s="2" t="s">
        <v>773</v>
      </c>
      <c r="D826" s="2" t="s">
        <v>931</v>
      </c>
      <c r="E826" s="2" t="s">
        <v>462</v>
      </c>
      <c r="F826" s="27" t="str" cm="1">
        <f t="array" ref="F826">INDEX(Sources!A:A, 1 + BIN2DEC(LEFT($B826,5)))</f>
        <v>OUT</v>
      </c>
      <c r="G826" s="27" t="str" cm="1">
        <f t="array" ref="G826">INDEX(Dest1!A:A,1+BIN2DEC(MID($B826,6,5)))</f>
        <v>TMPB</v>
      </c>
      <c r="H826" s="27" t="str" cm="1">
        <f t="array" ref="H826">INDEX(Source2!A:A,1+BIN2DEC(MID($B826,11,4)))</f>
        <v>--</v>
      </c>
      <c r="I826" s="23" cm="1">
        <f t="array" ref="I826">INDEX('D2'!A:A,1+BIN2DEC(MID($B826,16,2)))</f>
        <v>0</v>
      </c>
      <c r="J826" s="6">
        <f t="shared" si="80"/>
        <v>0</v>
      </c>
      <c r="K826" s="6">
        <f t="shared" si="76"/>
        <v>0</v>
      </c>
      <c r="L826" s="6">
        <f t="shared" si="77"/>
        <v>0</v>
      </c>
      <c r="M826" s="3" t="str" cm="1">
        <f t="array" ref="M826">INDEX(Types!A:A,1+BIN2DEC(MID($B826,20,2)))</f>
        <v>ALU</v>
      </c>
      <c r="N826" s="3" cm="1">
        <f t="array" ref="N826">IF(M826="ALU",INDEX(ALUOps!A:A,1+BIN2DEC(MID($B826,22,5))),"")</f>
        <v>0</v>
      </c>
      <c r="O826" s="3" cm="1">
        <f t="array" ref="O826">IF(M826="ALU",INDEX(TMP!A:A,1+BIN2DEC(MID($B826,27,2))),"")</f>
        <v>2</v>
      </c>
      <c r="P826" s="6">
        <f t="shared" si="78"/>
        <v>1</v>
      </c>
      <c r="Q826" t="str">
        <f t="shared" si="81"/>
        <v/>
      </c>
      <c r="R826" t="str">
        <f t="shared" si="82"/>
        <v/>
      </c>
      <c r="S826" t="str" cm="1">
        <f t="array" ref="S826">IF(M826="Control",INDEX(IC!A:A,1+BIN2DEC(MID($B826,21,4))),"")</f>
        <v/>
      </c>
      <c r="T826" t="str" cm="1">
        <f t="array" ref="T826">IF(M826="Control",INDEX(EC!A:A,1+BIN2DEC(MID($B826,25,3))),"")</f>
        <v/>
      </c>
      <c r="U826" t="str" cm="1">
        <f t="array" ref="U826">IF(M826="Control",INDEX(SR!A:A,1+BIN2DEC(MID($B826,28,2))),"")</f>
        <v/>
      </c>
      <c r="AD826" s="1" t="s">
        <v>774</v>
      </c>
    </row>
    <row r="827" spans="1:30" x14ac:dyDescent="0.25">
      <c r="A827" s="4" t="str">
        <f t="shared" si="79"/>
        <v>339</v>
      </c>
      <c r="B827" s="2" t="s">
        <v>369</v>
      </c>
      <c r="C827" s="3"/>
      <c r="D827" s="3"/>
      <c r="E827" s="3"/>
      <c r="F827" s="27" t="str" cm="1">
        <f t="array" ref="F827">INDEX(Sources!A:A, 1 + BIN2DEC(LEFT($B827,5)))</f>
        <v>SIGMA</v>
      </c>
      <c r="G827" s="27" t="str" cm="1">
        <f t="array" ref="G827">INDEX(Dest1!A:A,1+BIN2DEC(MID($B827,6,5)))</f>
        <v>TMPA</v>
      </c>
      <c r="H827" s="27" t="str" cm="1">
        <f t="array" ref="H827">INDEX(Source2!A:A,1+BIN2DEC(MID($B827,11,4)))</f>
        <v>--</v>
      </c>
      <c r="I827" s="23" cm="1">
        <f t="array" ref="I827">INDEX('D2'!A:A,1+BIN2DEC(MID($B827,16,2)))</f>
        <v>0</v>
      </c>
      <c r="J827" s="6">
        <f t="shared" si="80"/>
        <v>0</v>
      </c>
      <c r="K827" s="6">
        <f t="shared" si="76"/>
        <v>0</v>
      </c>
      <c r="L827" s="6">
        <f t="shared" si="77"/>
        <v>0</v>
      </c>
      <c r="M827" s="3" t="str" cm="1">
        <f t="array" ref="M827">INDEX(Types!A:A,1+BIN2DEC(MID($B827,20,2)))</f>
        <v>ALU</v>
      </c>
      <c r="N827" s="3" cm="1">
        <f t="array" ref="N827">IF(M827="ALU",INDEX(ALUOps!A:A,1+BIN2DEC(MID($B827,22,5))),"")</f>
        <v>12</v>
      </c>
      <c r="O827" s="3" cm="1">
        <f t="array" ref="O827">IF(M827="ALU",INDEX(TMP!A:A,1+BIN2DEC(MID($B827,27,2))),"")</f>
        <v>1</v>
      </c>
      <c r="P827" s="6">
        <f t="shared" si="78"/>
        <v>0</v>
      </c>
      <c r="Q827" t="str">
        <f t="shared" si="81"/>
        <v/>
      </c>
      <c r="R827" t="str">
        <f t="shared" si="82"/>
        <v/>
      </c>
      <c r="S827" t="str" cm="1">
        <f t="array" ref="S827">IF(M827="Control",INDEX(IC!A:A,1+BIN2DEC(MID($B827,21,4))),"")</f>
        <v/>
      </c>
      <c r="T827" t="str" cm="1">
        <f t="array" ref="T827">IF(M827="Control",INDEX(EC!A:A,1+BIN2DEC(MID($B827,25,3))),"")</f>
        <v/>
      </c>
      <c r="U827" t="str" cm="1">
        <f t="array" ref="U827">IF(M827="Control",INDEX(SR!A:A,1+BIN2DEC(MID($B827,28,2))),"")</f>
        <v/>
      </c>
    </row>
    <row r="828" spans="1:30" x14ac:dyDescent="0.25">
      <c r="A828" s="4" t="str">
        <f t="shared" si="79"/>
        <v>33A</v>
      </c>
      <c r="B828" s="2" t="s">
        <v>778</v>
      </c>
      <c r="C828" s="3"/>
      <c r="D828" s="3"/>
      <c r="E828" s="3"/>
      <c r="F828" s="27" t="str" cm="1">
        <f t="array" ref="F828">INDEX(Sources!A:A, 1 + BIN2DEC(LEFT($B828,5)))</f>
        <v>TMPB</v>
      </c>
      <c r="G828" s="27" t="str" cm="1">
        <f t="array" ref="G828">INDEX(Dest1!A:A,1+BIN2DEC(MID($B828,6,5)))</f>
        <v>UNK17</v>
      </c>
      <c r="H828" s="27" t="str" cm="1">
        <f t="array" ref="H828">INDEX(Source2!A:A,1+BIN2DEC(MID($B828,11,4)))</f>
        <v>--</v>
      </c>
      <c r="I828" s="23" cm="1">
        <f t="array" ref="I828">INDEX('D2'!A:A,1+BIN2DEC(MID($B828,16,2)))</f>
        <v>0</v>
      </c>
      <c r="J828" s="6">
        <f t="shared" si="80"/>
        <v>0</v>
      </c>
      <c r="K828" s="6">
        <f t="shared" si="76"/>
        <v>0</v>
      </c>
      <c r="L828" s="6">
        <f t="shared" si="77"/>
        <v>0</v>
      </c>
      <c r="M828" s="3" t="str" cm="1">
        <f t="array" ref="M828">INDEX(Types!A:A,1+BIN2DEC(MID($B828,20,2)))</f>
        <v>Control</v>
      </c>
      <c r="N828" s="3" t="str" cm="1">
        <f t="array" ref="N828">IF(M828="ALU",INDEX(ALUOps!A:A,1+BIN2DEC(MID($B828,22,5))),"")</f>
        <v/>
      </c>
      <c r="O828" s="3" t="str" cm="1">
        <f t="array" ref="O828">IF(M828="ALU",INDEX(TMP!A:A,1+BIN2DEC(MID($B828,27,2))),"")</f>
        <v/>
      </c>
      <c r="P828" s="6" t="str">
        <f t="shared" si="78"/>
        <v/>
      </c>
      <c r="Q828" t="str">
        <f t="shared" si="81"/>
        <v/>
      </c>
      <c r="R828" t="str">
        <f t="shared" si="82"/>
        <v/>
      </c>
      <c r="S828" cm="1">
        <f t="array" ref="S828">IF(M828="Control",INDEX(IC!A:A,1+BIN2DEC(MID($B828,21,4))),"")</f>
        <v>0</v>
      </c>
      <c r="T828" cm="1">
        <f t="array" ref="T828">IF(M828="Control",INDEX(EC!A:A,1+BIN2DEC(MID($B828,25,3))),"")</f>
        <v>0</v>
      </c>
      <c r="U828" cm="1">
        <f t="array" ref="U828">IF(M828="Control",INDEX(SR!A:A,1+BIN2DEC(MID($B828,28,2))),"")</f>
        <v>0</v>
      </c>
    </row>
    <row r="829" spans="1:30" x14ac:dyDescent="0.25">
      <c r="A829" s="4" t="str">
        <f t="shared" si="79"/>
        <v>33B</v>
      </c>
      <c r="B829" s="2" t="s">
        <v>757</v>
      </c>
      <c r="C829" s="3"/>
      <c r="D829" s="3"/>
      <c r="E829" s="3"/>
      <c r="F829" s="27" t="str" cm="1">
        <f t="array" ref="F829">INDEX(Sources!A:A, 1 + BIN2DEC(LEFT($B829,5)))</f>
        <v>OPR</v>
      </c>
      <c r="G829" s="27" t="str" cm="1">
        <f t="array" ref="G829">INDEX(Dest1!A:A,1+BIN2DEC(MID($B829,6,5)))</f>
        <v>UNK11</v>
      </c>
      <c r="H829" s="27" t="str" cm="1">
        <f t="array" ref="H829">INDEX(Source2!A:A,1+BIN2DEC(MID($B829,11,4)))</f>
        <v>--</v>
      </c>
      <c r="I829" s="23" cm="1">
        <f t="array" ref="I829">INDEX('D2'!A:A,1+BIN2DEC(MID($B829,16,2)))</f>
        <v>0</v>
      </c>
      <c r="J829" s="6">
        <f t="shared" si="80"/>
        <v>0</v>
      </c>
      <c r="K829" s="6">
        <f t="shared" si="76"/>
        <v>0</v>
      </c>
      <c r="L829" s="6">
        <f t="shared" si="77"/>
        <v>0</v>
      </c>
      <c r="M829" s="3" t="str" cm="1">
        <f t="array" ref="M829">INDEX(Types!A:A,1+BIN2DEC(MID($B829,20,2)))</f>
        <v>Control</v>
      </c>
      <c r="N829" s="3" t="str" cm="1">
        <f t="array" ref="N829">IF(M829="ALU",INDEX(ALUOps!A:A,1+BIN2DEC(MID($B829,22,5))),"")</f>
        <v/>
      </c>
      <c r="O829" s="3" t="str" cm="1">
        <f t="array" ref="O829">IF(M829="ALU",INDEX(TMP!A:A,1+BIN2DEC(MID($B829,27,2))),"")</f>
        <v/>
      </c>
      <c r="P829" s="6" t="str">
        <f t="shared" si="78"/>
        <v/>
      </c>
      <c r="Q829" t="str">
        <f t="shared" si="81"/>
        <v/>
      </c>
      <c r="R829" t="str">
        <f t="shared" si="82"/>
        <v/>
      </c>
      <c r="S829" cm="1">
        <f t="array" ref="S829">IF(M829="Control",INDEX(IC!A:A,1+BIN2DEC(MID($B829,21,4))),"")</f>
        <v>0</v>
      </c>
      <c r="T829" cm="1">
        <f t="array" ref="T829">IF(M829="Control",INDEX(EC!A:A,1+BIN2DEC(MID($B829,25,3))),"")</f>
        <v>0</v>
      </c>
      <c r="U829" cm="1">
        <f t="array" ref="U829">IF(M829="Control",INDEX(SR!A:A,1+BIN2DEC(MID($B829,28,2))),"")</f>
        <v>0</v>
      </c>
    </row>
    <row r="830" spans="1:30" x14ac:dyDescent="0.25">
      <c r="A830" s="4" t="str">
        <f t="shared" si="79"/>
        <v>33C</v>
      </c>
      <c r="B830" s="2" t="s">
        <v>779</v>
      </c>
      <c r="C830" s="2" t="s">
        <v>777</v>
      </c>
      <c r="D830" s="2" t="s">
        <v>931</v>
      </c>
      <c r="E830" s="2" t="s">
        <v>929</v>
      </c>
      <c r="F830" s="27" t="str" cm="1">
        <f t="array" ref="F830">INDEX(Sources!A:A, 1 + BIN2DEC(LEFT($B830,5)))</f>
        <v>TMPB</v>
      </c>
      <c r="G830" s="27" t="str" cm="1">
        <f t="array" ref="G830">INDEX(Dest1!A:A,1+BIN2DEC(MID($B830,6,5)))</f>
        <v>LC</v>
      </c>
      <c r="H830" s="27" t="str" cm="1">
        <f t="array" ref="H830">INDEX(Source2!A:A,1+BIN2DEC(MID($B830,11,4)))</f>
        <v>--</v>
      </c>
      <c r="I830" s="23" cm="1">
        <f t="array" ref="I830">INDEX('D2'!A:A,1+BIN2DEC(MID($B830,16,2)))</f>
        <v>0</v>
      </c>
      <c r="J830" s="6">
        <f t="shared" si="80"/>
        <v>0</v>
      </c>
      <c r="K830" s="6">
        <f t="shared" si="76"/>
        <v>0</v>
      </c>
      <c r="L830" s="6">
        <f t="shared" si="77"/>
        <v>0</v>
      </c>
      <c r="M830" s="3" t="str" cm="1">
        <f t="array" ref="M830">INDEX(Types!A:A,1+BIN2DEC(MID($B830,20,2)))</f>
        <v>Control</v>
      </c>
      <c r="N830" s="3" t="str" cm="1">
        <f t="array" ref="N830">IF(M830="ALU",INDEX(ALUOps!A:A,1+BIN2DEC(MID($B830,22,5))),"")</f>
        <v/>
      </c>
      <c r="O830" s="3" t="str" cm="1">
        <f t="array" ref="O830">IF(M830="ALU",INDEX(TMP!A:A,1+BIN2DEC(MID($B830,27,2))),"")</f>
        <v/>
      </c>
      <c r="P830" s="6" t="str">
        <f t="shared" si="78"/>
        <v/>
      </c>
      <c r="Q830" t="str">
        <f t="shared" si="81"/>
        <v/>
      </c>
      <c r="R830" t="str">
        <f t="shared" si="82"/>
        <v/>
      </c>
      <c r="S830" cm="1">
        <f t="array" ref="S830">IF(M830="Control",INDEX(IC!A:A,1+BIN2DEC(MID($B830,21,4))),"")</f>
        <v>0</v>
      </c>
      <c r="T830" cm="1">
        <f t="array" ref="T830">IF(M830="Control",INDEX(EC!A:A,1+BIN2DEC(MID($B830,25,3))),"")</f>
        <v>0</v>
      </c>
      <c r="U830" cm="1">
        <f t="array" ref="U830">IF(M830="Control",INDEX(SR!A:A,1+BIN2DEC(MID($B830,28,2))),"")</f>
        <v>0</v>
      </c>
      <c r="AD830" s="1" t="s">
        <v>774</v>
      </c>
    </row>
    <row r="831" spans="1:30" x14ac:dyDescent="0.25">
      <c r="A831" s="4" t="str">
        <f t="shared" si="79"/>
        <v>33D</v>
      </c>
      <c r="B831" s="2" t="s">
        <v>749</v>
      </c>
      <c r="C831" s="3"/>
      <c r="D831" s="3"/>
      <c r="E831" s="3"/>
      <c r="F831" s="27" t="str" cm="1">
        <f t="array" ref="F831">INDEX(Sources!A:A, 1 + BIN2DEC(LEFT($B831,5)))</f>
        <v>OUT</v>
      </c>
      <c r="G831" s="27" t="str" cm="1">
        <f t="array" ref="G831">INDEX(Dest1!A:A,1+BIN2DEC(MID($B831,6,5)))</f>
        <v>TMPA</v>
      </c>
      <c r="H831" s="27" t="str" cm="1">
        <f t="array" ref="H831">INDEX(Source2!A:A,1+BIN2DEC(MID($B831,11,4)))</f>
        <v>--</v>
      </c>
      <c r="I831" s="23" cm="1">
        <f t="array" ref="I831">INDEX('D2'!A:A,1+BIN2DEC(MID($B831,16,2)))</f>
        <v>1</v>
      </c>
      <c r="J831" s="6">
        <f t="shared" si="80"/>
        <v>1</v>
      </c>
      <c r="K831" s="6">
        <f t="shared" si="76"/>
        <v>0</v>
      </c>
      <c r="L831" s="6">
        <f t="shared" si="77"/>
        <v>0</v>
      </c>
      <c r="M831" s="3" t="str" cm="1">
        <f t="array" ref="M831">INDEX(Types!A:A,1+BIN2DEC(MID($B831,20,2)))</f>
        <v>ALU</v>
      </c>
      <c r="N831" s="3" cm="1">
        <f t="array" ref="N831">IF(M831="ALU",INDEX(ALUOps!A:A,1+BIN2DEC(MID($B831,22,5))),"")</f>
        <v>0</v>
      </c>
      <c r="O831" s="3" cm="1">
        <f t="array" ref="O831">IF(M831="ALU",INDEX(TMP!A:A,1+BIN2DEC(MID($B831,27,2))),"")</f>
        <v>2</v>
      </c>
      <c r="P831" s="6">
        <f t="shared" si="78"/>
        <v>1</v>
      </c>
      <c r="Q831" t="str">
        <f t="shared" si="81"/>
        <v/>
      </c>
      <c r="R831" t="str">
        <f t="shared" si="82"/>
        <v/>
      </c>
      <c r="S831" t="str" cm="1">
        <f t="array" ref="S831">IF(M831="Control",INDEX(IC!A:A,1+BIN2DEC(MID($B831,21,4))),"")</f>
        <v/>
      </c>
      <c r="T831" t="str" cm="1">
        <f t="array" ref="T831">IF(M831="Control",INDEX(EC!A:A,1+BIN2DEC(MID($B831,25,3))),"")</f>
        <v/>
      </c>
      <c r="U831" t="str" cm="1">
        <f t="array" ref="U831">IF(M831="Control",INDEX(SR!A:A,1+BIN2DEC(MID($B831,28,2))),"")</f>
        <v/>
      </c>
    </row>
    <row r="832" spans="1:30" x14ac:dyDescent="0.25">
      <c r="A832" s="4" t="str">
        <f t="shared" si="79"/>
        <v>33E</v>
      </c>
      <c r="B832" s="2" t="s">
        <v>781</v>
      </c>
      <c r="C832" s="3"/>
      <c r="D832" s="3"/>
      <c r="E832" s="3"/>
      <c r="F832" s="27" t="str" cm="1">
        <f t="array" ref="F832">INDEX(Sources!A:A, 1 + BIN2DEC(LEFT($B832,5)))</f>
        <v>SIGMA</v>
      </c>
      <c r="G832" s="27" t="str" cm="1">
        <f t="array" ref="G832">INDEX(Dest1!A:A,1+BIN2DEC(MID($B832,6,5)))</f>
        <v>TMPA</v>
      </c>
      <c r="H832" s="27" t="str" cm="1">
        <f t="array" ref="H832">INDEX(Source2!A:A,1+BIN2DEC(MID($B832,11,4)))</f>
        <v>--</v>
      </c>
      <c r="I832" s="23" cm="1">
        <f t="array" ref="I832">INDEX('D2'!A:A,1+BIN2DEC(MID($B832,16,2)))</f>
        <v>0</v>
      </c>
      <c r="J832" s="6">
        <f t="shared" si="80"/>
        <v>0</v>
      </c>
      <c r="K832" s="6">
        <f t="shared" si="76"/>
        <v>0</v>
      </c>
      <c r="L832" s="6">
        <f t="shared" si="77"/>
        <v>0</v>
      </c>
      <c r="M832" s="3" t="str" cm="1">
        <f t="array" ref="M832">INDEX(Types!A:A,1+BIN2DEC(MID($B832,20,2)))</f>
        <v>ALU</v>
      </c>
      <c r="N832" s="3" cm="1">
        <f t="array" ref="N832">IF(M832="ALU",INDEX(ALUOps!A:A,1+BIN2DEC(MID($B832,22,5))),"")</f>
        <v>18</v>
      </c>
      <c r="O832" s="3" cm="1">
        <f t="array" ref="O832">IF(M832="ALU",INDEX(TMP!A:A,1+BIN2DEC(MID($B832,27,2))),"")</f>
        <v>2</v>
      </c>
      <c r="P832" s="6">
        <f t="shared" si="78"/>
        <v>0</v>
      </c>
      <c r="Q832" t="str">
        <f t="shared" si="81"/>
        <v/>
      </c>
      <c r="R832" t="str">
        <f t="shared" si="82"/>
        <v/>
      </c>
      <c r="S832" t="str" cm="1">
        <f t="array" ref="S832">IF(M832="Control",INDEX(IC!A:A,1+BIN2DEC(MID($B832,21,4))),"")</f>
        <v/>
      </c>
      <c r="T832" t="str" cm="1">
        <f t="array" ref="T832">IF(M832="Control",INDEX(EC!A:A,1+BIN2DEC(MID($B832,25,3))),"")</f>
        <v/>
      </c>
      <c r="U832" t="str" cm="1">
        <f t="array" ref="U832">IF(M832="Control",INDEX(SR!A:A,1+BIN2DEC(MID($B832,28,2))),"")</f>
        <v/>
      </c>
    </row>
    <row r="833" spans="1:30" x14ac:dyDescent="0.25">
      <c r="A833" s="4" t="str">
        <f t="shared" si="79"/>
        <v>33F</v>
      </c>
      <c r="B833" s="2" t="s">
        <v>782</v>
      </c>
      <c r="C833" s="3"/>
      <c r="D833" s="3"/>
      <c r="E833" s="3"/>
      <c r="F833" s="27" t="str" cm="1">
        <f t="array" ref="F833">INDEX(Sources!A:A, 1 + BIN2DEC(LEFT($B833,5)))</f>
        <v>TMPB</v>
      </c>
      <c r="G833" s="27" t="str" cm="1">
        <f t="array" ref="G833">INDEX(Dest1!A:A,1+BIN2DEC(MID($B833,6,5)))</f>
        <v>LC</v>
      </c>
      <c r="H833" s="27" t="str" cm="1">
        <f t="array" ref="H833">INDEX(Source2!A:A,1+BIN2DEC(MID($B833,11,4)))</f>
        <v>--</v>
      </c>
      <c r="I833" s="23" cm="1">
        <f t="array" ref="I833">INDEX('D2'!A:A,1+BIN2DEC(MID($B833,16,2)))</f>
        <v>0</v>
      </c>
      <c r="J833" s="6">
        <f t="shared" si="80"/>
        <v>0</v>
      </c>
      <c r="K833" s="6">
        <f t="shared" si="76"/>
        <v>0</v>
      </c>
      <c r="L833" s="6">
        <f t="shared" si="77"/>
        <v>0</v>
      </c>
      <c r="M833" s="3" t="str" cm="1">
        <f t="array" ref="M833">INDEX(Types!A:A,1+BIN2DEC(MID($B833,20,2)))</f>
        <v>ALU</v>
      </c>
      <c r="N833" s="3" cm="1">
        <f t="array" ref="N833">IF(M833="ALU",INDEX(ALUOps!A:A,1+BIN2DEC(MID($B833,22,5))),"")</f>
        <v>0</v>
      </c>
      <c r="O833" s="3" cm="1">
        <f t="array" ref="O833">IF(M833="ALU",INDEX(TMP!A:A,1+BIN2DEC(MID($B833,27,2))),"")</f>
        <v>1</v>
      </c>
      <c r="P833" s="6">
        <f t="shared" si="78"/>
        <v>1</v>
      </c>
      <c r="Q833" t="str">
        <f t="shared" si="81"/>
        <v/>
      </c>
      <c r="R833" t="str">
        <f t="shared" si="82"/>
        <v/>
      </c>
      <c r="S833" t="str" cm="1">
        <f t="array" ref="S833">IF(M833="Control",INDEX(IC!A:A,1+BIN2DEC(MID($B833,21,4))),"")</f>
        <v/>
      </c>
      <c r="T833" t="str" cm="1">
        <f t="array" ref="T833">IF(M833="Control",INDEX(EC!A:A,1+BIN2DEC(MID($B833,25,3))),"")</f>
        <v/>
      </c>
      <c r="U833" t="str" cm="1">
        <f t="array" ref="U833">IF(M833="Control",INDEX(SR!A:A,1+BIN2DEC(MID($B833,28,2))),"")</f>
        <v/>
      </c>
    </row>
    <row r="834" spans="1:30" x14ac:dyDescent="0.25">
      <c r="A834" s="4" t="str">
        <f t="shared" si="79"/>
        <v>340</v>
      </c>
      <c r="B834" s="2" t="s">
        <v>783</v>
      </c>
      <c r="C834" s="2" t="s">
        <v>780</v>
      </c>
      <c r="D834" s="2" t="s">
        <v>931</v>
      </c>
      <c r="E834" s="2" t="s">
        <v>488</v>
      </c>
      <c r="F834" s="27" t="str" cm="1">
        <f t="array" ref="F834">INDEX(Sources!A:A, 1 + BIN2DEC(LEFT($B834,5)))</f>
        <v>--</v>
      </c>
      <c r="G834" s="27" t="str" cm="1">
        <f t="array" ref="G834">INDEX(Dest1!A:A,1+BIN2DEC(MID($B834,6,5)))</f>
        <v>UNK26</v>
      </c>
      <c r="H834" s="27" t="str" cm="1">
        <f t="array" ref="H834">INDEX(Source2!A:A,1+BIN2DEC(MID($B834,11,4)))</f>
        <v>11</v>
      </c>
      <c r="I834" s="23" t="str" cm="1">
        <f t="array" ref="I834">INDEX('D2'!A:A,1+BIN2DEC(MID($B834,16,2)))</f>
        <v>TMPB</v>
      </c>
      <c r="J834" s="6">
        <f t="shared" si="80"/>
        <v>0</v>
      </c>
      <c r="K834" s="6">
        <f t="shared" ref="K834:K897" si="83">BIN2DEC(MID($B834,18,1))</f>
        <v>0</v>
      </c>
      <c r="L834" s="6">
        <f t="shared" ref="L834:L897" si="84">BIN2DEC(MID($B834,19,1))</f>
        <v>0</v>
      </c>
      <c r="M834" s="3" t="str" cm="1">
        <f t="array" ref="M834">INDEX(Types!A:A,1+BIN2DEC(MID($B834,20,2)))</f>
        <v>Control</v>
      </c>
      <c r="N834" s="3" t="str" cm="1">
        <f t="array" ref="N834">IF(M834="ALU",INDEX(ALUOps!A:A,1+BIN2DEC(MID($B834,22,5))),"")</f>
        <v/>
      </c>
      <c r="O834" s="3" t="str" cm="1">
        <f t="array" ref="O834">IF(M834="ALU",INDEX(TMP!A:A,1+BIN2DEC(MID($B834,27,2))),"")</f>
        <v/>
      </c>
      <c r="P834" s="6" t="str">
        <f t="shared" ref="P834:P897" si="85">IF(M834="ALU",BIN2DEC(MID($B834,29,1)),"")</f>
        <v/>
      </c>
      <c r="Q834" t="str">
        <f t="shared" si="81"/>
        <v/>
      </c>
      <c r="R834" t="str">
        <f t="shared" si="82"/>
        <v/>
      </c>
      <c r="S834" cm="1">
        <f t="array" ref="S834">IF(M834="Control",INDEX(IC!A:A,1+BIN2DEC(MID($B834,21,4))),"")</f>
        <v>0</v>
      </c>
      <c r="T834" cm="1">
        <f t="array" ref="T834">IF(M834="Control",INDEX(EC!A:A,1+BIN2DEC(MID($B834,25,3))),"")</f>
        <v>0</v>
      </c>
      <c r="U834" cm="1">
        <f t="array" ref="U834">IF(M834="Control",INDEX(SR!A:A,1+BIN2DEC(MID($B834,28,2))),"")</f>
        <v>0</v>
      </c>
      <c r="AD834" s="1" t="s">
        <v>774</v>
      </c>
    </row>
    <row r="835" spans="1:30" x14ac:dyDescent="0.25">
      <c r="A835" s="4" t="str">
        <f t="shared" ref="A835:A898" si="86">DEC2HEX(ROW(A834)-ROW($A$1),3)</f>
        <v>341</v>
      </c>
      <c r="B835" s="2" t="s">
        <v>786</v>
      </c>
      <c r="C835" s="3"/>
      <c r="D835" s="3"/>
      <c r="E835" s="3"/>
      <c r="F835" s="27" t="str" cm="1">
        <f t="array" ref="F835">INDEX(Sources!A:A, 1 + BIN2DEC(LEFT($B835,5)))</f>
        <v>UNK22</v>
      </c>
      <c r="G835" s="27" t="str" cm="1">
        <f t="array" ref="G835">INDEX(Dest1!A:A,1+BIN2DEC(MID($B835,6,5)))</f>
        <v>UNK17</v>
      </c>
      <c r="H835" s="27" t="str" cm="1">
        <f t="array" ref="H835">INDEX(Source2!A:A,1+BIN2DEC(MID($B835,11,4)))</f>
        <v>--</v>
      </c>
      <c r="I835" s="23" cm="1">
        <f t="array" ref="I835">INDEX('D2'!A:A,1+BIN2DEC(MID($B835,16,2)))</f>
        <v>0</v>
      </c>
      <c r="J835" s="6">
        <f t="shared" ref="J835:J898" si="87">BIN2DEC(MID($B835,17,1))</f>
        <v>0</v>
      </c>
      <c r="K835" s="6">
        <f t="shared" si="83"/>
        <v>0</v>
      </c>
      <c r="L835" s="6">
        <f t="shared" si="84"/>
        <v>0</v>
      </c>
      <c r="M835" s="3" t="str" cm="1">
        <f t="array" ref="M835">INDEX(Types!A:A,1+BIN2DEC(MID($B835,20,2)))</f>
        <v>Control</v>
      </c>
      <c r="N835" s="3" t="str" cm="1">
        <f t="array" ref="N835">IF(M835="ALU",INDEX(ALUOps!A:A,1+BIN2DEC(MID($B835,22,5))),"")</f>
        <v/>
      </c>
      <c r="O835" s="3" t="str" cm="1">
        <f t="array" ref="O835">IF(M835="ALU",INDEX(TMP!A:A,1+BIN2DEC(MID($B835,27,2))),"")</f>
        <v/>
      </c>
      <c r="P835" s="6" t="str">
        <f t="shared" si="85"/>
        <v/>
      </c>
      <c r="Q835" t="str">
        <f t="shared" ref="Q835:Q898" si="88">IF(M835="Jump",BIN2DEC(MID($B835,22,4)),"")</f>
        <v/>
      </c>
      <c r="R835" t="str">
        <f t="shared" si="82"/>
        <v/>
      </c>
      <c r="S835" cm="1">
        <f t="array" ref="S835">IF(M835="Control",INDEX(IC!A:A,1+BIN2DEC(MID($B835,21,4))),"")</f>
        <v>0</v>
      </c>
      <c r="T835" cm="1">
        <f t="array" ref="T835">IF(M835="Control",INDEX(EC!A:A,1+BIN2DEC(MID($B835,25,3))),"")</f>
        <v>0</v>
      </c>
      <c r="U835" cm="1">
        <f t="array" ref="U835">IF(M835="Control",INDEX(SR!A:A,1+BIN2DEC(MID($B835,28,2))),"")</f>
        <v>0</v>
      </c>
    </row>
    <row r="836" spans="1:30" x14ac:dyDescent="0.25">
      <c r="A836" s="4" t="str">
        <f t="shared" si="86"/>
        <v>342</v>
      </c>
      <c r="B836" s="2" t="s">
        <v>283</v>
      </c>
      <c r="C836" s="3"/>
      <c r="D836" s="3"/>
      <c r="E836" s="3"/>
      <c r="F836" s="27" t="str" cm="1">
        <f t="array" ref="F836">INDEX(Sources!A:A, 1 + BIN2DEC(LEFT($B836,5)))</f>
        <v>SIGMA</v>
      </c>
      <c r="G836" s="27" t="str" cm="1">
        <f t="array" ref="G836">INDEX(Dest1!A:A,1+BIN2DEC(MID($B836,6,5)))</f>
        <v>TMPA</v>
      </c>
      <c r="H836" s="27" t="str" cm="1">
        <f t="array" ref="H836">INDEX(Source2!A:A,1+BIN2DEC(MID($B836,11,4)))</f>
        <v>--</v>
      </c>
      <c r="I836" s="23" cm="1">
        <f t="array" ref="I836">INDEX('D2'!A:A,1+BIN2DEC(MID($B836,16,2)))</f>
        <v>0</v>
      </c>
      <c r="J836" s="6">
        <f t="shared" si="87"/>
        <v>0</v>
      </c>
      <c r="K836" s="6">
        <f t="shared" si="83"/>
        <v>0</v>
      </c>
      <c r="L836" s="6">
        <f t="shared" si="84"/>
        <v>0</v>
      </c>
      <c r="M836" s="3" t="str" cm="1">
        <f t="array" ref="M836">INDEX(Types!A:A,1+BIN2DEC(MID($B836,20,2)))</f>
        <v>ALU</v>
      </c>
      <c r="N836" s="3" cm="1">
        <f t="array" ref="N836">IF(M836="ALU",INDEX(ALUOps!A:A,1+BIN2DEC(MID($B836,22,5))),"")</f>
        <v>13</v>
      </c>
      <c r="O836" s="3" cm="1">
        <f t="array" ref="O836">IF(M836="ALU",INDEX(TMP!A:A,1+BIN2DEC(MID($B836,27,2))),"")</f>
        <v>1</v>
      </c>
      <c r="P836" s="6">
        <f t="shared" si="85"/>
        <v>0</v>
      </c>
      <c r="Q836" t="str">
        <f t="shared" si="88"/>
        <v/>
      </c>
      <c r="R836" t="str">
        <f t="shared" si="82"/>
        <v/>
      </c>
      <c r="S836" t="str" cm="1">
        <f t="array" ref="S836">IF(M836="Control",INDEX(IC!A:A,1+BIN2DEC(MID($B836,21,4))),"")</f>
        <v/>
      </c>
      <c r="T836" t="str" cm="1">
        <f t="array" ref="T836">IF(M836="Control",INDEX(EC!A:A,1+BIN2DEC(MID($B836,25,3))),"")</f>
        <v/>
      </c>
      <c r="U836" t="str" cm="1">
        <f t="array" ref="U836">IF(M836="Control",INDEX(SR!A:A,1+BIN2DEC(MID($B836,28,2))),"")</f>
        <v/>
      </c>
    </row>
    <row r="837" spans="1:30" x14ac:dyDescent="0.25">
      <c r="A837" s="4" t="str">
        <f t="shared" si="86"/>
        <v>343</v>
      </c>
      <c r="B837" s="2" t="s">
        <v>787</v>
      </c>
      <c r="C837" s="3"/>
      <c r="D837" s="3"/>
      <c r="E837" s="3"/>
      <c r="F837" s="27" t="str" cm="1">
        <f t="array" ref="F837">INDEX(Sources!A:A, 1 + BIN2DEC(LEFT($B837,5)))</f>
        <v>TMPA</v>
      </c>
      <c r="G837" s="27" t="str" cm="1">
        <f t="array" ref="G837">INDEX(Dest1!A:A,1+BIN2DEC(MID($B837,6,5)))</f>
        <v>OUT</v>
      </c>
      <c r="H837" s="27" t="str" cm="1">
        <f t="array" ref="H837">INDEX(Source2!A:A,1+BIN2DEC(MID($B837,11,4)))</f>
        <v>--</v>
      </c>
      <c r="I837" s="23" cm="1">
        <f t="array" ref="I837">INDEX('D2'!A:A,1+BIN2DEC(MID($B837,16,2)))</f>
        <v>0</v>
      </c>
      <c r="J837" s="6">
        <f t="shared" si="87"/>
        <v>0</v>
      </c>
      <c r="K837" s="6">
        <f t="shared" si="83"/>
        <v>0</v>
      </c>
      <c r="L837" s="6">
        <f t="shared" si="84"/>
        <v>1</v>
      </c>
      <c r="M837" s="3" t="str" cm="1">
        <f t="array" ref="M837">INDEX(Types!A:A,1+BIN2DEC(MID($B837,20,2)))</f>
        <v>Control</v>
      </c>
      <c r="N837" s="3" t="str" cm="1">
        <f t="array" ref="N837">IF(M837="ALU",INDEX(ALUOps!A:A,1+BIN2DEC(MID($B837,22,5))),"")</f>
        <v/>
      </c>
      <c r="O837" s="3" t="str" cm="1">
        <f t="array" ref="O837">IF(M837="ALU",INDEX(TMP!A:A,1+BIN2DEC(MID($B837,27,2))),"")</f>
        <v/>
      </c>
      <c r="P837" s="6" t="str">
        <f t="shared" si="85"/>
        <v/>
      </c>
      <c r="Q837" t="str">
        <f t="shared" si="88"/>
        <v/>
      </c>
      <c r="R837" t="str">
        <f t="shared" si="82"/>
        <v/>
      </c>
      <c r="S837" cm="1">
        <f t="array" ref="S837">IF(M837="Control",INDEX(IC!A:A,1+BIN2DEC(MID($B837,21,4))),"")</f>
        <v>0</v>
      </c>
      <c r="T837" cm="1">
        <f t="array" ref="T837">IF(M837="Control",INDEX(EC!A:A,1+BIN2DEC(MID($B837,25,3))),"")</f>
        <v>5</v>
      </c>
      <c r="U837" cm="1">
        <f t="array" ref="U837">IF(M837="Control",INDEX(SR!A:A,1+BIN2DEC(MID($B837,28,2))),"")</f>
        <v>3</v>
      </c>
    </row>
    <row r="838" spans="1:30" x14ac:dyDescent="0.25">
      <c r="A838" s="4" t="str">
        <f t="shared" si="86"/>
        <v>344</v>
      </c>
      <c r="B838" s="2" t="s">
        <v>749</v>
      </c>
      <c r="C838" s="2" t="s">
        <v>784</v>
      </c>
      <c r="D838" s="2" t="s">
        <v>936</v>
      </c>
      <c r="E838" s="2" t="s">
        <v>929</v>
      </c>
      <c r="F838" s="27" t="str" cm="1">
        <f t="array" ref="F838">INDEX(Sources!A:A, 1 + BIN2DEC(LEFT($B838,5)))</f>
        <v>OUT</v>
      </c>
      <c r="G838" s="27" t="str" cm="1">
        <f t="array" ref="G838">INDEX(Dest1!A:A,1+BIN2DEC(MID($B838,6,5)))</f>
        <v>TMPA</v>
      </c>
      <c r="H838" s="27" t="str" cm="1">
        <f t="array" ref="H838">INDEX(Source2!A:A,1+BIN2DEC(MID($B838,11,4)))</f>
        <v>--</v>
      </c>
      <c r="I838" s="23" cm="1">
        <f t="array" ref="I838">INDEX('D2'!A:A,1+BIN2DEC(MID($B838,16,2)))</f>
        <v>1</v>
      </c>
      <c r="J838" s="6">
        <f t="shared" si="87"/>
        <v>1</v>
      </c>
      <c r="K838" s="6">
        <f t="shared" si="83"/>
        <v>0</v>
      </c>
      <c r="L838" s="6">
        <f t="shared" si="84"/>
        <v>0</v>
      </c>
      <c r="M838" s="3" t="str" cm="1">
        <f t="array" ref="M838">INDEX(Types!A:A,1+BIN2DEC(MID($B838,20,2)))</f>
        <v>ALU</v>
      </c>
      <c r="N838" s="3" cm="1">
        <f t="array" ref="N838">IF(M838="ALU",INDEX(ALUOps!A:A,1+BIN2DEC(MID($B838,22,5))),"")</f>
        <v>0</v>
      </c>
      <c r="O838" s="3" cm="1">
        <f t="array" ref="O838">IF(M838="ALU",INDEX(TMP!A:A,1+BIN2DEC(MID($B838,27,2))),"")</f>
        <v>2</v>
      </c>
      <c r="P838" s="6">
        <f t="shared" si="85"/>
        <v>1</v>
      </c>
      <c r="Q838" t="str">
        <f t="shared" si="88"/>
        <v/>
      </c>
      <c r="R838" t="str">
        <f t="shared" si="82"/>
        <v/>
      </c>
      <c r="S838" t="str" cm="1">
        <f t="array" ref="S838">IF(M838="Control",INDEX(IC!A:A,1+BIN2DEC(MID($B838,21,4))),"")</f>
        <v/>
      </c>
      <c r="T838" t="str" cm="1">
        <f t="array" ref="T838">IF(M838="Control",INDEX(EC!A:A,1+BIN2DEC(MID($B838,25,3))),"")</f>
        <v/>
      </c>
      <c r="U838" t="str" cm="1">
        <f t="array" ref="U838">IF(M838="Control",INDEX(SR!A:A,1+BIN2DEC(MID($B838,28,2))),"")</f>
        <v/>
      </c>
      <c r="AD838" s="1" t="s">
        <v>785</v>
      </c>
    </row>
    <row r="839" spans="1:30" x14ac:dyDescent="0.25">
      <c r="A839" s="4" t="str">
        <f t="shared" si="86"/>
        <v>345</v>
      </c>
      <c r="B839" s="2" t="s">
        <v>369</v>
      </c>
      <c r="C839" s="3"/>
      <c r="D839" s="3"/>
      <c r="E839" s="3"/>
      <c r="F839" s="27" t="str" cm="1">
        <f t="array" ref="F839">INDEX(Sources!A:A, 1 + BIN2DEC(LEFT($B839,5)))</f>
        <v>SIGMA</v>
      </c>
      <c r="G839" s="27" t="str" cm="1">
        <f t="array" ref="G839">INDEX(Dest1!A:A,1+BIN2DEC(MID($B839,6,5)))</f>
        <v>TMPA</v>
      </c>
      <c r="H839" s="27" t="str" cm="1">
        <f t="array" ref="H839">INDEX(Source2!A:A,1+BIN2DEC(MID($B839,11,4)))</f>
        <v>--</v>
      </c>
      <c r="I839" s="23" cm="1">
        <f t="array" ref="I839">INDEX('D2'!A:A,1+BIN2DEC(MID($B839,16,2)))</f>
        <v>0</v>
      </c>
      <c r="J839" s="6">
        <f t="shared" si="87"/>
        <v>0</v>
      </c>
      <c r="K839" s="6">
        <f t="shared" si="83"/>
        <v>0</v>
      </c>
      <c r="L839" s="6">
        <f t="shared" si="84"/>
        <v>0</v>
      </c>
      <c r="M839" s="3" t="str" cm="1">
        <f t="array" ref="M839">INDEX(Types!A:A,1+BIN2DEC(MID($B839,20,2)))</f>
        <v>ALU</v>
      </c>
      <c r="N839" s="3" cm="1">
        <f t="array" ref="N839">IF(M839="ALU",INDEX(ALUOps!A:A,1+BIN2DEC(MID($B839,22,5))),"")</f>
        <v>12</v>
      </c>
      <c r="O839" s="3" cm="1">
        <f t="array" ref="O839">IF(M839="ALU",INDEX(TMP!A:A,1+BIN2DEC(MID($B839,27,2))),"")</f>
        <v>1</v>
      </c>
      <c r="P839" s="6">
        <f t="shared" si="85"/>
        <v>0</v>
      </c>
      <c r="Q839" t="str">
        <f t="shared" si="88"/>
        <v/>
      </c>
      <c r="R839" t="str">
        <f t="shared" ref="R839:R902" si="89">IF(M839="Jump",15-BIN2DEC(MID($B839,26,4)),"")</f>
        <v/>
      </c>
      <c r="S839" t="str" cm="1">
        <f t="array" ref="S839">IF(M839="Control",INDEX(IC!A:A,1+BIN2DEC(MID($B839,21,4))),"")</f>
        <v/>
      </c>
      <c r="T839" t="str" cm="1">
        <f t="array" ref="T839">IF(M839="Control",INDEX(EC!A:A,1+BIN2DEC(MID($B839,25,3))),"")</f>
        <v/>
      </c>
      <c r="U839" t="str" cm="1">
        <f t="array" ref="U839">IF(M839="Control",INDEX(SR!A:A,1+BIN2DEC(MID($B839,28,2))),"")</f>
        <v/>
      </c>
    </row>
    <row r="840" spans="1:30" x14ac:dyDescent="0.25">
      <c r="A840" s="4" t="str">
        <f t="shared" si="86"/>
        <v>346</v>
      </c>
      <c r="B840" s="2" t="s">
        <v>751</v>
      </c>
      <c r="C840" s="3"/>
      <c r="D840" s="3"/>
      <c r="E840" s="3"/>
      <c r="F840" s="27" t="str" cm="1">
        <f t="array" ref="F840">INDEX(Sources!A:A, 1 + BIN2DEC(LEFT($B840,5)))</f>
        <v>TMPB</v>
      </c>
      <c r="G840" s="27" t="str" cm="1">
        <f t="array" ref="G840">INDEX(Dest1!A:A,1+BIN2DEC(MID($B840,6,5)))</f>
        <v>OUT</v>
      </c>
      <c r="H840" s="27" t="str" cm="1">
        <f t="array" ref="H840">INDEX(Source2!A:A,1+BIN2DEC(MID($B840,11,4)))</f>
        <v>--</v>
      </c>
      <c r="I840" s="23" cm="1">
        <f t="array" ref="I840">INDEX('D2'!A:A,1+BIN2DEC(MID($B840,16,2)))</f>
        <v>0</v>
      </c>
      <c r="J840" s="6">
        <f t="shared" si="87"/>
        <v>0</v>
      </c>
      <c r="K840" s="6">
        <f t="shared" si="83"/>
        <v>0</v>
      </c>
      <c r="L840" s="6">
        <f t="shared" si="84"/>
        <v>0</v>
      </c>
      <c r="M840" s="3" t="str" cm="1">
        <f t="array" ref="M840">INDEX(Types!A:A,1+BIN2DEC(MID($B840,20,2)))</f>
        <v>Control</v>
      </c>
      <c r="N840" s="3" t="str" cm="1">
        <f t="array" ref="N840">IF(M840="ALU",INDEX(ALUOps!A:A,1+BIN2DEC(MID($B840,22,5))),"")</f>
        <v/>
      </c>
      <c r="O840" s="3" t="str" cm="1">
        <f t="array" ref="O840">IF(M840="ALU",INDEX(TMP!A:A,1+BIN2DEC(MID($B840,27,2))),"")</f>
        <v/>
      </c>
      <c r="P840" s="6" t="str">
        <f t="shared" si="85"/>
        <v/>
      </c>
      <c r="Q840" t="str">
        <f t="shared" si="88"/>
        <v/>
      </c>
      <c r="R840" t="str">
        <f t="shared" si="89"/>
        <v/>
      </c>
      <c r="S840" cm="1">
        <f t="array" ref="S840">IF(M840="Control",INDEX(IC!A:A,1+BIN2DEC(MID($B840,21,4))),"")</f>
        <v>0</v>
      </c>
      <c r="T840" cm="1">
        <f t="array" ref="T840">IF(M840="Control",INDEX(EC!A:A,1+BIN2DEC(MID($B840,25,3))),"")</f>
        <v>0</v>
      </c>
      <c r="U840" cm="1">
        <f t="array" ref="U840">IF(M840="Control",INDEX(SR!A:A,1+BIN2DEC(MID($B840,28,2))),"")</f>
        <v>0</v>
      </c>
    </row>
    <row r="841" spans="1:30" x14ac:dyDescent="0.25">
      <c r="A841" s="4" t="str">
        <f t="shared" si="86"/>
        <v>347</v>
      </c>
      <c r="B841" s="2" t="s">
        <v>790</v>
      </c>
      <c r="C841" s="3"/>
      <c r="D841" s="3"/>
      <c r="E841" s="3"/>
      <c r="F841" s="27" t="str" cm="1">
        <f t="array" ref="F841">INDEX(Sources!A:A, 1 + BIN2DEC(LEFT($B841,5)))</f>
        <v>Q</v>
      </c>
      <c r="G841" s="27" t="str" cm="1">
        <f t="array" ref="G841">INDEX(Dest1!A:A,1+BIN2DEC(MID($B841,6,5)))</f>
        <v>UNK11</v>
      </c>
      <c r="H841" s="27" t="str" cm="1">
        <f t="array" ref="H841">INDEX(Source2!A:A,1+BIN2DEC(MID($B841,11,4)))</f>
        <v>--</v>
      </c>
      <c r="I841" s="23" cm="1">
        <f t="array" ref="I841">INDEX('D2'!A:A,1+BIN2DEC(MID($B841,16,2)))</f>
        <v>0</v>
      </c>
      <c r="J841" s="6">
        <f t="shared" si="87"/>
        <v>0</v>
      </c>
      <c r="K841" s="6">
        <f t="shared" si="83"/>
        <v>0</v>
      </c>
      <c r="L841" s="6">
        <f t="shared" si="84"/>
        <v>0</v>
      </c>
      <c r="M841" s="3" t="str" cm="1">
        <f t="array" ref="M841">INDEX(Types!A:A,1+BIN2DEC(MID($B841,20,2)))</f>
        <v>ALU</v>
      </c>
      <c r="N841" s="3" cm="1">
        <f t="array" ref="N841">IF(M841="ALU",INDEX(ALUOps!A:A,1+BIN2DEC(MID($B841,22,5))),"")</f>
        <v>7</v>
      </c>
      <c r="O841" s="3" cm="1">
        <f t="array" ref="O841">IF(M841="ALU",INDEX(TMP!A:A,1+BIN2DEC(MID($B841,27,2))),"")</f>
        <v>3</v>
      </c>
      <c r="P841" s="6">
        <f t="shared" si="85"/>
        <v>1</v>
      </c>
      <c r="Q841" t="str">
        <f t="shared" si="88"/>
        <v/>
      </c>
      <c r="R841" t="str">
        <f t="shared" si="89"/>
        <v/>
      </c>
      <c r="S841" t="str" cm="1">
        <f t="array" ref="S841">IF(M841="Control",INDEX(IC!A:A,1+BIN2DEC(MID($B841,21,4))),"")</f>
        <v/>
      </c>
      <c r="T841" t="str" cm="1">
        <f t="array" ref="T841">IF(M841="Control",INDEX(EC!A:A,1+BIN2DEC(MID($B841,25,3))),"")</f>
        <v/>
      </c>
      <c r="U841" t="str" cm="1">
        <f t="array" ref="U841">IF(M841="Control",INDEX(SR!A:A,1+BIN2DEC(MID($B841,28,2))),"")</f>
        <v/>
      </c>
    </row>
    <row r="842" spans="1:30" x14ac:dyDescent="0.25">
      <c r="A842" s="4" t="str">
        <f t="shared" si="86"/>
        <v>348</v>
      </c>
      <c r="B842" s="2" t="s">
        <v>111</v>
      </c>
      <c r="C842" s="2" t="s">
        <v>788</v>
      </c>
      <c r="D842" s="2" t="s">
        <v>936</v>
      </c>
      <c r="E842" s="2" t="s">
        <v>462</v>
      </c>
      <c r="F842" s="27" t="str" cm="1">
        <f t="array" ref="F842">INDEX(Sources!A:A, 1 + BIN2DEC(LEFT($B842,5)))</f>
        <v>Q</v>
      </c>
      <c r="G842" s="27" t="str" cm="1">
        <f t="array" ref="G842">INDEX(Dest1!A:A,1+BIN2DEC(MID($B842,6,5)))</f>
        <v>UNK10</v>
      </c>
      <c r="H842" s="27" t="str" cm="1">
        <f t="array" ref="H842">INDEX(Source2!A:A,1+BIN2DEC(MID($B842,11,4)))</f>
        <v>--</v>
      </c>
      <c r="I842" s="23" cm="1">
        <f t="array" ref="I842">INDEX('D2'!A:A,1+BIN2DEC(MID($B842,16,2)))</f>
        <v>0</v>
      </c>
      <c r="J842" s="6">
        <f t="shared" si="87"/>
        <v>0</v>
      </c>
      <c r="K842" s="6">
        <f t="shared" si="83"/>
        <v>0</v>
      </c>
      <c r="L842" s="6">
        <f t="shared" si="84"/>
        <v>0</v>
      </c>
      <c r="M842" s="3" t="str" cm="1">
        <f t="array" ref="M842">INDEX(Types!A:A,1+BIN2DEC(MID($B842,20,2)))</f>
        <v>Control</v>
      </c>
      <c r="N842" s="3" t="str" cm="1">
        <f t="array" ref="N842">IF(M842="ALU",INDEX(ALUOps!A:A,1+BIN2DEC(MID($B842,22,5))),"")</f>
        <v/>
      </c>
      <c r="O842" s="3" t="str" cm="1">
        <f t="array" ref="O842">IF(M842="ALU",INDEX(TMP!A:A,1+BIN2DEC(MID($B842,27,2))),"")</f>
        <v/>
      </c>
      <c r="P842" s="6" t="str">
        <f t="shared" si="85"/>
        <v/>
      </c>
      <c r="Q842" t="str">
        <f t="shared" si="88"/>
        <v/>
      </c>
      <c r="R842" t="str">
        <f t="shared" si="89"/>
        <v/>
      </c>
      <c r="S842" cm="1">
        <f t="array" ref="S842">IF(M842="Control",INDEX(IC!A:A,1+BIN2DEC(MID($B842,21,4))),"")</f>
        <v>0</v>
      </c>
      <c r="T842" cm="1">
        <f t="array" ref="T842">IF(M842="Control",INDEX(EC!A:A,1+BIN2DEC(MID($B842,25,3))),"")</f>
        <v>0</v>
      </c>
      <c r="U842" cm="1">
        <f t="array" ref="U842">IF(M842="Control",INDEX(SR!A:A,1+BIN2DEC(MID($B842,28,2))),"")</f>
        <v>0</v>
      </c>
      <c r="AD842" s="1" t="s">
        <v>789</v>
      </c>
    </row>
    <row r="843" spans="1:30" x14ac:dyDescent="0.25">
      <c r="A843" s="4" t="str">
        <f t="shared" si="86"/>
        <v>349</v>
      </c>
      <c r="B843" s="2" t="s">
        <v>792</v>
      </c>
      <c r="C843" s="3"/>
      <c r="D843" s="3"/>
      <c r="E843" s="3"/>
      <c r="F843" s="27" t="str" cm="1">
        <f t="array" ref="F843">INDEX(Sources!A:A, 1 + BIN2DEC(LEFT($B843,5)))</f>
        <v>REG</v>
      </c>
      <c r="G843" s="27" t="str" cm="1">
        <f t="array" ref="G843">INDEX(Dest1!A:A,1+BIN2DEC(MID($B843,6,5)))</f>
        <v>LC</v>
      </c>
      <c r="H843" s="27" t="str" cm="1">
        <f t="array" ref="H843">INDEX(Source2!A:A,1+BIN2DEC(MID($B843,11,4)))</f>
        <v>15</v>
      </c>
      <c r="I843" s="23" cm="1">
        <f t="array" ref="I843">INDEX('D2'!A:A,1+BIN2DEC(MID($B843,16,2)))</f>
        <v>0</v>
      </c>
      <c r="J843" s="6">
        <f t="shared" si="87"/>
        <v>0</v>
      </c>
      <c r="K843" s="6">
        <f t="shared" si="83"/>
        <v>0</v>
      </c>
      <c r="L843" s="6">
        <f t="shared" si="84"/>
        <v>0</v>
      </c>
      <c r="M843" s="3" t="str" cm="1">
        <f t="array" ref="M843">INDEX(Types!A:A,1+BIN2DEC(MID($B843,20,2)))</f>
        <v>Control</v>
      </c>
      <c r="N843" s="3" t="str" cm="1">
        <f t="array" ref="N843">IF(M843="ALU",INDEX(ALUOps!A:A,1+BIN2DEC(MID($B843,22,5))),"")</f>
        <v/>
      </c>
      <c r="O843" s="3" t="str" cm="1">
        <f t="array" ref="O843">IF(M843="ALU",INDEX(TMP!A:A,1+BIN2DEC(MID($B843,27,2))),"")</f>
        <v/>
      </c>
      <c r="P843" s="6" t="str">
        <f t="shared" si="85"/>
        <v/>
      </c>
      <c r="Q843" t="str">
        <f t="shared" si="88"/>
        <v/>
      </c>
      <c r="R843" t="str">
        <f t="shared" si="89"/>
        <v/>
      </c>
      <c r="S843" cm="1">
        <f t="array" ref="S843">IF(M843="Control",INDEX(IC!A:A,1+BIN2DEC(MID($B843,21,4))),"")</f>
        <v>1</v>
      </c>
      <c r="T843" cm="1">
        <f t="array" ref="T843">IF(M843="Control",INDEX(EC!A:A,1+BIN2DEC(MID($B843,25,3))),"")</f>
        <v>7</v>
      </c>
      <c r="U843" cm="1">
        <f t="array" ref="U843">IF(M843="Control",INDEX(SR!A:A,1+BIN2DEC(MID($B843,28,2))),"")</f>
        <v>0</v>
      </c>
    </row>
    <row r="844" spans="1:30" x14ac:dyDescent="0.25">
      <c r="A844" s="4" t="str">
        <f t="shared" si="86"/>
        <v>34A</v>
      </c>
      <c r="B844" s="2" t="s">
        <v>4</v>
      </c>
      <c r="C844" s="3"/>
      <c r="D844" s="3"/>
      <c r="E844" s="3"/>
      <c r="F844" s="27" t="str" cm="1">
        <f t="array" ref="F844">INDEX(Sources!A:A, 1 + BIN2DEC(LEFT($B844,5)))</f>
        <v>--</v>
      </c>
      <c r="G844" s="27" t="str" cm="1">
        <f t="array" ref="G844">INDEX(Dest1!A:A,1+BIN2DEC(MID($B844,6,5)))</f>
        <v>--</v>
      </c>
      <c r="H844" s="27" t="str" cm="1">
        <f t="array" ref="H844">INDEX(Source2!A:A,1+BIN2DEC(MID($B844,11,4)))</f>
        <v>--</v>
      </c>
      <c r="I844" s="23" cm="1">
        <f t="array" ref="I844">INDEX('D2'!A:A,1+BIN2DEC(MID($B844,16,2)))</f>
        <v>0</v>
      </c>
      <c r="J844" s="6">
        <f t="shared" si="87"/>
        <v>0</v>
      </c>
      <c r="K844" s="6">
        <f t="shared" si="83"/>
        <v>0</v>
      </c>
      <c r="L844" s="6">
        <f t="shared" si="84"/>
        <v>0</v>
      </c>
      <c r="M844" s="3" t="str" cm="1">
        <f t="array" ref="M844">INDEX(Types!A:A,1+BIN2DEC(MID($B844,20,2)))</f>
        <v>Control</v>
      </c>
      <c r="N844" s="3" t="str" cm="1">
        <f t="array" ref="N844">IF(M844="ALU",INDEX(ALUOps!A:A,1+BIN2DEC(MID($B844,22,5))),"")</f>
        <v/>
      </c>
      <c r="O844" s="3" t="str" cm="1">
        <f t="array" ref="O844">IF(M844="ALU",INDEX(TMP!A:A,1+BIN2DEC(MID($B844,27,2))),"")</f>
        <v/>
      </c>
      <c r="P844" s="6" t="str">
        <f t="shared" si="85"/>
        <v/>
      </c>
      <c r="Q844" t="str">
        <f t="shared" si="88"/>
        <v/>
      </c>
      <c r="R844" t="str">
        <f t="shared" si="89"/>
        <v/>
      </c>
      <c r="S844" cm="1">
        <f t="array" ref="S844">IF(M844="Control",INDEX(IC!A:A,1+BIN2DEC(MID($B844,21,4))),"")</f>
        <v>0</v>
      </c>
      <c r="T844" cm="1">
        <f t="array" ref="T844">IF(M844="Control",INDEX(EC!A:A,1+BIN2DEC(MID($B844,25,3))),"")</f>
        <v>0</v>
      </c>
      <c r="U844" cm="1">
        <f t="array" ref="U844">IF(M844="Control",INDEX(SR!A:A,1+BIN2DEC(MID($B844,28,2))),"")</f>
        <v>0</v>
      </c>
    </row>
    <row r="845" spans="1:30" x14ac:dyDescent="0.25">
      <c r="A845" s="4" t="str">
        <f t="shared" si="86"/>
        <v>34B</v>
      </c>
      <c r="B845" s="2" t="s">
        <v>4</v>
      </c>
      <c r="C845" s="3"/>
      <c r="D845" s="3"/>
      <c r="E845" s="3"/>
      <c r="F845" s="27" t="str" cm="1">
        <f t="array" ref="F845">INDEX(Sources!A:A, 1 + BIN2DEC(LEFT($B845,5)))</f>
        <v>--</v>
      </c>
      <c r="G845" s="27" t="str" cm="1">
        <f t="array" ref="G845">INDEX(Dest1!A:A,1+BIN2DEC(MID($B845,6,5)))</f>
        <v>--</v>
      </c>
      <c r="H845" s="27" t="str" cm="1">
        <f t="array" ref="H845">INDEX(Source2!A:A,1+BIN2DEC(MID($B845,11,4)))</f>
        <v>--</v>
      </c>
      <c r="I845" s="23" cm="1">
        <f t="array" ref="I845">INDEX('D2'!A:A,1+BIN2DEC(MID($B845,16,2)))</f>
        <v>0</v>
      </c>
      <c r="J845" s="6">
        <f t="shared" si="87"/>
        <v>0</v>
      </c>
      <c r="K845" s="6">
        <f t="shared" si="83"/>
        <v>0</v>
      </c>
      <c r="L845" s="6">
        <f t="shared" si="84"/>
        <v>0</v>
      </c>
      <c r="M845" s="3" t="str" cm="1">
        <f t="array" ref="M845">INDEX(Types!A:A,1+BIN2DEC(MID($B845,20,2)))</f>
        <v>Control</v>
      </c>
      <c r="N845" s="3" t="str" cm="1">
        <f t="array" ref="N845">IF(M845="ALU",INDEX(ALUOps!A:A,1+BIN2DEC(MID($B845,22,5))),"")</f>
        <v/>
      </c>
      <c r="O845" s="3" t="str" cm="1">
        <f t="array" ref="O845">IF(M845="ALU",INDEX(TMP!A:A,1+BIN2DEC(MID($B845,27,2))),"")</f>
        <v/>
      </c>
      <c r="P845" s="6" t="str">
        <f t="shared" si="85"/>
        <v/>
      </c>
      <c r="Q845" t="str">
        <f t="shared" si="88"/>
        <v/>
      </c>
      <c r="R845" t="str">
        <f t="shared" si="89"/>
        <v/>
      </c>
      <c r="S845" cm="1">
        <f t="array" ref="S845">IF(M845="Control",INDEX(IC!A:A,1+BIN2DEC(MID($B845,21,4))),"")</f>
        <v>0</v>
      </c>
      <c r="T845" cm="1">
        <f t="array" ref="T845">IF(M845="Control",INDEX(EC!A:A,1+BIN2DEC(MID($B845,25,3))),"")</f>
        <v>0</v>
      </c>
      <c r="U845" cm="1">
        <f t="array" ref="U845">IF(M845="Control",INDEX(SR!A:A,1+BIN2DEC(MID($B845,28,2))),"")</f>
        <v>0</v>
      </c>
    </row>
    <row r="846" spans="1:30" x14ac:dyDescent="0.25">
      <c r="A846" s="4" t="str">
        <f t="shared" si="86"/>
        <v>34C</v>
      </c>
      <c r="B846" s="2" t="s">
        <v>39</v>
      </c>
      <c r="C846" s="2" t="s">
        <v>791</v>
      </c>
      <c r="D846" s="2" t="s">
        <v>937</v>
      </c>
      <c r="E846" s="2" t="s">
        <v>462</v>
      </c>
      <c r="F846" s="27" t="str" cm="1">
        <f t="array" ref="F846">INDEX(Sources!A:A, 1 + BIN2DEC(LEFT($B846,5)))</f>
        <v>--</v>
      </c>
      <c r="G846" s="27" t="str" cm="1">
        <f t="array" ref="G846">INDEX(Dest1!A:A,1+BIN2DEC(MID($B846,6,5)))</f>
        <v>--</v>
      </c>
      <c r="H846" s="27" t="str" cm="1">
        <f t="array" ref="H846">INDEX(Source2!A:A,1+BIN2DEC(MID($B846,11,4)))</f>
        <v>--</v>
      </c>
      <c r="I846" s="23" cm="1">
        <f t="array" ref="I846">INDEX('D2'!A:A,1+BIN2DEC(MID($B846,16,2)))</f>
        <v>0</v>
      </c>
      <c r="J846" s="6">
        <f t="shared" si="87"/>
        <v>0</v>
      </c>
      <c r="K846" s="6">
        <f t="shared" si="83"/>
        <v>0</v>
      </c>
      <c r="L846" s="6">
        <f t="shared" si="84"/>
        <v>1</v>
      </c>
      <c r="M846" s="3" t="str" cm="1">
        <f t="array" ref="M846">INDEX(Types!A:A,1+BIN2DEC(MID($B846,20,2)))</f>
        <v>Control</v>
      </c>
      <c r="N846" s="3" t="str" cm="1">
        <f t="array" ref="N846">IF(M846="ALU",INDEX(ALUOps!A:A,1+BIN2DEC(MID($B846,22,5))),"")</f>
        <v/>
      </c>
      <c r="O846" s="3" t="str" cm="1">
        <f t="array" ref="O846">IF(M846="ALU",INDEX(TMP!A:A,1+BIN2DEC(MID($B846,27,2))),"")</f>
        <v/>
      </c>
      <c r="P846" s="6" t="str">
        <f t="shared" si="85"/>
        <v/>
      </c>
      <c r="Q846" t="str">
        <f t="shared" si="88"/>
        <v/>
      </c>
      <c r="R846" t="str">
        <f t="shared" si="89"/>
        <v/>
      </c>
      <c r="S846" cm="1">
        <f t="array" ref="S846">IF(M846="Control",INDEX(IC!A:A,1+BIN2DEC(MID($B846,21,4))),"")</f>
        <v>0</v>
      </c>
      <c r="T846" cm="1">
        <f t="array" ref="T846">IF(M846="Control",INDEX(EC!A:A,1+BIN2DEC(MID($B846,25,3))),"")</f>
        <v>0</v>
      </c>
      <c r="U846" cm="1">
        <f t="array" ref="U846">IF(M846="Control",INDEX(SR!A:A,1+BIN2DEC(MID($B846,28,2))),"")</f>
        <v>0</v>
      </c>
      <c r="W846">
        <v>8080</v>
      </c>
      <c r="X846" t="s">
        <v>1098</v>
      </c>
      <c r="AD846" s="1" t="s">
        <v>462</v>
      </c>
    </row>
    <row r="847" spans="1:30" x14ac:dyDescent="0.25">
      <c r="A847" s="4" t="str">
        <f t="shared" si="86"/>
        <v>34D</v>
      </c>
      <c r="B847" s="2" t="s">
        <v>4</v>
      </c>
      <c r="C847" s="3"/>
      <c r="D847" s="3"/>
      <c r="E847" s="3"/>
      <c r="F847" s="27" t="str" cm="1">
        <f t="array" ref="F847">INDEX(Sources!A:A, 1 + BIN2DEC(LEFT($B847,5)))</f>
        <v>--</v>
      </c>
      <c r="G847" s="27" t="str" cm="1">
        <f t="array" ref="G847">INDEX(Dest1!A:A,1+BIN2DEC(MID($B847,6,5)))</f>
        <v>--</v>
      </c>
      <c r="H847" s="27" t="str" cm="1">
        <f t="array" ref="H847">INDEX(Source2!A:A,1+BIN2DEC(MID($B847,11,4)))</f>
        <v>--</v>
      </c>
      <c r="I847" s="23" cm="1">
        <f t="array" ref="I847">INDEX('D2'!A:A,1+BIN2DEC(MID($B847,16,2)))</f>
        <v>0</v>
      </c>
      <c r="J847" s="6">
        <f t="shared" si="87"/>
        <v>0</v>
      </c>
      <c r="K847" s="6">
        <f t="shared" si="83"/>
        <v>0</v>
      </c>
      <c r="L847" s="6">
        <f t="shared" si="84"/>
        <v>0</v>
      </c>
      <c r="M847" s="3" t="str" cm="1">
        <f t="array" ref="M847">INDEX(Types!A:A,1+BIN2DEC(MID($B847,20,2)))</f>
        <v>Control</v>
      </c>
      <c r="N847" s="3" t="str" cm="1">
        <f t="array" ref="N847">IF(M847="ALU",INDEX(ALUOps!A:A,1+BIN2DEC(MID($B847,22,5))),"")</f>
        <v/>
      </c>
      <c r="O847" s="3" t="str" cm="1">
        <f t="array" ref="O847">IF(M847="ALU",INDEX(TMP!A:A,1+BIN2DEC(MID($B847,27,2))),"")</f>
        <v/>
      </c>
      <c r="P847" s="6" t="str">
        <f t="shared" si="85"/>
        <v/>
      </c>
      <c r="Q847" t="str">
        <f t="shared" si="88"/>
        <v/>
      </c>
      <c r="R847" t="str">
        <f t="shared" si="89"/>
        <v/>
      </c>
      <c r="S847" cm="1">
        <f t="array" ref="S847">IF(M847="Control",INDEX(IC!A:A,1+BIN2DEC(MID($B847,21,4))),"")</f>
        <v>0</v>
      </c>
      <c r="T847" cm="1">
        <f t="array" ref="T847">IF(M847="Control",INDEX(EC!A:A,1+BIN2DEC(MID($B847,25,3))),"")</f>
        <v>0</v>
      </c>
      <c r="U847" cm="1">
        <f t="array" ref="U847">IF(M847="Control",INDEX(SR!A:A,1+BIN2DEC(MID($B847,28,2))),"")</f>
        <v>0</v>
      </c>
    </row>
    <row r="848" spans="1:30" x14ac:dyDescent="0.25">
      <c r="A848" s="4" t="str">
        <f t="shared" si="86"/>
        <v>34E</v>
      </c>
      <c r="B848" s="2" t="s">
        <v>4</v>
      </c>
      <c r="C848" s="3"/>
      <c r="D848" s="3"/>
      <c r="E848" s="3"/>
      <c r="F848" s="27" t="str" cm="1">
        <f t="array" ref="F848">INDEX(Sources!A:A, 1 + BIN2DEC(LEFT($B848,5)))</f>
        <v>--</v>
      </c>
      <c r="G848" s="27" t="str" cm="1">
        <f t="array" ref="G848">INDEX(Dest1!A:A,1+BIN2DEC(MID($B848,6,5)))</f>
        <v>--</v>
      </c>
      <c r="H848" s="27" t="str" cm="1">
        <f t="array" ref="H848">INDEX(Source2!A:A,1+BIN2DEC(MID($B848,11,4)))</f>
        <v>--</v>
      </c>
      <c r="I848" s="23" cm="1">
        <f t="array" ref="I848">INDEX('D2'!A:A,1+BIN2DEC(MID($B848,16,2)))</f>
        <v>0</v>
      </c>
      <c r="J848" s="6">
        <f t="shared" si="87"/>
        <v>0</v>
      </c>
      <c r="K848" s="6">
        <f t="shared" si="83"/>
        <v>0</v>
      </c>
      <c r="L848" s="6">
        <f t="shared" si="84"/>
        <v>0</v>
      </c>
      <c r="M848" s="3" t="str" cm="1">
        <f t="array" ref="M848">INDEX(Types!A:A,1+BIN2DEC(MID($B848,20,2)))</f>
        <v>Control</v>
      </c>
      <c r="N848" s="3" t="str" cm="1">
        <f t="array" ref="N848">IF(M848="ALU",INDEX(ALUOps!A:A,1+BIN2DEC(MID($B848,22,5))),"")</f>
        <v/>
      </c>
      <c r="O848" s="3" t="str" cm="1">
        <f t="array" ref="O848">IF(M848="ALU",INDEX(TMP!A:A,1+BIN2DEC(MID($B848,27,2))),"")</f>
        <v/>
      </c>
      <c r="P848" s="6" t="str">
        <f t="shared" si="85"/>
        <v/>
      </c>
      <c r="Q848" t="str">
        <f t="shared" si="88"/>
        <v/>
      </c>
      <c r="R848" t="str">
        <f t="shared" si="89"/>
        <v/>
      </c>
      <c r="S848" cm="1">
        <f t="array" ref="S848">IF(M848="Control",INDEX(IC!A:A,1+BIN2DEC(MID($B848,21,4))),"")</f>
        <v>0</v>
      </c>
      <c r="T848" cm="1">
        <f t="array" ref="T848">IF(M848="Control",INDEX(EC!A:A,1+BIN2DEC(MID($B848,25,3))),"")</f>
        <v>0</v>
      </c>
      <c r="U848" cm="1">
        <f t="array" ref="U848">IF(M848="Control",INDEX(SR!A:A,1+BIN2DEC(MID($B848,28,2))),"")</f>
        <v>0</v>
      </c>
    </row>
    <row r="849" spans="1:30" x14ac:dyDescent="0.25">
      <c r="A849" s="4" t="str">
        <f t="shared" si="86"/>
        <v>34F</v>
      </c>
      <c r="B849" s="2" t="s">
        <v>4</v>
      </c>
      <c r="C849" s="3"/>
      <c r="D849" s="3"/>
      <c r="E849" s="3"/>
      <c r="F849" s="27" t="str" cm="1">
        <f t="array" ref="F849">INDEX(Sources!A:A, 1 + BIN2DEC(LEFT($B849,5)))</f>
        <v>--</v>
      </c>
      <c r="G849" s="27" t="str" cm="1">
        <f t="array" ref="G849">INDEX(Dest1!A:A,1+BIN2DEC(MID($B849,6,5)))</f>
        <v>--</v>
      </c>
      <c r="H849" s="27" t="str" cm="1">
        <f t="array" ref="H849">INDEX(Source2!A:A,1+BIN2DEC(MID($B849,11,4)))</f>
        <v>--</v>
      </c>
      <c r="I849" s="23" cm="1">
        <f t="array" ref="I849">INDEX('D2'!A:A,1+BIN2DEC(MID($B849,16,2)))</f>
        <v>0</v>
      </c>
      <c r="J849" s="6">
        <f t="shared" si="87"/>
        <v>0</v>
      </c>
      <c r="K849" s="6">
        <f t="shared" si="83"/>
        <v>0</v>
      </c>
      <c r="L849" s="6">
        <f t="shared" si="84"/>
        <v>0</v>
      </c>
      <c r="M849" s="3" t="str" cm="1">
        <f t="array" ref="M849">INDEX(Types!A:A,1+BIN2DEC(MID($B849,20,2)))</f>
        <v>Control</v>
      </c>
      <c r="N849" s="3" t="str" cm="1">
        <f t="array" ref="N849">IF(M849="ALU",INDEX(ALUOps!A:A,1+BIN2DEC(MID($B849,22,5))),"")</f>
        <v/>
      </c>
      <c r="O849" s="3" t="str" cm="1">
        <f t="array" ref="O849">IF(M849="ALU",INDEX(TMP!A:A,1+BIN2DEC(MID($B849,27,2))),"")</f>
        <v/>
      </c>
      <c r="P849" s="6" t="str">
        <f t="shared" si="85"/>
        <v/>
      </c>
      <c r="Q849" t="str">
        <f t="shared" si="88"/>
        <v/>
      </c>
      <c r="R849" t="str">
        <f t="shared" si="89"/>
        <v/>
      </c>
      <c r="S849" cm="1">
        <f t="array" ref="S849">IF(M849="Control",INDEX(IC!A:A,1+BIN2DEC(MID($B849,21,4))),"")</f>
        <v>0</v>
      </c>
      <c r="T849" cm="1">
        <f t="array" ref="T849">IF(M849="Control",INDEX(EC!A:A,1+BIN2DEC(MID($B849,25,3))),"")</f>
        <v>0</v>
      </c>
      <c r="U849" cm="1">
        <f t="array" ref="U849">IF(M849="Control",INDEX(SR!A:A,1+BIN2DEC(MID($B849,28,2))),"")</f>
        <v>0</v>
      </c>
    </row>
    <row r="850" spans="1:30" x14ac:dyDescent="0.25">
      <c r="A850" s="4" t="str">
        <f t="shared" si="86"/>
        <v>350</v>
      </c>
      <c r="B850" s="2" t="s">
        <v>795</v>
      </c>
      <c r="C850" s="2" t="s">
        <v>793</v>
      </c>
      <c r="D850" s="2" t="s">
        <v>937</v>
      </c>
      <c r="E850" s="2" t="s">
        <v>462</v>
      </c>
      <c r="F850" s="27" t="str" cm="1">
        <f t="array" ref="F850">INDEX(Sources!A:A, 1 + BIN2DEC(LEFT($B850,5)))</f>
        <v>OPR</v>
      </c>
      <c r="G850" s="27" t="str" cm="1">
        <f t="array" ref="G850">INDEX(Dest1!A:A,1+BIN2DEC(MID($B850,6,5)))</f>
        <v>TMPB</v>
      </c>
      <c r="H850" s="27" t="str" cm="1">
        <f t="array" ref="H850">INDEX(Source2!A:A,1+BIN2DEC(MID($B850,11,4)))</f>
        <v>--</v>
      </c>
      <c r="I850" s="23" cm="1">
        <f t="array" ref="I850">INDEX('D2'!A:A,1+BIN2DEC(MID($B850,16,2)))</f>
        <v>0</v>
      </c>
      <c r="J850" s="6">
        <f t="shared" si="87"/>
        <v>0</v>
      </c>
      <c r="K850" s="6">
        <f t="shared" si="83"/>
        <v>0</v>
      </c>
      <c r="L850" s="6">
        <f t="shared" si="84"/>
        <v>0</v>
      </c>
      <c r="M850" s="3" t="str" cm="1">
        <f t="array" ref="M850">INDEX(Types!A:A,1+BIN2DEC(MID($B850,20,2)))</f>
        <v>Control</v>
      </c>
      <c r="N850" s="3" t="str" cm="1">
        <f t="array" ref="N850">IF(M850="ALU",INDEX(ALUOps!A:A,1+BIN2DEC(MID($B850,22,5))),"")</f>
        <v/>
      </c>
      <c r="O850" s="3" t="str" cm="1">
        <f t="array" ref="O850">IF(M850="ALU",INDEX(TMP!A:A,1+BIN2DEC(MID($B850,27,2))),"")</f>
        <v/>
      </c>
      <c r="P850" s="6" t="str">
        <f t="shared" si="85"/>
        <v/>
      </c>
      <c r="Q850" t="str">
        <f t="shared" si="88"/>
        <v/>
      </c>
      <c r="R850" t="str">
        <f t="shared" si="89"/>
        <v/>
      </c>
      <c r="S850" cm="1">
        <f t="array" ref="S850">IF(M850="Control",INDEX(IC!A:A,1+BIN2DEC(MID($B850,21,4))),"")</f>
        <v>0</v>
      </c>
      <c r="T850" cm="1">
        <f t="array" ref="T850">IF(M850="Control",INDEX(EC!A:A,1+BIN2DEC(MID($B850,25,3))),"")</f>
        <v>0</v>
      </c>
      <c r="U850" cm="1">
        <f t="array" ref="U850">IF(M850="Control",INDEX(SR!A:A,1+BIN2DEC(MID($B850,28,2))),"")</f>
        <v>0</v>
      </c>
      <c r="W850">
        <v>8080</v>
      </c>
      <c r="X850" t="s">
        <v>1065</v>
      </c>
      <c r="AD850" s="1" t="s">
        <v>794</v>
      </c>
    </row>
    <row r="851" spans="1:30" x14ac:dyDescent="0.25">
      <c r="A851" s="4" t="str">
        <f t="shared" si="86"/>
        <v>351</v>
      </c>
      <c r="B851" s="2" t="s">
        <v>798</v>
      </c>
      <c r="C851" s="3"/>
      <c r="D851" s="3"/>
      <c r="E851" s="3"/>
      <c r="F851" s="27" t="str" cm="1">
        <f t="array" ref="F851">INDEX(Sources!A:A, 1 + BIN2DEC(LEFT($B851,5)))</f>
        <v>UNK4</v>
      </c>
      <c r="G851" s="27" t="str" cm="1">
        <f t="array" ref="G851">INDEX(Dest1!A:A,1+BIN2DEC(MID($B851,6,5)))</f>
        <v>UNK26</v>
      </c>
      <c r="H851" s="27" t="str" cm="1">
        <f t="array" ref="H851">INDEX(Source2!A:A,1+BIN2DEC(MID($B851,11,4)))</f>
        <v>--</v>
      </c>
      <c r="I851" s="23" cm="1">
        <f t="array" ref="I851">INDEX('D2'!A:A,1+BIN2DEC(MID($B851,16,2)))</f>
        <v>0</v>
      </c>
      <c r="J851" s="6">
        <f t="shared" si="87"/>
        <v>0</v>
      </c>
      <c r="K851" s="6">
        <f t="shared" si="83"/>
        <v>0</v>
      </c>
      <c r="L851" s="6">
        <f t="shared" si="84"/>
        <v>0</v>
      </c>
      <c r="M851" s="3" t="str" cm="1">
        <f t="array" ref="M851">INDEX(Types!A:A,1+BIN2DEC(MID($B851,20,2)))</f>
        <v>Control</v>
      </c>
      <c r="N851" s="3" t="str" cm="1">
        <f t="array" ref="N851">IF(M851="ALU",INDEX(ALUOps!A:A,1+BIN2DEC(MID($B851,22,5))),"")</f>
        <v/>
      </c>
      <c r="O851" s="3" t="str" cm="1">
        <f t="array" ref="O851">IF(M851="ALU",INDEX(TMP!A:A,1+BIN2DEC(MID($B851,27,2))),"")</f>
        <v/>
      </c>
      <c r="P851" s="6" t="str">
        <f t="shared" si="85"/>
        <v/>
      </c>
      <c r="Q851" t="str">
        <f t="shared" si="88"/>
        <v/>
      </c>
      <c r="R851" t="str">
        <f t="shared" si="89"/>
        <v/>
      </c>
      <c r="S851" cm="1">
        <f t="array" ref="S851">IF(M851="Control",INDEX(IC!A:A,1+BIN2DEC(MID($B851,21,4))),"")</f>
        <v>0</v>
      </c>
      <c r="T851" cm="1">
        <f t="array" ref="T851">IF(M851="Control",INDEX(EC!A:A,1+BIN2DEC(MID($B851,25,3))),"")</f>
        <v>0</v>
      </c>
      <c r="U851" cm="1">
        <f t="array" ref="U851">IF(M851="Control",INDEX(SR!A:A,1+BIN2DEC(MID($B851,28,2))),"")</f>
        <v>0</v>
      </c>
    </row>
    <row r="852" spans="1:30" x14ac:dyDescent="0.25">
      <c r="A852" s="4" t="str">
        <f t="shared" si="86"/>
        <v>352</v>
      </c>
      <c r="B852" s="2" t="s">
        <v>77</v>
      </c>
      <c r="C852" s="3"/>
      <c r="D852" s="3"/>
      <c r="E852" s="3"/>
      <c r="F852" s="27" t="str" cm="1">
        <f t="array" ref="F852">INDEX(Sources!A:A, 1 + BIN2DEC(LEFT($B852,5)))</f>
        <v>TMPB</v>
      </c>
      <c r="G852" s="27" t="str" cm="1">
        <f t="array" ref="G852">INDEX(Dest1!A:A,1+BIN2DEC(MID($B852,6,5)))</f>
        <v>REG</v>
      </c>
      <c r="H852" s="27" t="str" cm="1">
        <f t="array" ref="H852">INDEX(Source2!A:A,1+BIN2DEC(MID($B852,11,4)))</f>
        <v>--</v>
      </c>
      <c r="I852" s="23" cm="1">
        <f t="array" ref="I852">INDEX('D2'!A:A,1+BIN2DEC(MID($B852,16,2)))</f>
        <v>0</v>
      </c>
      <c r="J852" s="6">
        <f t="shared" si="87"/>
        <v>0</v>
      </c>
      <c r="K852" s="6">
        <f t="shared" si="83"/>
        <v>0</v>
      </c>
      <c r="L852" s="6">
        <f t="shared" si="84"/>
        <v>1</v>
      </c>
      <c r="M852" s="3" t="str" cm="1">
        <f t="array" ref="M852">INDEX(Types!A:A,1+BIN2DEC(MID($B852,20,2)))</f>
        <v>Control</v>
      </c>
      <c r="N852" s="3" t="str" cm="1">
        <f t="array" ref="N852">IF(M852="ALU",INDEX(ALUOps!A:A,1+BIN2DEC(MID($B852,22,5))),"")</f>
        <v/>
      </c>
      <c r="O852" s="3" t="str" cm="1">
        <f t="array" ref="O852">IF(M852="ALU",INDEX(TMP!A:A,1+BIN2DEC(MID($B852,27,2))),"")</f>
        <v/>
      </c>
      <c r="P852" s="6" t="str">
        <f t="shared" si="85"/>
        <v/>
      </c>
      <c r="Q852" t="str">
        <f t="shared" si="88"/>
        <v/>
      </c>
      <c r="R852" t="str">
        <f t="shared" si="89"/>
        <v/>
      </c>
      <c r="S852" cm="1">
        <f t="array" ref="S852">IF(M852="Control",INDEX(IC!A:A,1+BIN2DEC(MID($B852,21,4))),"")</f>
        <v>0</v>
      </c>
      <c r="T852" cm="1">
        <f t="array" ref="T852">IF(M852="Control",INDEX(EC!A:A,1+BIN2DEC(MID($B852,25,3))),"")</f>
        <v>1</v>
      </c>
      <c r="U852" cm="1">
        <f t="array" ref="U852">IF(M852="Control",INDEX(SR!A:A,1+BIN2DEC(MID($B852,28,2))),"")</f>
        <v>0</v>
      </c>
    </row>
    <row r="853" spans="1:30" x14ac:dyDescent="0.25">
      <c r="A853" s="4" t="str">
        <f t="shared" si="86"/>
        <v>353</v>
      </c>
      <c r="B853" s="2" t="s">
        <v>799</v>
      </c>
      <c r="C853" s="3"/>
      <c r="D853" s="3"/>
      <c r="E853" s="3"/>
      <c r="F853" s="27" t="str" cm="1">
        <f t="array" ref="F853">INDEX(Sources!A:A, 1 + BIN2DEC(LEFT($B853,5)))</f>
        <v>UNK27</v>
      </c>
      <c r="G853" s="27" t="str" cm="1">
        <f t="array" ref="G853">INDEX(Dest1!A:A,1+BIN2DEC(MID($B853,6,5)))</f>
        <v>UNK24</v>
      </c>
      <c r="H853" s="27" t="str" cm="1">
        <f t="array" ref="H853">INDEX(Source2!A:A,1+BIN2DEC(MID($B853,11,4)))</f>
        <v>--</v>
      </c>
      <c r="I853" s="23" cm="1">
        <f t="array" ref="I853">INDEX('D2'!A:A,1+BIN2DEC(MID($B853,16,2)))</f>
        <v>0</v>
      </c>
      <c r="J853" s="6">
        <f t="shared" si="87"/>
        <v>0</v>
      </c>
      <c r="K853" s="6">
        <f t="shared" si="83"/>
        <v>0</v>
      </c>
      <c r="L853" s="6">
        <f t="shared" si="84"/>
        <v>0</v>
      </c>
      <c r="M853" s="3" t="str" cm="1">
        <f t="array" ref="M853">INDEX(Types!A:A,1+BIN2DEC(MID($B853,20,2)))</f>
        <v>Control</v>
      </c>
      <c r="N853" s="3" t="str" cm="1">
        <f t="array" ref="N853">IF(M853="ALU",INDEX(ALUOps!A:A,1+BIN2DEC(MID($B853,22,5))),"")</f>
        <v/>
      </c>
      <c r="O853" s="3" t="str" cm="1">
        <f t="array" ref="O853">IF(M853="ALU",INDEX(TMP!A:A,1+BIN2DEC(MID($B853,27,2))),"")</f>
        <v/>
      </c>
      <c r="P853" s="6" t="str">
        <f t="shared" si="85"/>
        <v/>
      </c>
      <c r="Q853" t="str">
        <f t="shared" si="88"/>
        <v/>
      </c>
      <c r="R853" t="str">
        <f t="shared" si="89"/>
        <v/>
      </c>
      <c r="S853" cm="1">
        <f t="array" ref="S853">IF(M853="Control",INDEX(IC!A:A,1+BIN2DEC(MID($B853,21,4))),"")</f>
        <v>0</v>
      </c>
      <c r="T853" cm="1">
        <f t="array" ref="T853">IF(M853="Control",INDEX(EC!A:A,1+BIN2DEC(MID($B853,25,3))),"")</f>
        <v>0</v>
      </c>
      <c r="U853" cm="1">
        <f t="array" ref="U853">IF(M853="Control",INDEX(SR!A:A,1+BIN2DEC(MID($B853,28,2))),"")</f>
        <v>0</v>
      </c>
    </row>
    <row r="854" spans="1:30" x14ac:dyDescent="0.25">
      <c r="A854" s="4" t="str">
        <f t="shared" si="86"/>
        <v>354</v>
      </c>
      <c r="B854" s="2" t="s">
        <v>108</v>
      </c>
      <c r="C854" s="2" t="s">
        <v>796</v>
      </c>
      <c r="D854" s="2" t="s">
        <v>937</v>
      </c>
      <c r="E854" s="2" t="s">
        <v>462</v>
      </c>
      <c r="F854" s="27" t="str" cm="1">
        <f t="array" ref="F854">INDEX(Sources!A:A, 1 + BIN2DEC(LEFT($B854,5)))</f>
        <v>Q</v>
      </c>
      <c r="G854" s="27" t="str" cm="1">
        <f t="array" ref="G854">INDEX(Dest1!A:A,1+BIN2DEC(MID($B854,6,5)))</f>
        <v>UNK11</v>
      </c>
      <c r="H854" s="27" t="str" cm="1">
        <f t="array" ref="H854">INDEX(Source2!A:A,1+BIN2DEC(MID($B854,11,4)))</f>
        <v>--</v>
      </c>
      <c r="I854" s="23" cm="1">
        <f t="array" ref="I854">INDEX('D2'!A:A,1+BIN2DEC(MID($B854,16,2)))</f>
        <v>0</v>
      </c>
      <c r="J854" s="6">
        <f t="shared" si="87"/>
        <v>0</v>
      </c>
      <c r="K854" s="6">
        <f t="shared" si="83"/>
        <v>0</v>
      </c>
      <c r="L854" s="6">
        <f t="shared" si="84"/>
        <v>0</v>
      </c>
      <c r="M854" s="3" t="str" cm="1">
        <f t="array" ref="M854">INDEX(Types!A:A,1+BIN2DEC(MID($B854,20,2)))</f>
        <v>Control</v>
      </c>
      <c r="N854" s="3" t="str" cm="1">
        <f t="array" ref="N854">IF(M854="ALU",INDEX(ALUOps!A:A,1+BIN2DEC(MID($B854,22,5))),"")</f>
        <v/>
      </c>
      <c r="O854" s="3" t="str" cm="1">
        <f t="array" ref="O854">IF(M854="ALU",INDEX(TMP!A:A,1+BIN2DEC(MID($B854,27,2))),"")</f>
        <v/>
      </c>
      <c r="P854" s="6" t="str">
        <f t="shared" si="85"/>
        <v/>
      </c>
      <c r="Q854" t="str">
        <f t="shared" si="88"/>
        <v/>
      </c>
      <c r="R854" t="str">
        <f t="shared" si="89"/>
        <v/>
      </c>
      <c r="S854" cm="1">
        <f t="array" ref="S854">IF(M854="Control",INDEX(IC!A:A,1+BIN2DEC(MID($B854,21,4))),"")</f>
        <v>0</v>
      </c>
      <c r="T854" cm="1">
        <f t="array" ref="T854">IF(M854="Control",INDEX(EC!A:A,1+BIN2DEC(MID($B854,25,3))),"")</f>
        <v>0</v>
      </c>
      <c r="U854" cm="1">
        <f t="array" ref="U854">IF(M854="Control",INDEX(SR!A:A,1+BIN2DEC(MID($B854,28,2))),"")</f>
        <v>0</v>
      </c>
      <c r="W854">
        <v>8080</v>
      </c>
      <c r="X854" t="s">
        <v>1066</v>
      </c>
      <c r="AD854" s="1" t="s">
        <v>797</v>
      </c>
    </row>
    <row r="855" spans="1:30" x14ac:dyDescent="0.25">
      <c r="A855" s="4" t="str">
        <f t="shared" si="86"/>
        <v>355</v>
      </c>
      <c r="B855" s="2" t="s">
        <v>798</v>
      </c>
      <c r="C855" s="3"/>
      <c r="D855" s="3"/>
      <c r="E855" s="3"/>
      <c r="F855" s="27" t="str" cm="1">
        <f t="array" ref="F855">INDEX(Sources!A:A, 1 + BIN2DEC(LEFT($B855,5)))</f>
        <v>UNK4</v>
      </c>
      <c r="G855" s="27" t="str" cm="1">
        <f t="array" ref="G855">INDEX(Dest1!A:A,1+BIN2DEC(MID($B855,6,5)))</f>
        <v>UNK26</v>
      </c>
      <c r="H855" s="27" t="str" cm="1">
        <f t="array" ref="H855">INDEX(Source2!A:A,1+BIN2DEC(MID($B855,11,4)))</f>
        <v>--</v>
      </c>
      <c r="I855" s="23" cm="1">
        <f t="array" ref="I855">INDEX('D2'!A:A,1+BIN2DEC(MID($B855,16,2)))</f>
        <v>0</v>
      </c>
      <c r="J855" s="6">
        <f t="shared" si="87"/>
        <v>0</v>
      </c>
      <c r="K855" s="6">
        <f t="shared" si="83"/>
        <v>0</v>
      </c>
      <c r="L855" s="6">
        <f t="shared" si="84"/>
        <v>0</v>
      </c>
      <c r="M855" s="3" t="str" cm="1">
        <f t="array" ref="M855">INDEX(Types!A:A,1+BIN2DEC(MID($B855,20,2)))</f>
        <v>Control</v>
      </c>
      <c r="N855" s="3" t="str" cm="1">
        <f t="array" ref="N855">IF(M855="ALU",INDEX(ALUOps!A:A,1+BIN2DEC(MID($B855,22,5))),"")</f>
        <v/>
      </c>
      <c r="O855" s="3" t="str" cm="1">
        <f t="array" ref="O855">IF(M855="ALU",INDEX(TMP!A:A,1+BIN2DEC(MID($B855,27,2))),"")</f>
        <v/>
      </c>
      <c r="P855" s="6" t="str">
        <f t="shared" si="85"/>
        <v/>
      </c>
      <c r="Q855" t="str">
        <f t="shared" si="88"/>
        <v/>
      </c>
      <c r="R855" t="str">
        <f t="shared" si="89"/>
        <v/>
      </c>
      <c r="S855" cm="1">
        <f t="array" ref="S855">IF(M855="Control",INDEX(IC!A:A,1+BIN2DEC(MID($B855,21,4))),"")</f>
        <v>0</v>
      </c>
      <c r="T855" cm="1">
        <f t="array" ref="T855">IF(M855="Control",INDEX(EC!A:A,1+BIN2DEC(MID($B855,25,3))),"")</f>
        <v>0</v>
      </c>
      <c r="U855" cm="1">
        <f t="array" ref="U855">IF(M855="Control",INDEX(SR!A:A,1+BIN2DEC(MID($B855,28,2))),"")</f>
        <v>0</v>
      </c>
    </row>
    <row r="856" spans="1:30" x14ac:dyDescent="0.25">
      <c r="A856" s="4" t="str">
        <f t="shared" si="86"/>
        <v>356</v>
      </c>
      <c r="B856" s="2" t="s">
        <v>77</v>
      </c>
      <c r="C856" s="3"/>
      <c r="D856" s="3"/>
      <c r="E856" s="3"/>
      <c r="F856" s="27" t="str" cm="1">
        <f t="array" ref="F856">INDEX(Sources!A:A, 1 + BIN2DEC(LEFT($B856,5)))</f>
        <v>TMPB</v>
      </c>
      <c r="G856" s="27" t="str" cm="1">
        <f t="array" ref="G856">INDEX(Dest1!A:A,1+BIN2DEC(MID($B856,6,5)))</f>
        <v>REG</v>
      </c>
      <c r="H856" s="27" t="str" cm="1">
        <f t="array" ref="H856">INDEX(Source2!A:A,1+BIN2DEC(MID($B856,11,4)))</f>
        <v>--</v>
      </c>
      <c r="I856" s="23" cm="1">
        <f t="array" ref="I856">INDEX('D2'!A:A,1+BIN2DEC(MID($B856,16,2)))</f>
        <v>0</v>
      </c>
      <c r="J856" s="6">
        <f t="shared" si="87"/>
        <v>0</v>
      </c>
      <c r="K856" s="6">
        <f t="shared" si="83"/>
        <v>0</v>
      </c>
      <c r="L856" s="6">
        <f t="shared" si="84"/>
        <v>1</v>
      </c>
      <c r="M856" s="3" t="str" cm="1">
        <f t="array" ref="M856">INDEX(Types!A:A,1+BIN2DEC(MID($B856,20,2)))</f>
        <v>Control</v>
      </c>
      <c r="N856" s="3" t="str" cm="1">
        <f t="array" ref="N856">IF(M856="ALU",INDEX(ALUOps!A:A,1+BIN2DEC(MID($B856,22,5))),"")</f>
        <v/>
      </c>
      <c r="O856" s="3" t="str" cm="1">
        <f t="array" ref="O856">IF(M856="ALU",INDEX(TMP!A:A,1+BIN2DEC(MID($B856,27,2))),"")</f>
        <v/>
      </c>
      <c r="P856" s="6" t="str">
        <f t="shared" si="85"/>
        <v/>
      </c>
      <c r="Q856" t="str">
        <f t="shared" si="88"/>
        <v/>
      </c>
      <c r="R856" t="str">
        <f t="shared" si="89"/>
        <v/>
      </c>
      <c r="S856" cm="1">
        <f t="array" ref="S856">IF(M856="Control",INDEX(IC!A:A,1+BIN2DEC(MID($B856,21,4))),"")</f>
        <v>0</v>
      </c>
      <c r="T856" cm="1">
        <f t="array" ref="T856">IF(M856="Control",INDEX(EC!A:A,1+BIN2DEC(MID($B856,25,3))),"")</f>
        <v>1</v>
      </c>
      <c r="U856" cm="1">
        <f t="array" ref="U856">IF(M856="Control",INDEX(SR!A:A,1+BIN2DEC(MID($B856,28,2))),"")</f>
        <v>0</v>
      </c>
    </row>
    <row r="857" spans="1:30" x14ac:dyDescent="0.25">
      <c r="A857" s="4" t="str">
        <f t="shared" si="86"/>
        <v>357</v>
      </c>
      <c r="B857" s="2" t="s">
        <v>799</v>
      </c>
      <c r="C857" s="3"/>
      <c r="D857" s="3"/>
      <c r="E857" s="3"/>
      <c r="F857" s="27" t="str" cm="1">
        <f t="array" ref="F857">INDEX(Sources!A:A, 1 + BIN2DEC(LEFT($B857,5)))</f>
        <v>UNK27</v>
      </c>
      <c r="G857" s="27" t="str" cm="1">
        <f t="array" ref="G857">INDEX(Dest1!A:A,1+BIN2DEC(MID($B857,6,5)))</f>
        <v>UNK24</v>
      </c>
      <c r="H857" s="27" t="str" cm="1">
        <f t="array" ref="H857">INDEX(Source2!A:A,1+BIN2DEC(MID($B857,11,4)))</f>
        <v>--</v>
      </c>
      <c r="I857" s="23" cm="1">
        <f t="array" ref="I857">INDEX('D2'!A:A,1+BIN2DEC(MID($B857,16,2)))</f>
        <v>0</v>
      </c>
      <c r="J857" s="6">
        <f t="shared" si="87"/>
        <v>0</v>
      </c>
      <c r="K857" s="6">
        <f t="shared" si="83"/>
        <v>0</v>
      </c>
      <c r="L857" s="6">
        <f t="shared" si="84"/>
        <v>0</v>
      </c>
      <c r="M857" s="3" t="str" cm="1">
        <f t="array" ref="M857">INDEX(Types!A:A,1+BIN2DEC(MID($B857,20,2)))</f>
        <v>Control</v>
      </c>
      <c r="N857" s="3" t="str" cm="1">
        <f t="array" ref="N857">IF(M857="ALU",INDEX(ALUOps!A:A,1+BIN2DEC(MID($B857,22,5))),"")</f>
        <v/>
      </c>
      <c r="O857" s="3" t="str" cm="1">
        <f t="array" ref="O857">IF(M857="ALU",INDEX(TMP!A:A,1+BIN2DEC(MID($B857,27,2))),"")</f>
        <v/>
      </c>
      <c r="P857" s="6" t="str">
        <f t="shared" si="85"/>
        <v/>
      </c>
      <c r="Q857" t="str">
        <f t="shared" si="88"/>
        <v/>
      </c>
      <c r="R857" t="str">
        <f t="shared" si="89"/>
        <v/>
      </c>
      <c r="S857" cm="1">
        <f t="array" ref="S857">IF(M857="Control",INDEX(IC!A:A,1+BIN2DEC(MID($B857,21,4))),"")</f>
        <v>0</v>
      </c>
      <c r="T857" cm="1">
        <f t="array" ref="T857">IF(M857="Control",INDEX(EC!A:A,1+BIN2DEC(MID($B857,25,3))),"")</f>
        <v>0</v>
      </c>
      <c r="U857" cm="1">
        <f t="array" ref="U857">IF(M857="Control",INDEX(SR!A:A,1+BIN2DEC(MID($B857,28,2))),"")</f>
        <v>0</v>
      </c>
    </row>
    <row r="858" spans="1:30" x14ac:dyDescent="0.25">
      <c r="A858" s="4" t="str">
        <f t="shared" si="86"/>
        <v>358</v>
      </c>
      <c r="B858" s="2" t="s">
        <v>108</v>
      </c>
      <c r="C858" s="2" t="s">
        <v>800</v>
      </c>
      <c r="D858" s="2" t="s">
        <v>937</v>
      </c>
      <c r="E858" s="2" t="s">
        <v>462</v>
      </c>
      <c r="F858" s="27" t="str" cm="1">
        <f t="array" ref="F858">INDEX(Sources!A:A, 1 + BIN2DEC(LEFT($B858,5)))</f>
        <v>Q</v>
      </c>
      <c r="G858" s="27" t="str" cm="1">
        <f t="array" ref="G858">INDEX(Dest1!A:A,1+BIN2DEC(MID($B858,6,5)))</f>
        <v>UNK11</v>
      </c>
      <c r="H858" s="27" t="str" cm="1">
        <f t="array" ref="H858">INDEX(Source2!A:A,1+BIN2DEC(MID($B858,11,4)))</f>
        <v>--</v>
      </c>
      <c r="I858" s="23" cm="1">
        <f t="array" ref="I858">INDEX('D2'!A:A,1+BIN2DEC(MID($B858,16,2)))</f>
        <v>0</v>
      </c>
      <c r="J858" s="6">
        <f t="shared" si="87"/>
        <v>0</v>
      </c>
      <c r="K858" s="6">
        <f t="shared" si="83"/>
        <v>0</v>
      </c>
      <c r="L858" s="6">
        <f t="shared" si="84"/>
        <v>0</v>
      </c>
      <c r="M858" s="3" t="str" cm="1">
        <f t="array" ref="M858">INDEX(Types!A:A,1+BIN2DEC(MID($B858,20,2)))</f>
        <v>Control</v>
      </c>
      <c r="N858" s="3" t="str" cm="1">
        <f t="array" ref="N858">IF(M858="ALU",INDEX(ALUOps!A:A,1+BIN2DEC(MID($B858,22,5))),"")</f>
        <v/>
      </c>
      <c r="O858" s="3" t="str" cm="1">
        <f t="array" ref="O858">IF(M858="ALU",INDEX(TMP!A:A,1+BIN2DEC(MID($B858,27,2))),"")</f>
        <v/>
      </c>
      <c r="P858" s="6" t="str">
        <f t="shared" si="85"/>
        <v/>
      </c>
      <c r="Q858" t="str">
        <f t="shared" si="88"/>
        <v/>
      </c>
      <c r="R858" t="str">
        <f t="shared" si="89"/>
        <v/>
      </c>
      <c r="S858" cm="1">
        <f t="array" ref="S858">IF(M858="Control",INDEX(IC!A:A,1+BIN2DEC(MID($B858,21,4))),"")</f>
        <v>0</v>
      </c>
      <c r="T858" cm="1">
        <f t="array" ref="T858">IF(M858="Control",INDEX(EC!A:A,1+BIN2DEC(MID($B858,25,3))),"")</f>
        <v>0</v>
      </c>
      <c r="U858" cm="1">
        <f t="array" ref="U858">IF(M858="Control",INDEX(SR!A:A,1+BIN2DEC(MID($B858,28,2))),"")</f>
        <v>0</v>
      </c>
      <c r="W858">
        <v>8080</v>
      </c>
      <c r="X858" t="s">
        <v>1067</v>
      </c>
      <c r="AD858" s="1" t="s">
        <v>801</v>
      </c>
    </row>
    <row r="859" spans="1:30" x14ac:dyDescent="0.25">
      <c r="A859" s="4" t="str">
        <f t="shared" si="86"/>
        <v>359</v>
      </c>
      <c r="B859" s="2" t="s">
        <v>8</v>
      </c>
      <c r="C859" s="3"/>
      <c r="D859" s="3"/>
      <c r="E859" s="3"/>
      <c r="F859" s="27" t="str" cm="1">
        <f t="array" ref="F859">INDEX(Sources!A:A, 1 + BIN2DEC(LEFT($B859,5)))</f>
        <v>Q</v>
      </c>
      <c r="G859" s="27" t="str" cm="1">
        <f t="array" ref="G859">INDEX(Dest1!A:A,1+BIN2DEC(MID($B859,6,5)))</f>
        <v>UNK9</v>
      </c>
      <c r="H859" s="27" t="str" cm="1">
        <f t="array" ref="H859">INDEX(Source2!A:A,1+BIN2DEC(MID($B859,11,4)))</f>
        <v>--</v>
      </c>
      <c r="I859" s="23" cm="1">
        <f t="array" ref="I859">INDEX('D2'!A:A,1+BIN2DEC(MID($B859,16,2)))</f>
        <v>0</v>
      </c>
      <c r="J859" s="6">
        <f t="shared" si="87"/>
        <v>0</v>
      </c>
      <c r="K859" s="6">
        <f t="shared" si="83"/>
        <v>0</v>
      </c>
      <c r="L859" s="6">
        <f t="shared" si="84"/>
        <v>0</v>
      </c>
      <c r="M859" s="3" t="str" cm="1">
        <f t="array" ref="M859">INDEX(Types!A:A,1+BIN2DEC(MID($B859,20,2)))</f>
        <v>Control</v>
      </c>
      <c r="N859" s="3" t="str" cm="1">
        <f t="array" ref="N859">IF(M859="ALU",INDEX(ALUOps!A:A,1+BIN2DEC(MID($B859,22,5))),"")</f>
        <v/>
      </c>
      <c r="O859" s="3" t="str" cm="1">
        <f t="array" ref="O859">IF(M859="ALU",INDEX(TMP!A:A,1+BIN2DEC(MID($B859,27,2))),"")</f>
        <v/>
      </c>
      <c r="P859" s="6" t="str">
        <f t="shared" si="85"/>
        <v/>
      </c>
      <c r="Q859" t="str">
        <f t="shared" si="88"/>
        <v/>
      </c>
      <c r="R859" t="str">
        <f t="shared" si="89"/>
        <v/>
      </c>
      <c r="S859" cm="1">
        <f t="array" ref="S859">IF(M859="Control",INDEX(IC!A:A,1+BIN2DEC(MID($B859,21,4))),"")</f>
        <v>0</v>
      </c>
      <c r="T859" cm="1">
        <f t="array" ref="T859">IF(M859="Control",INDEX(EC!A:A,1+BIN2DEC(MID($B859,25,3))),"")</f>
        <v>0</v>
      </c>
      <c r="U859" cm="1">
        <f t="array" ref="U859">IF(M859="Control",INDEX(SR!A:A,1+BIN2DEC(MID($B859,28,2))),"")</f>
        <v>0</v>
      </c>
    </row>
    <row r="860" spans="1:30" x14ac:dyDescent="0.25">
      <c r="A860" s="4" t="str">
        <f t="shared" si="86"/>
        <v>35A</v>
      </c>
      <c r="B860" s="2" t="s">
        <v>804</v>
      </c>
      <c r="C860" s="3"/>
      <c r="D860" s="3"/>
      <c r="E860" s="3"/>
      <c r="F860" s="27" t="str" cm="1">
        <f t="array" ref="F860">INDEX(Sources!A:A, 1 + BIN2DEC(LEFT($B860,5)))</f>
        <v>TMPB</v>
      </c>
      <c r="G860" s="27" t="str" cm="1">
        <f t="array" ref="G860">INDEX(Dest1!A:A,1+BIN2DEC(MID($B860,6,5)))</f>
        <v>REG</v>
      </c>
      <c r="H860" s="27" t="str" cm="1">
        <f t="array" ref="H860">INDEX(Source2!A:A,1+BIN2DEC(MID($B860,11,4)))</f>
        <v>--</v>
      </c>
      <c r="I860" s="23" cm="1">
        <f t="array" ref="I860">INDEX('D2'!A:A,1+BIN2DEC(MID($B860,16,2)))</f>
        <v>0</v>
      </c>
      <c r="J860" s="6">
        <f t="shared" si="87"/>
        <v>0</v>
      </c>
      <c r="K860" s="6">
        <f t="shared" si="83"/>
        <v>0</v>
      </c>
      <c r="L860" s="6">
        <f t="shared" si="84"/>
        <v>1</v>
      </c>
      <c r="M860" s="3" t="str" cm="1">
        <f t="array" ref="M860">INDEX(Types!A:A,1+BIN2DEC(MID($B860,20,2)))</f>
        <v>Control</v>
      </c>
      <c r="N860" s="3" t="str" cm="1">
        <f t="array" ref="N860">IF(M860="ALU",INDEX(ALUOps!A:A,1+BIN2DEC(MID($B860,22,5))),"")</f>
        <v/>
      </c>
      <c r="O860" s="3" t="str" cm="1">
        <f t="array" ref="O860">IF(M860="ALU",INDEX(TMP!A:A,1+BIN2DEC(MID($B860,27,2))),"")</f>
        <v/>
      </c>
      <c r="P860" s="6" t="str">
        <f t="shared" si="85"/>
        <v/>
      </c>
      <c r="Q860" t="str">
        <f t="shared" si="88"/>
        <v/>
      </c>
      <c r="R860" t="str">
        <f t="shared" si="89"/>
        <v/>
      </c>
      <c r="S860" cm="1">
        <f t="array" ref="S860">IF(M860="Control",INDEX(IC!A:A,1+BIN2DEC(MID($B860,21,4))),"")</f>
        <v>0</v>
      </c>
      <c r="T860" cm="1">
        <f t="array" ref="T860">IF(M860="Control",INDEX(EC!A:A,1+BIN2DEC(MID($B860,25,3))),"")</f>
        <v>0</v>
      </c>
      <c r="U860" cm="1">
        <f t="array" ref="U860">IF(M860="Control",INDEX(SR!A:A,1+BIN2DEC(MID($B860,28,2))),"")</f>
        <v>0</v>
      </c>
    </row>
    <row r="861" spans="1:30" x14ac:dyDescent="0.25">
      <c r="A861" s="4" t="str">
        <f t="shared" si="86"/>
        <v>35B</v>
      </c>
      <c r="B861" s="2" t="s">
        <v>4</v>
      </c>
      <c r="C861" s="3"/>
      <c r="D861" s="3"/>
      <c r="E861" s="3"/>
      <c r="F861" s="27" t="str" cm="1">
        <f t="array" ref="F861">INDEX(Sources!A:A, 1 + BIN2DEC(LEFT($B861,5)))</f>
        <v>--</v>
      </c>
      <c r="G861" s="27" t="str" cm="1">
        <f t="array" ref="G861">INDEX(Dest1!A:A,1+BIN2DEC(MID($B861,6,5)))</f>
        <v>--</v>
      </c>
      <c r="H861" s="27" t="str" cm="1">
        <f t="array" ref="H861">INDEX(Source2!A:A,1+BIN2DEC(MID($B861,11,4)))</f>
        <v>--</v>
      </c>
      <c r="I861" s="23" cm="1">
        <f t="array" ref="I861">INDEX('D2'!A:A,1+BIN2DEC(MID($B861,16,2)))</f>
        <v>0</v>
      </c>
      <c r="J861" s="6">
        <f t="shared" si="87"/>
        <v>0</v>
      </c>
      <c r="K861" s="6">
        <f t="shared" si="83"/>
        <v>0</v>
      </c>
      <c r="L861" s="6">
        <f t="shared" si="84"/>
        <v>0</v>
      </c>
      <c r="M861" s="3" t="str" cm="1">
        <f t="array" ref="M861">INDEX(Types!A:A,1+BIN2DEC(MID($B861,20,2)))</f>
        <v>Control</v>
      </c>
      <c r="N861" s="3" t="str" cm="1">
        <f t="array" ref="N861">IF(M861="ALU",INDEX(ALUOps!A:A,1+BIN2DEC(MID($B861,22,5))),"")</f>
        <v/>
      </c>
      <c r="O861" s="3" t="str" cm="1">
        <f t="array" ref="O861">IF(M861="ALU",INDEX(TMP!A:A,1+BIN2DEC(MID($B861,27,2))),"")</f>
        <v/>
      </c>
      <c r="P861" s="6" t="str">
        <f t="shared" si="85"/>
        <v/>
      </c>
      <c r="Q861" t="str">
        <f t="shared" si="88"/>
        <v/>
      </c>
      <c r="R861" t="str">
        <f t="shared" si="89"/>
        <v/>
      </c>
      <c r="S861" cm="1">
        <f t="array" ref="S861">IF(M861="Control",INDEX(IC!A:A,1+BIN2DEC(MID($B861,21,4))),"")</f>
        <v>0</v>
      </c>
      <c r="T861" cm="1">
        <f t="array" ref="T861">IF(M861="Control",INDEX(EC!A:A,1+BIN2DEC(MID($B861,25,3))),"")</f>
        <v>0</v>
      </c>
      <c r="U861" cm="1">
        <f t="array" ref="U861">IF(M861="Control",INDEX(SR!A:A,1+BIN2DEC(MID($B861,28,2))),"")</f>
        <v>0</v>
      </c>
    </row>
    <row r="862" spans="1:30" x14ac:dyDescent="0.25">
      <c r="A862" s="4" t="str">
        <f t="shared" si="86"/>
        <v>35C</v>
      </c>
      <c r="B862" s="2" t="s">
        <v>108</v>
      </c>
      <c r="C862" s="2" t="s">
        <v>802</v>
      </c>
      <c r="D862" s="2" t="s">
        <v>937</v>
      </c>
      <c r="E862" s="2" t="s">
        <v>462</v>
      </c>
      <c r="F862" s="27" t="str" cm="1">
        <f t="array" ref="F862">INDEX(Sources!A:A, 1 + BIN2DEC(LEFT($B862,5)))</f>
        <v>Q</v>
      </c>
      <c r="G862" s="27" t="str" cm="1">
        <f t="array" ref="G862">INDEX(Dest1!A:A,1+BIN2DEC(MID($B862,6,5)))</f>
        <v>UNK11</v>
      </c>
      <c r="H862" s="27" t="str" cm="1">
        <f t="array" ref="H862">INDEX(Source2!A:A,1+BIN2DEC(MID($B862,11,4)))</f>
        <v>--</v>
      </c>
      <c r="I862" s="23" cm="1">
        <f t="array" ref="I862">INDEX('D2'!A:A,1+BIN2DEC(MID($B862,16,2)))</f>
        <v>0</v>
      </c>
      <c r="J862" s="6">
        <f t="shared" si="87"/>
        <v>0</v>
      </c>
      <c r="K862" s="6">
        <f t="shared" si="83"/>
        <v>0</v>
      </c>
      <c r="L862" s="6">
        <f t="shared" si="84"/>
        <v>0</v>
      </c>
      <c r="M862" s="3" t="str" cm="1">
        <f t="array" ref="M862">INDEX(Types!A:A,1+BIN2DEC(MID($B862,20,2)))</f>
        <v>Control</v>
      </c>
      <c r="N862" s="3" t="str" cm="1">
        <f t="array" ref="N862">IF(M862="ALU",INDEX(ALUOps!A:A,1+BIN2DEC(MID($B862,22,5))),"")</f>
        <v/>
      </c>
      <c r="O862" s="3" t="str" cm="1">
        <f t="array" ref="O862">IF(M862="ALU",INDEX(TMP!A:A,1+BIN2DEC(MID($B862,27,2))),"")</f>
        <v/>
      </c>
      <c r="P862" s="6" t="str">
        <f t="shared" si="85"/>
        <v/>
      </c>
      <c r="Q862" t="str">
        <f t="shared" si="88"/>
        <v/>
      </c>
      <c r="R862" t="str">
        <f t="shared" si="89"/>
        <v/>
      </c>
      <c r="S862" cm="1">
        <f t="array" ref="S862">IF(M862="Control",INDEX(IC!A:A,1+BIN2DEC(MID($B862,21,4))),"")</f>
        <v>0</v>
      </c>
      <c r="T862" cm="1">
        <f t="array" ref="T862">IF(M862="Control",INDEX(EC!A:A,1+BIN2DEC(MID($B862,25,3))),"")</f>
        <v>0</v>
      </c>
      <c r="U862" cm="1">
        <f t="array" ref="U862">IF(M862="Control",INDEX(SR!A:A,1+BIN2DEC(MID($B862,28,2))),"")</f>
        <v>0</v>
      </c>
      <c r="W862">
        <v>8080</v>
      </c>
      <c r="X862" t="s">
        <v>1068</v>
      </c>
      <c r="AD862" s="1" t="s">
        <v>803</v>
      </c>
    </row>
    <row r="863" spans="1:30" x14ac:dyDescent="0.25">
      <c r="A863" s="4" t="str">
        <f t="shared" si="86"/>
        <v>35D</v>
      </c>
      <c r="B863" s="2" t="s">
        <v>8</v>
      </c>
      <c r="C863" s="3"/>
      <c r="D863" s="3"/>
      <c r="E863" s="3"/>
      <c r="F863" s="27" t="str" cm="1">
        <f t="array" ref="F863">INDEX(Sources!A:A, 1 + BIN2DEC(LEFT($B863,5)))</f>
        <v>Q</v>
      </c>
      <c r="G863" s="27" t="str" cm="1">
        <f t="array" ref="G863">INDEX(Dest1!A:A,1+BIN2DEC(MID($B863,6,5)))</f>
        <v>UNK9</v>
      </c>
      <c r="H863" s="27" t="str" cm="1">
        <f t="array" ref="H863">INDEX(Source2!A:A,1+BIN2DEC(MID($B863,11,4)))</f>
        <v>--</v>
      </c>
      <c r="I863" s="23" cm="1">
        <f t="array" ref="I863">INDEX('D2'!A:A,1+BIN2DEC(MID($B863,16,2)))</f>
        <v>0</v>
      </c>
      <c r="J863" s="6">
        <f t="shared" si="87"/>
        <v>0</v>
      </c>
      <c r="K863" s="6">
        <f t="shared" si="83"/>
        <v>0</v>
      </c>
      <c r="L863" s="6">
        <f t="shared" si="84"/>
        <v>0</v>
      </c>
      <c r="M863" s="3" t="str" cm="1">
        <f t="array" ref="M863">INDEX(Types!A:A,1+BIN2DEC(MID($B863,20,2)))</f>
        <v>Control</v>
      </c>
      <c r="N863" s="3" t="str" cm="1">
        <f t="array" ref="N863">IF(M863="ALU",INDEX(ALUOps!A:A,1+BIN2DEC(MID($B863,22,5))),"")</f>
        <v/>
      </c>
      <c r="O863" s="3" t="str" cm="1">
        <f t="array" ref="O863">IF(M863="ALU",INDEX(TMP!A:A,1+BIN2DEC(MID($B863,27,2))),"")</f>
        <v/>
      </c>
      <c r="P863" s="6" t="str">
        <f t="shared" si="85"/>
        <v/>
      </c>
      <c r="Q863" t="str">
        <f t="shared" si="88"/>
        <v/>
      </c>
      <c r="R863" t="str">
        <f t="shared" si="89"/>
        <v/>
      </c>
      <c r="S863" cm="1">
        <f t="array" ref="S863">IF(M863="Control",INDEX(IC!A:A,1+BIN2DEC(MID($B863,21,4))),"")</f>
        <v>0</v>
      </c>
      <c r="T863" cm="1">
        <f t="array" ref="T863">IF(M863="Control",INDEX(EC!A:A,1+BIN2DEC(MID($B863,25,3))),"")</f>
        <v>0</v>
      </c>
      <c r="U863" cm="1">
        <f t="array" ref="U863">IF(M863="Control",INDEX(SR!A:A,1+BIN2DEC(MID($B863,28,2))),"")</f>
        <v>0</v>
      </c>
    </row>
    <row r="864" spans="1:30" x14ac:dyDescent="0.25">
      <c r="A864" s="4" t="str">
        <f t="shared" si="86"/>
        <v>35E</v>
      </c>
      <c r="B864" s="2" t="s">
        <v>807</v>
      </c>
      <c r="C864" s="3"/>
      <c r="D864" s="3"/>
      <c r="E864" s="3"/>
      <c r="F864" s="27" t="str" cm="1">
        <f t="array" ref="F864">INDEX(Sources!A:A, 1 + BIN2DEC(LEFT($B864,5)))</f>
        <v>TMPB</v>
      </c>
      <c r="G864" s="27" t="str" cm="1">
        <f t="array" ref="G864">INDEX(Dest1!A:A,1+BIN2DEC(MID($B864,6,5)))</f>
        <v>UNK26</v>
      </c>
      <c r="H864" s="27" t="str" cm="1">
        <f t="array" ref="H864">INDEX(Source2!A:A,1+BIN2DEC(MID($B864,11,4)))</f>
        <v>--</v>
      </c>
      <c r="I864" s="23" cm="1">
        <f t="array" ref="I864">INDEX('D2'!A:A,1+BIN2DEC(MID($B864,16,2)))</f>
        <v>0</v>
      </c>
      <c r="J864" s="6">
        <f t="shared" si="87"/>
        <v>0</v>
      </c>
      <c r="K864" s="6">
        <f t="shared" si="83"/>
        <v>0</v>
      </c>
      <c r="L864" s="6">
        <f t="shared" si="84"/>
        <v>0</v>
      </c>
      <c r="M864" s="3" t="str" cm="1">
        <f t="array" ref="M864">INDEX(Types!A:A,1+BIN2DEC(MID($B864,20,2)))</f>
        <v>Control</v>
      </c>
      <c r="N864" s="3" t="str" cm="1">
        <f t="array" ref="N864">IF(M864="ALU",INDEX(ALUOps!A:A,1+BIN2DEC(MID($B864,22,5))),"")</f>
        <v/>
      </c>
      <c r="O864" s="3" t="str" cm="1">
        <f t="array" ref="O864">IF(M864="ALU",INDEX(TMP!A:A,1+BIN2DEC(MID($B864,27,2))),"")</f>
        <v/>
      </c>
      <c r="P864" s="6" t="str">
        <f t="shared" si="85"/>
        <v/>
      </c>
      <c r="Q864" t="str">
        <f t="shared" si="88"/>
        <v/>
      </c>
      <c r="R864" t="str">
        <f t="shared" si="89"/>
        <v/>
      </c>
      <c r="S864" cm="1">
        <f t="array" ref="S864">IF(M864="Control",INDEX(IC!A:A,1+BIN2DEC(MID($B864,21,4))),"")</f>
        <v>0</v>
      </c>
      <c r="T864" cm="1">
        <f t="array" ref="T864">IF(M864="Control",INDEX(EC!A:A,1+BIN2DEC(MID($B864,25,3))),"")</f>
        <v>6</v>
      </c>
      <c r="U864" cm="1">
        <f t="array" ref="U864">IF(M864="Control",INDEX(SR!A:A,1+BIN2DEC(MID($B864,28,2))),"")</f>
        <v>0</v>
      </c>
    </row>
    <row r="865" spans="1:30" x14ac:dyDescent="0.25">
      <c r="A865" s="4" t="str">
        <f t="shared" si="86"/>
        <v>35F</v>
      </c>
      <c r="B865" s="2" t="s">
        <v>300</v>
      </c>
      <c r="C865" s="3"/>
      <c r="D865" s="3"/>
      <c r="E865" s="3"/>
      <c r="F865" s="27" t="str" cm="1">
        <f t="array" ref="F865">INDEX(Sources!A:A, 1 + BIN2DEC(LEFT($B865,5)))</f>
        <v>OUT</v>
      </c>
      <c r="G865" s="27" t="str" cm="1">
        <f t="array" ref="G865">INDEX(Dest1!A:A,1+BIN2DEC(MID($B865,6,5)))</f>
        <v>UNK23</v>
      </c>
      <c r="H865" s="27" t="str" cm="1">
        <f t="array" ref="H865">INDEX(Source2!A:A,1+BIN2DEC(MID($B865,11,4)))</f>
        <v>--</v>
      </c>
      <c r="I865" s="23" cm="1">
        <f t="array" ref="I865">INDEX('D2'!A:A,1+BIN2DEC(MID($B865,16,2)))</f>
        <v>1</v>
      </c>
      <c r="J865" s="6">
        <f t="shared" si="87"/>
        <v>1</v>
      </c>
      <c r="K865" s="6">
        <f t="shared" si="83"/>
        <v>0</v>
      </c>
      <c r="L865" s="6">
        <f t="shared" si="84"/>
        <v>1</v>
      </c>
      <c r="M865" s="3" t="str" cm="1">
        <f t="array" ref="M865">INDEX(Types!A:A,1+BIN2DEC(MID($B865,20,2)))</f>
        <v>Control</v>
      </c>
      <c r="N865" s="3" t="str" cm="1">
        <f t="array" ref="N865">IF(M865="ALU",INDEX(ALUOps!A:A,1+BIN2DEC(MID($B865,22,5))),"")</f>
        <v/>
      </c>
      <c r="O865" s="3" t="str" cm="1">
        <f t="array" ref="O865">IF(M865="ALU",INDEX(TMP!A:A,1+BIN2DEC(MID($B865,27,2))),"")</f>
        <v/>
      </c>
      <c r="P865" s="6" t="str">
        <f t="shared" si="85"/>
        <v/>
      </c>
      <c r="Q865" t="str">
        <f t="shared" si="88"/>
        <v/>
      </c>
      <c r="R865" t="str">
        <f t="shared" si="89"/>
        <v/>
      </c>
      <c r="S865" cm="1">
        <f t="array" ref="S865">IF(M865="Control",INDEX(IC!A:A,1+BIN2DEC(MID($B865,21,4))),"")</f>
        <v>0</v>
      </c>
      <c r="T865" cm="1">
        <f t="array" ref="T865">IF(M865="Control",INDEX(EC!A:A,1+BIN2DEC(MID($B865,25,3))),"")</f>
        <v>0</v>
      </c>
      <c r="U865" cm="1">
        <f t="array" ref="U865">IF(M865="Control",INDEX(SR!A:A,1+BIN2DEC(MID($B865,28,2))),"")</f>
        <v>0</v>
      </c>
    </row>
    <row r="866" spans="1:30" x14ac:dyDescent="0.25">
      <c r="A866" s="4" t="str">
        <f t="shared" si="86"/>
        <v>360</v>
      </c>
      <c r="B866" s="2" t="s">
        <v>326</v>
      </c>
      <c r="C866" s="2" t="s">
        <v>805</v>
      </c>
      <c r="D866" s="2" t="s">
        <v>937</v>
      </c>
      <c r="E866" s="2" t="s">
        <v>462</v>
      </c>
      <c r="F866" s="27" t="str" cm="1">
        <f t="array" ref="F866">INDEX(Sources!A:A, 1 + BIN2DEC(LEFT($B866,5)))</f>
        <v>Q</v>
      </c>
      <c r="G866" s="27" t="str" cm="1">
        <f t="array" ref="G866">INDEX(Dest1!A:A,1+BIN2DEC(MID($B866,6,5)))</f>
        <v>UNK11</v>
      </c>
      <c r="H866" s="27" t="str" cm="1">
        <f t="array" ref="H866">INDEX(Source2!A:A,1+BIN2DEC(MID($B866,11,4)))</f>
        <v>--</v>
      </c>
      <c r="I866" s="23" cm="1">
        <f t="array" ref="I866">INDEX('D2'!A:A,1+BIN2DEC(MID($B866,16,2)))</f>
        <v>0</v>
      </c>
      <c r="J866" s="6">
        <f t="shared" si="87"/>
        <v>0</v>
      </c>
      <c r="K866" s="6">
        <f t="shared" si="83"/>
        <v>0</v>
      </c>
      <c r="L866" s="6">
        <f t="shared" si="84"/>
        <v>0</v>
      </c>
      <c r="M866" s="3" t="str" cm="1">
        <f t="array" ref="M866">INDEX(Types!A:A,1+BIN2DEC(MID($B866,20,2)))</f>
        <v>ALU</v>
      </c>
      <c r="N866" s="3" cm="1">
        <f t="array" ref="N866">IF(M866="ALU",INDEX(ALUOps!A:A,1+BIN2DEC(MID($B866,22,5))),"")</f>
        <v>0</v>
      </c>
      <c r="O866" s="3" cm="1">
        <f t="array" ref="O866">IF(M866="ALU",INDEX(TMP!A:A,1+BIN2DEC(MID($B866,27,2))),"")</f>
        <v>3</v>
      </c>
      <c r="P866" s="6">
        <f t="shared" si="85"/>
        <v>1</v>
      </c>
      <c r="Q866" t="str">
        <f t="shared" si="88"/>
        <v/>
      </c>
      <c r="R866" t="str">
        <f t="shared" si="89"/>
        <v/>
      </c>
      <c r="S866" t="str" cm="1">
        <f t="array" ref="S866">IF(M866="Control",INDEX(IC!A:A,1+BIN2DEC(MID($B866,21,4))),"")</f>
        <v/>
      </c>
      <c r="T866" t="str" cm="1">
        <f t="array" ref="T866">IF(M866="Control",INDEX(EC!A:A,1+BIN2DEC(MID($B866,25,3))),"")</f>
        <v/>
      </c>
      <c r="U866" t="str" cm="1">
        <f t="array" ref="U866">IF(M866="Control",INDEX(SR!A:A,1+BIN2DEC(MID($B866,28,2))),"")</f>
        <v/>
      </c>
      <c r="W866">
        <v>8080</v>
      </c>
      <c r="X866" t="s">
        <v>1069</v>
      </c>
      <c r="AD866" s="1" t="s">
        <v>806</v>
      </c>
    </row>
    <row r="867" spans="1:30" x14ac:dyDescent="0.25">
      <c r="A867" s="4" t="str">
        <f t="shared" si="86"/>
        <v>361</v>
      </c>
      <c r="B867" s="2" t="s">
        <v>8</v>
      </c>
      <c r="C867" s="3"/>
      <c r="D867" s="3"/>
      <c r="E867" s="3"/>
      <c r="F867" s="27" t="str" cm="1">
        <f t="array" ref="F867">INDEX(Sources!A:A, 1 + BIN2DEC(LEFT($B867,5)))</f>
        <v>Q</v>
      </c>
      <c r="G867" s="27" t="str" cm="1">
        <f t="array" ref="G867">INDEX(Dest1!A:A,1+BIN2DEC(MID($B867,6,5)))</f>
        <v>UNK9</v>
      </c>
      <c r="H867" s="27" t="str" cm="1">
        <f t="array" ref="H867">INDEX(Source2!A:A,1+BIN2DEC(MID($B867,11,4)))</f>
        <v>--</v>
      </c>
      <c r="I867" s="23" cm="1">
        <f t="array" ref="I867">INDEX('D2'!A:A,1+BIN2DEC(MID($B867,16,2)))</f>
        <v>0</v>
      </c>
      <c r="J867" s="6">
        <f t="shared" si="87"/>
        <v>0</v>
      </c>
      <c r="K867" s="6">
        <f t="shared" si="83"/>
        <v>0</v>
      </c>
      <c r="L867" s="6">
        <f t="shared" si="84"/>
        <v>0</v>
      </c>
      <c r="M867" s="3" t="str" cm="1">
        <f t="array" ref="M867">INDEX(Types!A:A,1+BIN2DEC(MID($B867,20,2)))</f>
        <v>Control</v>
      </c>
      <c r="N867" s="3" t="str" cm="1">
        <f t="array" ref="N867">IF(M867="ALU",INDEX(ALUOps!A:A,1+BIN2DEC(MID($B867,22,5))),"")</f>
        <v/>
      </c>
      <c r="O867" s="3" t="str" cm="1">
        <f t="array" ref="O867">IF(M867="ALU",INDEX(TMP!A:A,1+BIN2DEC(MID($B867,27,2))),"")</f>
        <v/>
      </c>
      <c r="P867" s="6" t="str">
        <f t="shared" si="85"/>
        <v/>
      </c>
      <c r="Q867" t="str">
        <f t="shared" si="88"/>
        <v/>
      </c>
      <c r="R867" t="str">
        <f t="shared" si="89"/>
        <v/>
      </c>
      <c r="S867" cm="1">
        <f t="array" ref="S867">IF(M867="Control",INDEX(IC!A:A,1+BIN2DEC(MID($B867,21,4))),"")</f>
        <v>0</v>
      </c>
      <c r="T867" cm="1">
        <f t="array" ref="T867">IF(M867="Control",INDEX(EC!A:A,1+BIN2DEC(MID($B867,25,3))),"")</f>
        <v>0</v>
      </c>
      <c r="U867" cm="1">
        <f t="array" ref="U867">IF(M867="Control",INDEX(SR!A:A,1+BIN2DEC(MID($B867,28,2))),"")</f>
        <v>0</v>
      </c>
    </row>
    <row r="868" spans="1:30" x14ac:dyDescent="0.25">
      <c r="A868" s="4" t="str">
        <f t="shared" si="86"/>
        <v>362</v>
      </c>
      <c r="B868" s="2" t="s">
        <v>809</v>
      </c>
      <c r="C868" s="3"/>
      <c r="D868" s="3"/>
      <c r="E868" s="3"/>
      <c r="F868" s="27" t="str" cm="1">
        <f t="array" ref="F868">INDEX(Sources!A:A, 1 + BIN2DEC(LEFT($B868,5)))</f>
        <v>A</v>
      </c>
      <c r="G868" s="27" t="str" cm="1">
        <f t="array" ref="G868">INDEX(Dest1!A:A,1+BIN2DEC(MID($B868,6,5)))</f>
        <v>OUT</v>
      </c>
      <c r="H868" s="27" t="str" cm="1">
        <f t="array" ref="H868">INDEX(Source2!A:A,1+BIN2DEC(MID($B868,11,4)))</f>
        <v>11</v>
      </c>
      <c r="I868" s="23" t="str" cm="1">
        <f t="array" ref="I868">INDEX('D2'!A:A,1+BIN2DEC(MID($B868,16,2)))</f>
        <v>TMPB</v>
      </c>
      <c r="J868" s="6">
        <f t="shared" si="87"/>
        <v>0</v>
      </c>
      <c r="K868" s="6">
        <f t="shared" si="83"/>
        <v>0</v>
      </c>
      <c r="L868" s="6">
        <f t="shared" si="84"/>
        <v>1</v>
      </c>
      <c r="M868" s="3" t="str" cm="1">
        <f t="array" ref="M868">INDEX(Types!A:A,1+BIN2DEC(MID($B868,20,2)))</f>
        <v>Control</v>
      </c>
      <c r="N868" s="3" t="str" cm="1">
        <f t="array" ref="N868">IF(M868="ALU",INDEX(ALUOps!A:A,1+BIN2DEC(MID($B868,22,5))),"")</f>
        <v/>
      </c>
      <c r="O868" s="3" t="str" cm="1">
        <f t="array" ref="O868">IF(M868="ALU",INDEX(TMP!A:A,1+BIN2DEC(MID($B868,27,2))),"")</f>
        <v/>
      </c>
      <c r="P868" s="6" t="str">
        <f t="shared" si="85"/>
        <v/>
      </c>
      <c r="Q868" t="str">
        <f t="shared" si="88"/>
        <v/>
      </c>
      <c r="R868" t="str">
        <f t="shared" si="89"/>
        <v/>
      </c>
      <c r="S868" cm="1">
        <f t="array" ref="S868">IF(M868="Control",INDEX(IC!A:A,1+BIN2DEC(MID($B868,21,4))),"")</f>
        <v>0</v>
      </c>
      <c r="T868" cm="1">
        <f t="array" ref="T868">IF(M868="Control",INDEX(EC!A:A,1+BIN2DEC(MID($B868,25,3))),"")</f>
        <v>5</v>
      </c>
      <c r="U868" cm="1">
        <f t="array" ref="U868">IF(M868="Control",INDEX(SR!A:A,1+BIN2DEC(MID($B868,28,2))),"")</f>
        <v>0</v>
      </c>
    </row>
    <row r="869" spans="1:30" x14ac:dyDescent="0.25">
      <c r="A869" s="4" t="str">
        <f t="shared" si="86"/>
        <v>363</v>
      </c>
      <c r="B869" s="2" t="s">
        <v>799</v>
      </c>
      <c r="C869" s="3"/>
      <c r="D869" s="3"/>
      <c r="E869" s="3"/>
      <c r="F869" s="27" t="str" cm="1">
        <f t="array" ref="F869">INDEX(Sources!A:A, 1 + BIN2DEC(LEFT($B869,5)))</f>
        <v>UNK27</v>
      </c>
      <c r="G869" s="27" t="str" cm="1">
        <f t="array" ref="G869">INDEX(Dest1!A:A,1+BIN2DEC(MID($B869,6,5)))</f>
        <v>UNK24</v>
      </c>
      <c r="H869" s="27" t="str" cm="1">
        <f t="array" ref="H869">INDEX(Source2!A:A,1+BIN2DEC(MID($B869,11,4)))</f>
        <v>--</v>
      </c>
      <c r="I869" s="23" cm="1">
        <f t="array" ref="I869">INDEX('D2'!A:A,1+BIN2DEC(MID($B869,16,2)))</f>
        <v>0</v>
      </c>
      <c r="J869" s="6">
        <f t="shared" si="87"/>
        <v>0</v>
      </c>
      <c r="K869" s="6">
        <f t="shared" si="83"/>
        <v>0</v>
      </c>
      <c r="L869" s="6">
        <f t="shared" si="84"/>
        <v>0</v>
      </c>
      <c r="M869" s="3" t="str" cm="1">
        <f t="array" ref="M869">INDEX(Types!A:A,1+BIN2DEC(MID($B869,20,2)))</f>
        <v>Control</v>
      </c>
      <c r="N869" s="3" t="str" cm="1">
        <f t="array" ref="N869">IF(M869="ALU",INDEX(ALUOps!A:A,1+BIN2DEC(MID($B869,22,5))),"")</f>
        <v/>
      </c>
      <c r="O869" s="3" t="str" cm="1">
        <f t="array" ref="O869">IF(M869="ALU",INDEX(TMP!A:A,1+BIN2DEC(MID($B869,27,2))),"")</f>
        <v/>
      </c>
      <c r="P869" s="6" t="str">
        <f t="shared" si="85"/>
        <v/>
      </c>
      <c r="Q869" t="str">
        <f t="shared" si="88"/>
        <v/>
      </c>
      <c r="R869" t="str">
        <f t="shared" si="89"/>
        <v/>
      </c>
      <c r="S869" cm="1">
        <f t="array" ref="S869">IF(M869="Control",INDEX(IC!A:A,1+BIN2DEC(MID($B869,21,4))),"")</f>
        <v>0</v>
      </c>
      <c r="T869" cm="1">
        <f t="array" ref="T869">IF(M869="Control",INDEX(EC!A:A,1+BIN2DEC(MID($B869,25,3))),"")</f>
        <v>0</v>
      </c>
      <c r="U869" cm="1">
        <f t="array" ref="U869">IF(M869="Control",INDEX(SR!A:A,1+BIN2DEC(MID($B869,28,2))),"")</f>
        <v>0</v>
      </c>
    </row>
    <row r="870" spans="1:30" x14ac:dyDescent="0.25">
      <c r="A870" s="4" t="str">
        <f t="shared" si="86"/>
        <v>364</v>
      </c>
      <c r="B870" s="2" t="s">
        <v>108</v>
      </c>
      <c r="C870" s="2" t="s">
        <v>808</v>
      </c>
      <c r="D870" s="2" t="s">
        <v>937</v>
      </c>
      <c r="E870" s="2" t="s">
        <v>462</v>
      </c>
      <c r="F870" s="27" t="str" cm="1">
        <f t="array" ref="F870">INDEX(Sources!A:A, 1 + BIN2DEC(LEFT($B870,5)))</f>
        <v>Q</v>
      </c>
      <c r="G870" s="27" t="str" cm="1">
        <f t="array" ref="G870">INDEX(Dest1!A:A,1+BIN2DEC(MID($B870,6,5)))</f>
        <v>UNK11</v>
      </c>
      <c r="H870" s="27" t="str" cm="1">
        <f t="array" ref="H870">INDEX(Source2!A:A,1+BIN2DEC(MID($B870,11,4)))</f>
        <v>--</v>
      </c>
      <c r="I870" s="23" cm="1">
        <f t="array" ref="I870">INDEX('D2'!A:A,1+BIN2DEC(MID($B870,16,2)))</f>
        <v>0</v>
      </c>
      <c r="J870" s="6">
        <f t="shared" si="87"/>
        <v>0</v>
      </c>
      <c r="K870" s="6">
        <f t="shared" si="83"/>
        <v>0</v>
      </c>
      <c r="L870" s="6">
        <f t="shared" si="84"/>
        <v>0</v>
      </c>
      <c r="M870" s="3" t="str" cm="1">
        <f t="array" ref="M870">INDEX(Types!A:A,1+BIN2DEC(MID($B870,20,2)))</f>
        <v>Control</v>
      </c>
      <c r="N870" s="3" t="str" cm="1">
        <f t="array" ref="N870">IF(M870="ALU",INDEX(ALUOps!A:A,1+BIN2DEC(MID($B870,22,5))),"")</f>
        <v/>
      </c>
      <c r="O870" s="3" t="str" cm="1">
        <f t="array" ref="O870">IF(M870="ALU",INDEX(TMP!A:A,1+BIN2DEC(MID($B870,27,2))),"")</f>
        <v/>
      </c>
      <c r="P870" s="6" t="str">
        <f t="shared" si="85"/>
        <v/>
      </c>
      <c r="Q870" t="str">
        <f t="shared" si="88"/>
        <v/>
      </c>
      <c r="R870" t="str">
        <f t="shared" si="89"/>
        <v/>
      </c>
      <c r="S870" cm="1">
        <f t="array" ref="S870">IF(M870="Control",INDEX(IC!A:A,1+BIN2DEC(MID($B870,21,4))),"")</f>
        <v>0</v>
      </c>
      <c r="T870" cm="1">
        <f t="array" ref="T870">IF(M870="Control",INDEX(EC!A:A,1+BIN2DEC(MID($B870,25,3))),"")</f>
        <v>0</v>
      </c>
      <c r="U870" cm="1">
        <f t="array" ref="U870">IF(M870="Control",INDEX(SR!A:A,1+BIN2DEC(MID($B870,28,2))),"")</f>
        <v>0</v>
      </c>
      <c r="W870">
        <v>8080</v>
      </c>
      <c r="X870" t="s">
        <v>1070</v>
      </c>
      <c r="AD870" s="1" t="s">
        <v>711</v>
      </c>
    </row>
    <row r="871" spans="1:30" x14ac:dyDescent="0.25">
      <c r="A871" s="4" t="str">
        <f t="shared" si="86"/>
        <v>365</v>
      </c>
      <c r="B871" s="2" t="s">
        <v>8</v>
      </c>
      <c r="C871" s="3"/>
      <c r="D871" s="3"/>
      <c r="E871" s="3"/>
      <c r="F871" s="27" t="str" cm="1">
        <f t="array" ref="F871">INDEX(Sources!A:A, 1 + BIN2DEC(LEFT($B871,5)))</f>
        <v>Q</v>
      </c>
      <c r="G871" s="27" t="str" cm="1">
        <f t="array" ref="G871">INDEX(Dest1!A:A,1+BIN2DEC(MID($B871,6,5)))</f>
        <v>UNK9</v>
      </c>
      <c r="H871" s="27" t="str" cm="1">
        <f t="array" ref="H871">INDEX(Source2!A:A,1+BIN2DEC(MID($B871,11,4)))</f>
        <v>--</v>
      </c>
      <c r="I871" s="23" cm="1">
        <f t="array" ref="I871">INDEX('D2'!A:A,1+BIN2DEC(MID($B871,16,2)))</f>
        <v>0</v>
      </c>
      <c r="J871" s="6">
        <f t="shared" si="87"/>
        <v>0</v>
      </c>
      <c r="K871" s="6">
        <f t="shared" si="83"/>
        <v>0</v>
      </c>
      <c r="L871" s="6">
        <f t="shared" si="84"/>
        <v>0</v>
      </c>
      <c r="M871" s="3" t="str" cm="1">
        <f t="array" ref="M871">INDEX(Types!A:A,1+BIN2DEC(MID($B871,20,2)))</f>
        <v>Control</v>
      </c>
      <c r="N871" s="3" t="str" cm="1">
        <f t="array" ref="N871">IF(M871="ALU",INDEX(ALUOps!A:A,1+BIN2DEC(MID($B871,22,5))),"")</f>
        <v/>
      </c>
      <c r="O871" s="3" t="str" cm="1">
        <f t="array" ref="O871">IF(M871="ALU",INDEX(TMP!A:A,1+BIN2DEC(MID($B871,27,2))),"")</f>
        <v/>
      </c>
      <c r="P871" s="6" t="str">
        <f t="shared" si="85"/>
        <v/>
      </c>
      <c r="Q871" t="str">
        <f t="shared" si="88"/>
        <v/>
      </c>
      <c r="R871" t="str">
        <f t="shared" si="89"/>
        <v/>
      </c>
      <c r="S871" cm="1">
        <f t="array" ref="S871">IF(M871="Control",INDEX(IC!A:A,1+BIN2DEC(MID($B871,21,4))),"")</f>
        <v>0</v>
      </c>
      <c r="T871" cm="1">
        <f t="array" ref="T871">IF(M871="Control",INDEX(EC!A:A,1+BIN2DEC(MID($B871,25,3))),"")</f>
        <v>0</v>
      </c>
      <c r="U871" cm="1">
        <f t="array" ref="U871">IF(M871="Control",INDEX(SR!A:A,1+BIN2DEC(MID($B871,28,2))),"")</f>
        <v>0</v>
      </c>
    </row>
    <row r="872" spans="1:30" x14ac:dyDescent="0.25">
      <c r="A872" s="4" t="str">
        <f t="shared" si="86"/>
        <v>366</v>
      </c>
      <c r="B872" s="2" t="s">
        <v>807</v>
      </c>
      <c r="C872" s="3"/>
      <c r="D872" s="3"/>
      <c r="E872" s="3"/>
      <c r="F872" s="27" t="str" cm="1">
        <f t="array" ref="F872">INDEX(Sources!A:A, 1 + BIN2DEC(LEFT($B872,5)))</f>
        <v>TMPB</v>
      </c>
      <c r="G872" s="27" t="str" cm="1">
        <f t="array" ref="G872">INDEX(Dest1!A:A,1+BIN2DEC(MID($B872,6,5)))</f>
        <v>UNK26</v>
      </c>
      <c r="H872" s="27" t="str" cm="1">
        <f t="array" ref="H872">INDEX(Source2!A:A,1+BIN2DEC(MID($B872,11,4)))</f>
        <v>--</v>
      </c>
      <c r="I872" s="23" cm="1">
        <f t="array" ref="I872">INDEX('D2'!A:A,1+BIN2DEC(MID($B872,16,2)))</f>
        <v>0</v>
      </c>
      <c r="J872" s="6">
        <f t="shared" si="87"/>
        <v>0</v>
      </c>
      <c r="K872" s="6">
        <f t="shared" si="83"/>
        <v>0</v>
      </c>
      <c r="L872" s="6">
        <f t="shared" si="84"/>
        <v>0</v>
      </c>
      <c r="M872" s="3" t="str" cm="1">
        <f t="array" ref="M872">INDEX(Types!A:A,1+BIN2DEC(MID($B872,20,2)))</f>
        <v>Control</v>
      </c>
      <c r="N872" s="3" t="str" cm="1">
        <f t="array" ref="N872">IF(M872="ALU",INDEX(ALUOps!A:A,1+BIN2DEC(MID($B872,22,5))),"")</f>
        <v/>
      </c>
      <c r="O872" s="3" t="str" cm="1">
        <f t="array" ref="O872">IF(M872="ALU",INDEX(TMP!A:A,1+BIN2DEC(MID($B872,27,2))),"")</f>
        <v/>
      </c>
      <c r="P872" s="6" t="str">
        <f t="shared" si="85"/>
        <v/>
      </c>
      <c r="Q872" t="str">
        <f t="shared" si="88"/>
        <v/>
      </c>
      <c r="R872" t="str">
        <f t="shared" si="89"/>
        <v/>
      </c>
      <c r="S872" cm="1">
        <f t="array" ref="S872">IF(M872="Control",INDEX(IC!A:A,1+BIN2DEC(MID($B872,21,4))),"")</f>
        <v>0</v>
      </c>
      <c r="T872" cm="1">
        <f t="array" ref="T872">IF(M872="Control",INDEX(EC!A:A,1+BIN2DEC(MID($B872,25,3))),"")</f>
        <v>6</v>
      </c>
      <c r="U872" cm="1">
        <f t="array" ref="U872">IF(M872="Control",INDEX(SR!A:A,1+BIN2DEC(MID($B872,28,2))),"")</f>
        <v>0</v>
      </c>
    </row>
    <row r="873" spans="1:30" s="9" customFormat="1" ht="15.75" thickBot="1" x14ac:dyDescent="0.3">
      <c r="A873" s="7" t="str">
        <f t="shared" si="86"/>
        <v>367</v>
      </c>
      <c r="B873" s="8" t="s">
        <v>811</v>
      </c>
      <c r="C873" s="10"/>
      <c r="D873" s="10"/>
      <c r="E873" s="10"/>
      <c r="F873" s="30" t="str" cm="1">
        <f t="array" ref="F873">INDEX(Sources!A:A, 1 + BIN2DEC(LEFT($B873,5)))</f>
        <v>OUT</v>
      </c>
      <c r="G873" s="30" t="str" cm="1">
        <f t="array" ref="G873">INDEX(Dest1!A:A,1+BIN2DEC(MID($B873,6,5)))</f>
        <v>UNK4</v>
      </c>
      <c r="H873" s="30" t="str" cm="1">
        <f t="array" ref="H873">INDEX(Source2!A:A,1+BIN2DEC(MID($B873,11,4)))</f>
        <v>--</v>
      </c>
      <c r="I873" s="26" cm="1">
        <f t="array" ref="I873">INDEX('D2'!A:A,1+BIN2DEC(MID($B873,16,2)))</f>
        <v>1</v>
      </c>
      <c r="J873" s="11">
        <f t="shared" si="87"/>
        <v>1</v>
      </c>
      <c r="K873" s="11">
        <f t="shared" si="83"/>
        <v>0</v>
      </c>
      <c r="L873" s="11">
        <f t="shared" si="84"/>
        <v>1</v>
      </c>
      <c r="M873" s="10" t="str" cm="1">
        <f t="array" ref="M873">INDEX(Types!A:A,1+BIN2DEC(MID($B873,20,2)))</f>
        <v>Control</v>
      </c>
      <c r="N873" s="10" t="str" cm="1">
        <f t="array" ref="N873">IF(M873="ALU",INDEX(ALUOps!A:A,1+BIN2DEC(MID($B873,22,5))),"")</f>
        <v/>
      </c>
      <c r="O873" s="10" t="str" cm="1">
        <f t="array" ref="O873">IF(M873="ALU",INDEX(TMP!A:A,1+BIN2DEC(MID($B873,27,2))),"")</f>
        <v/>
      </c>
      <c r="P873" s="11" t="str">
        <f t="shared" si="85"/>
        <v/>
      </c>
      <c r="Q873" s="9" t="str">
        <f t="shared" si="88"/>
        <v/>
      </c>
      <c r="R873" s="9" t="str">
        <f t="shared" si="89"/>
        <v/>
      </c>
      <c r="S873" s="9" cm="1">
        <f t="array" ref="S873">IF(M873="Control",INDEX(IC!A:A,1+BIN2DEC(MID($B873,21,4))),"")</f>
        <v>0</v>
      </c>
      <c r="T873" s="9" cm="1">
        <f t="array" ref="T873">IF(M873="Control",INDEX(EC!A:A,1+BIN2DEC(MID($B873,25,3))),"")</f>
        <v>0</v>
      </c>
      <c r="U873" s="9" cm="1">
        <f t="array" ref="U873">IF(M873="Control",INDEX(SR!A:A,1+BIN2DEC(MID($B873,28,2))),"")</f>
        <v>0</v>
      </c>
    </row>
    <row r="874" spans="1:30" x14ac:dyDescent="0.25">
      <c r="A874" s="4" t="str">
        <f t="shared" si="86"/>
        <v>368</v>
      </c>
      <c r="B874" s="2" t="s">
        <v>326</v>
      </c>
      <c r="C874" s="2" t="s">
        <v>810</v>
      </c>
      <c r="D874" s="2" t="s">
        <v>937</v>
      </c>
      <c r="E874" s="2" t="s">
        <v>462</v>
      </c>
      <c r="F874" s="27" t="str" cm="1">
        <f t="array" ref="F874">INDEX(Sources!A:A, 1 + BIN2DEC(LEFT($B874,5)))</f>
        <v>Q</v>
      </c>
      <c r="G874" s="27" t="str" cm="1">
        <f t="array" ref="G874">INDEX(Dest1!A:A,1+BIN2DEC(MID($B874,6,5)))</f>
        <v>UNK11</v>
      </c>
      <c r="H874" s="27" t="str" cm="1">
        <f t="array" ref="H874">INDEX(Source2!A:A,1+BIN2DEC(MID($B874,11,4)))</f>
        <v>--</v>
      </c>
      <c r="I874" s="23" cm="1">
        <f t="array" ref="I874">INDEX('D2'!A:A,1+BIN2DEC(MID($B874,16,2)))</f>
        <v>0</v>
      </c>
      <c r="J874" s="6">
        <f t="shared" si="87"/>
        <v>0</v>
      </c>
      <c r="K874" s="6">
        <f t="shared" si="83"/>
        <v>0</v>
      </c>
      <c r="L874" s="6">
        <f t="shared" si="84"/>
        <v>0</v>
      </c>
      <c r="M874" s="3" t="str" cm="1">
        <f t="array" ref="M874">INDEX(Types!A:A,1+BIN2DEC(MID($B874,20,2)))</f>
        <v>ALU</v>
      </c>
      <c r="N874" s="3" cm="1">
        <f t="array" ref="N874">IF(M874="ALU",INDEX(ALUOps!A:A,1+BIN2DEC(MID($B874,22,5))),"")</f>
        <v>0</v>
      </c>
      <c r="O874" s="3" cm="1">
        <f t="array" ref="O874">IF(M874="ALU",INDEX(TMP!A:A,1+BIN2DEC(MID($B874,27,2))),"")</f>
        <v>3</v>
      </c>
      <c r="P874" s="6">
        <f t="shared" si="85"/>
        <v>1</v>
      </c>
      <c r="Q874" t="str">
        <f t="shared" si="88"/>
        <v/>
      </c>
      <c r="R874" t="str">
        <f t="shared" si="89"/>
        <v/>
      </c>
      <c r="S874" t="str" cm="1">
        <f t="array" ref="S874">IF(M874="Control",INDEX(IC!A:A,1+BIN2DEC(MID($B874,21,4))),"")</f>
        <v/>
      </c>
      <c r="T874" t="str" cm="1">
        <f t="array" ref="T874">IF(M874="Control",INDEX(EC!A:A,1+BIN2DEC(MID($B874,25,3))),"")</f>
        <v/>
      </c>
      <c r="U874" t="str" cm="1">
        <f t="array" ref="U874">IF(M874="Control",INDEX(SR!A:A,1+BIN2DEC(MID($B874,28,2))),"")</f>
        <v/>
      </c>
      <c r="W874">
        <v>8080</v>
      </c>
      <c r="X874" t="s">
        <v>1126</v>
      </c>
      <c r="AD874" s="1" t="s">
        <v>692</v>
      </c>
    </row>
    <row r="875" spans="1:30" x14ac:dyDescent="0.25">
      <c r="A875" s="4" t="str">
        <f t="shared" si="86"/>
        <v>369</v>
      </c>
      <c r="B875" s="2" t="s">
        <v>8</v>
      </c>
      <c r="C875" s="3"/>
      <c r="D875" s="3"/>
      <c r="E875" s="3"/>
      <c r="F875" s="27" t="str" cm="1">
        <f t="array" ref="F875">INDEX(Sources!A:A, 1 + BIN2DEC(LEFT($B875,5)))</f>
        <v>Q</v>
      </c>
      <c r="G875" s="27" t="str" cm="1">
        <f t="array" ref="G875">INDEX(Dest1!A:A,1+BIN2DEC(MID($B875,6,5)))</f>
        <v>UNK9</v>
      </c>
      <c r="H875" s="27" t="str" cm="1">
        <f t="array" ref="H875">INDEX(Source2!A:A,1+BIN2DEC(MID($B875,11,4)))</f>
        <v>--</v>
      </c>
      <c r="I875" s="23" cm="1">
        <f t="array" ref="I875">INDEX('D2'!A:A,1+BIN2DEC(MID($B875,16,2)))</f>
        <v>0</v>
      </c>
      <c r="J875" s="6">
        <f t="shared" si="87"/>
        <v>0</v>
      </c>
      <c r="K875" s="6">
        <f t="shared" si="83"/>
        <v>0</v>
      </c>
      <c r="L875" s="6">
        <f t="shared" si="84"/>
        <v>0</v>
      </c>
      <c r="M875" s="3" t="str" cm="1">
        <f t="array" ref="M875">INDEX(Types!A:A,1+BIN2DEC(MID($B875,20,2)))</f>
        <v>Control</v>
      </c>
      <c r="N875" s="3" t="str" cm="1">
        <f t="array" ref="N875">IF(M875="ALU",INDEX(ALUOps!A:A,1+BIN2DEC(MID($B875,22,5))),"")</f>
        <v/>
      </c>
      <c r="O875" s="3" t="str" cm="1">
        <f t="array" ref="O875">IF(M875="ALU",INDEX(TMP!A:A,1+BIN2DEC(MID($B875,27,2))),"")</f>
        <v/>
      </c>
      <c r="P875" s="6" t="str">
        <f t="shared" si="85"/>
        <v/>
      </c>
      <c r="Q875" t="str">
        <f t="shared" si="88"/>
        <v/>
      </c>
      <c r="R875" t="str">
        <f t="shared" si="89"/>
        <v/>
      </c>
      <c r="S875" cm="1">
        <f t="array" ref="S875">IF(M875="Control",INDEX(IC!A:A,1+BIN2DEC(MID($B875,21,4))),"")</f>
        <v>0</v>
      </c>
      <c r="T875" cm="1">
        <f t="array" ref="T875">IF(M875="Control",INDEX(EC!A:A,1+BIN2DEC(MID($B875,25,3))),"")</f>
        <v>0</v>
      </c>
      <c r="U875" cm="1">
        <f t="array" ref="U875">IF(M875="Control",INDEX(SR!A:A,1+BIN2DEC(MID($B875,28,2))),"")</f>
        <v>0</v>
      </c>
    </row>
    <row r="876" spans="1:30" x14ac:dyDescent="0.25">
      <c r="A876" s="4" t="str">
        <f t="shared" si="86"/>
        <v>36A</v>
      </c>
      <c r="B876" s="2" t="s">
        <v>814</v>
      </c>
      <c r="C876" s="3"/>
      <c r="D876" s="3"/>
      <c r="E876" s="3"/>
      <c r="F876" s="27" t="str" cm="1">
        <f t="array" ref="F876">INDEX(Sources!A:A, 1 + BIN2DEC(LEFT($B876,5)))</f>
        <v>UNK4</v>
      </c>
      <c r="G876" s="27" t="str" cm="1">
        <f t="array" ref="G876">INDEX(Dest1!A:A,1+BIN2DEC(MID($B876,6,5)))</f>
        <v>OUT</v>
      </c>
      <c r="H876" s="27" t="str" cm="1">
        <f t="array" ref="H876">INDEX(Source2!A:A,1+BIN2DEC(MID($B876,11,4)))</f>
        <v>11</v>
      </c>
      <c r="I876" s="23" t="str" cm="1">
        <f t="array" ref="I876">INDEX('D2'!A:A,1+BIN2DEC(MID($B876,16,2)))</f>
        <v>TMPB</v>
      </c>
      <c r="J876" s="6">
        <f t="shared" si="87"/>
        <v>0</v>
      </c>
      <c r="K876" s="6">
        <f t="shared" si="83"/>
        <v>0</v>
      </c>
      <c r="L876" s="6">
        <f t="shared" si="84"/>
        <v>1</v>
      </c>
      <c r="M876" s="3" t="str" cm="1">
        <f t="array" ref="M876">INDEX(Types!A:A,1+BIN2DEC(MID($B876,20,2)))</f>
        <v>Control</v>
      </c>
      <c r="N876" s="3" t="str" cm="1">
        <f t="array" ref="N876">IF(M876="ALU",INDEX(ALUOps!A:A,1+BIN2DEC(MID($B876,22,5))),"")</f>
        <v/>
      </c>
      <c r="O876" s="3" t="str" cm="1">
        <f t="array" ref="O876">IF(M876="ALU",INDEX(TMP!A:A,1+BIN2DEC(MID($B876,27,2))),"")</f>
        <v/>
      </c>
      <c r="P876" s="6" t="str">
        <f t="shared" si="85"/>
        <v/>
      </c>
      <c r="Q876" t="str">
        <f t="shared" si="88"/>
        <v/>
      </c>
      <c r="R876" t="str">
        <f t="shared" si="89"/>
        <v/>
      </c>
      <c r="S876" cm="1">
        <f t="array" ref="S876">IF(M876="Control",INDEX(IC!A:A,1+BIN2DEC(MID($B876,21,4))),"")</f>
        <v>0</v>
      </c>
      <c r="T876" cm="1">
        <f t="array" ref="T876">IF(M876="Control",INDEX(EC!A:A,1+BIN2DEC(MID($B876,25,3))),"")</f>
        <v>5</v>
      </c>
      <c r="U876" cm="1">
        <f t="array" ref="U876">IF(M876="Control",INDEX(SR!A:A,1+BIN2DEC(MID($B876,28,2))),"")</f>
        <v>0</v>
      </c>
    </row>
    <row r="877" spans="1:30" s="9" customFormat="1" ht="15.75" thickBot="1" x14ac:dyDescent="0.3">
      <c r="A877" s="7" t="str">
        <f t="shared" si="86"/>
        <v>36B</v>
      </c>
      <c r="B877" s="8" t="s">
        <v>799</v>
      </c>
      <c r="C877" s="10"/>
      <c r="D877" s="10"/>
      <c r="E877" s="10"/>
      <c r="F877" s="30" t="str" cm="1">
        <f t="array" ref="F877">INDEX(Sources!A:A, 1 + BIN2DEC(LEFT($B877,5)))</f>
        <v>UNK27</v>
      </c>
      <c r="G877" s="30" t="str" cm="1">
        <f t="array" ref="G877">INDEX(Dest1!A:A,1+BIN2DEC(MID($B877,6,5)))</f>
        <v>UNK24</v>
      </c>
      <c r="H877" s="30" t="str" cm="1">
        <f t="array" ref="H877">INDEX(Source2!A:A,1+BIN2DEC(MID($B877,11,4)))</f>
        <v>--</v>
      </c>
      <c r="I877" s="26" cm="1">
        <f t="array" ref="I877">INDEX('D2'!A:A,1+BIN2DEC(MID($B877,16,2)))</f>
        <v>0</v>
      </c>
      <c r="J877" s="11">
        <f t="shared" si="87"/>
        <v>0</v>
      </c>
      <c r="K877" s="11">
        <f t="shared" si="83"/>
        <v>0</v>
      </c>
      <c r="L877" s="11">
        <f t="shared" si="84"/>
        <v>0</v>
      </c>
      <c r="M877" s="10" t="str" cm="1">
        <f t="array" ref="M877">INDEX(Types!A:A,1+BIN2DEC(MID($B877,20,2)))</f>
        <v>Control</v>
      </c>
      <c r="N877" s="10" t="str" cm="1">
        <f t="array" ref="N877">IF(M877="ALU",INDEX(ALUOps!A:A,1+BIN2DEC(MID($B877,22,5))),"")</f>
        <v/>
      </c>
      <c r="O877" s="10" t="str" cm="1">
        <f t="array" ref="O877">IF(M877="ALU",INDEX(TMP!A:A,1+BIN2DEC(MID($B877,27,2))),"")</f>
        <v/>
      </c>
      <c r="P877" s="11" t="str">
        <f t="shared" si="85"/>
        <v/>
      </c>
      <c r="Q877" s="9" t="str">
        <f t="shared" si="88"/>
        <v/>
      </c>
      <c r="R877" s="9" t="str">
        <f t="shared" si="89"/>
        <v/>
      </c>
      <c r="S877" s="9" cm="1">
        <f t="array" ref="S877">IF(M877="Control",INDEX(IC!A:A,1+BIN2DEC(MID($B877,21,4))),"")</f>
        <v>0</v>
      </c>
      <c r="T877" s="9" cm="1">
        <f t="array" ref="T877">IF(M877="Control",INDEX(EC!A:A,1+BIN2DEC(MID($B877,25,3))),"")</f>
        <v>0</v>
      </c>
      <c r="U877" s="9" cm="1">
        <f t="array" ref="U877">IF(M877="Control",INDEX(SR!A:A,1+BIN2DEC(MID($B877,28,2))),"")</f>
        <v>0</v>
      </c>
    </row>
    <row r="878" spans="1:30" x14ac:dyDescent="0.25">
      <c r="A878" s="4" t="str">
        <f t="shared" si="86"/>
        <v>36C</v>
      </c>
      <c r="B878" s="2" t="s">
        <v>815</v>
      </c>
      <c r="C878" s="2" t="s">
        <v>812</v>
      </c>
      <c r="D878" s="2" t="s">
        <v>937</v>
      </c>
      <c r="E878" s="2" t="s">
        <v>462</v>
      </c>
      <c r="F878" s="27" t="str" cm="1">
        <f t="array" ref="F878">INDEX(Sources!A:A, 1 + BIN2DEC(LEFT($B878,5)))</f>
        <v>REG</v>
      </c>
      <c r="G878" s="27" t="str" cm="1">
        <f t="array" ref="G878">INDEX(Dest1!A:A,1+BIN2DEC(MID($B878,6,5)))</f>
        <v>UNK26</v>
      </c>
      <c r="H878" s="27" t="str" cm="1">
        <f t="array" ref="H878">INDEX(Source2!A:A,1+BIN2DEC(MID($B878,11,4)))</f>
        <v>--</v>
      </c>
      <c r="I878" s="23" cm="1">
        <f t="array" ref="I878">INDEX('D2'!A:A,1+BIN2DEC(MID($B878,16,2)))</f>
        <v>0</v>
      </c>
      <c r="J878" s="6">
        <f t="shared" si="87"/>
        <v>0</v>
      </c>
      <c r="K878" s="6">
        <f t="shared" si="83"/>
        <v>0</v>
      </c>
      <c r="L878" s="6">
        <f t="shared" si="84"/>
        <v>0</v>
      </c>
      <c r="M878" s="3" t="str" cm="1">
        <f t="array" ref="M878">INDEX(Types!A:A,1+BIN2DEC(MID($B878,20,2)))</f>
        <v>Control</v>
      </c>
      <c r="N878" s="3" t="str" cm="1">
        <f t="array" ref="N878">IF(M878="ALU",INDEX(ALUOps!A:A,1+BIN2DEC(MID($B878,22,5))),"")</f>
        <v/>
      </c>
      <c r="O878" s="3" t="str" cm="1">
        <f t="array" ref="O878">IF(M878="ALU",INDEX(TMP!A:A,1+BIN2DEC(MID($B878,27,2))),"")</f>
        <v/>
      </c>
      <c r="P878" s="6" t="str">
        <f t="shared" si="85"/>
        <v/>
      </c>
      <c r="Q878" t="str">
        <f t="shared" si="88"/>
        <v/>
      </c>
      <c r="R878" t="str">
        <f t="shared" si="89"/>
        <v/>
      </c>
      <c r="S878" cm="1">
        <f t="array" ref="S878">IF(M878="Control",INDEX(IC!A:A,1+BIN2DEC(MID($B878,21,4))),"")</f>
        <v>0</v>
      </c>
      <c r="T878" cm="1">
        <f t="array" ref="T878">IF(M878="Control",INDEX(EC!A:A,1+BIN2DEC(MID($B878,25,3))),"")</f>
        <v>6</v>
      </c>
      <c r="U878" cm="1">
        <f t="array" ref="U878">IF(M878="Control",INDEX(SR!A:A,1+BIN2DEC(MID($B878,28,2))),"")</f>
        <v>0</v>
      </c>
      <c r="W878">
        <v>8080</v>
      </c>
      <c r="X878" t="s">
        <v>1071</v>
      </c>
      <c r="AD878" s="1" t="s">
        <v>813</v>
      </c>
    </row>
    <row r="879" spans="1:30" x14ac:dyDescent="0.25">
      <c r="A879" s="4" t="str">
        <f t="shared" si="86"/>
        <v>36D</v>
      </c>
      <c r="B879" s="2" t="s">
        <v>300</v>
      </c>
      <c r="C879" s="3"/>
      <c r="D879" s="3"/>
      <c r="E879" s="3"/>
      <c r="F879" s="27" t="str" cm="1">
        <f t="array" ref="F879">INDEX(Sources!A:A, 1 + BIN2DEC(LEFT($B879,5)))</f>
        <v>OUT</v>
      </c>
      <c r="G879" s="27" t="str" cm="1">
        <f t="array" ref="G879">INDEX(Dest1!A:A,1+BIN2DEC(MID($B879,6,5)))</f>
        <v>UNK23</v>
      </c>
      <c r="H879" s="27" t="str" cm="1">
        <f t="array" ref="H879">INDEX(Source2!A:A,1+BIN2DEC(MID($B879,11,4)))</f>
        <v>--</v>
      </c>
      <c r="I879" s="23" cm="1">
        <f t="array" ref="I879">INDEX('D2'!A:A,1+BIN2DEC(MID($B879,16,2)))</f>
        <v>1</v>
      </c>
      <c r="J879" s="6">
        <f t="shared" si="87"/>
        <v>1</v>
      </c>
      <c r="K879" s="6">
        <f t="shared" si="83"/>
        <v>0</v>
      </c>
      <c r="L879" s="6">
        <f t="shared" si="84"/>
        <v>1</v>
      </c>
      <c r="M879" s="3" t="str" cm="1">
        <f t="array" ref="M879">INDEX(Types!A:A,1+BIN2DEC(MID($B879,20,2)))</f>
        <v>Control</v>
      </c>
      <c r="N879" s="3" t="str" cm="1">
        <f t="array" ref="N879">IF(M879="ALU",INDEX(ALUOps!A:A,1+BIN2DEC(MID($B879,22,5))),"")</f>
        <v/>
      </c>
      <c r="O879" s="3" t="str" cm="1">
        <f t="array" ref="O879">IF(M879="ALU",INDEX(TMP!A:A,1+BIN2DEC(MID($B879,27,2))),"")</f>
        <v/>
      </c>
      <c r="P879" s="6" t="str">
        <f t="shared" si="85"/>
        <v/>
      </c>
      <c r="Q879" t="str">
        <f t="shared" si="88"/>
        <v/>
      </c>
      <c r="R879" t="str">
        <f t="shared" si="89"/>
        <v/>
      </c>
      <c r="S879" cm="1">
        <f t="array" ref="S879">IF(M879="Control",INDEX(IC!A:A,1+BIN2DEC(MID($B879,21,4))),"")</f>
        <v>0</v>
      </c>
      <c r="T879" cm="1">
        <f t="array" ref="T879">IF(M879="Control",INDEX(EC!A:A,1+BIN2DEC(MID($B879,25,3))),"")</f>
        <v>0</v>
      </c>
      <c r="U879" cm="1">
        <f t="array" ref="U879">IF(M879="Control",INDEX(SR!A:A,1+BIN2DEC(MID($B879,28,2))),"")</f>
        <v>0</v>
      </c>
    </row>
    <row r="880" spans="1:30" x14ac:dyDescent="0.25">
      <c r="A880" s="4" t="str">
        <f t="shared" si="86"/>
        <v>36E</v>
      </c>
      <c r="B880" s="2" t="s">
        <v>4</v>
      </c>
      <c r="C880" s="3"/>
      <c r="D880" s="3"/>
      <c r="E880" s="3"/>
      <c r="F880" s="27" t="str" cm="1">
        <f t="array" ref="F880">INDEX(Sources!A:A, 1 + BIN2DEC(LEFT($B880,5)))</f>
        <v>--</v>
      </c>
      <c r="G880" s="27" t="str" cm="1">
        <f t="array" ref="G880">INDEX(Dest1!A:A,1+BIN2DEC(MID($B880,6,5)))</f>
        <v>--</v>
      </c>
      <c r="H880" s="27" t="str" cm="1">
        <f t="array" ref="H880">INDEX(Source2!A:A,1+BIN2DEC(MID($B880,11,4)))</f>
        <v>--</v>
      </c>
      <c r="I880" s="23" cm="1">
        <f t="array" ref="I880">INDEX('D2'!A:A,1+BIN2DEC(MID($B880,16,2)))</f>
        <v>0</v>
      </c>
      <c r="J880" s="6">
        <f t="shared" si="87"/>
        <v>0</v>
      </c>
      <c r="K880" s="6">
        <f t="shared" si="83"/>
        <v>0</v>
      </c>
      <c r="L880" s="6">
        <f t="shared" si="84"/>
        <v>0</v>
      </c>
      <c r="M880" s="3" t="str" cm="1">
        <f t="array" ref="M880">INDEX(Types!A:A,1+BIN2DEC(MID($B880,20,2)))</f>
        <v>Control</v>
      </c>
      <c r="N880" s="3" t="str" cm="1">
        <f t="array" ref="N880">IF(M880="ALU",INDEX(ALUOps!A:A,1+BIN2DEC(MID($B880,22,5))),"")</f>
        <v/>
      </c>
      <c r="O880" s="3" t="str" cm="1">
        <f t="array" ref="O880">IF(M880="ALU",INDEX(TMP!A:A,1+BIN2DEC(MID($B880,27,2))),"")</f>
        <v/>
      </c>
      <c r="P880" s="6" t="str">
        <f t="shared" si="85"/>
        <v/>
      </c>
      <c r="Q880" t="str">
        <f t="shared" si="88"/>
        <v/>
      </c>
      <c r="R880" t="str">
        <f t="shared" si="89"/>
        <v/>
      </c>
      <c r="S880" cm="1">
        <f t="array" ref="S880">IF(M880="Control",INDEX(IC!A:A,1+BIN2DEC(MID($B880,21,4))),"")</f>
        <v>0</v>
      </c>
      <c r="T880" cm="1">
        <f t="array" ref="T880">IF(M880="Control",INDEX(EC!A:A,1+BIN2DEC(MID($B880,25,3))),"")</f>
        <v>0</v>
      </c>
      <c r="U880" cm="1">
        <f t="array" ref="U880">IF(M880="Control",INDEX(SR!A:A,1+BIN2DEC(MID($B880,28,2))),"")</f>
        <v>0</v>
      </c>
    </row>
    <row r="881" spans="1:30" s="9" customFormat="1" ht="15.75" thickBot="1" x14ac:dyDescent="0.3">
      <c r="A881" s="7" t="str">
        <f t="shared" si="86"/>
        <v>36F</v>
      </c>
      <c r="B881" s="8" t="s">
        <v>4</v>
      </c>
      <c r="C881" s="10"/>
      <c r="D881" s="10"/>
      <c r="E881" s="10"/>
      <c r="F881" s="30" t="str" cm="1">
        <f t="array" ref="F881">INDEX(Sources!A:A, 1 + BIN2DEC(LEFT($B881,5)))</f>
        <v>--</v>
      </c>
      <c r="G881" s="30" t="str" cm="1">
        <f t="array" ref="G881">INDEX(Dest1!A:A,1+BIN2DEC(MID($B881,6,5)))</f>
        <v>--</v>
      </c>
      <c r="H881" s="30" t="str" cm="1">
        <f t="array" ref="H881">INDEX(Source2!A:A,1+BIN2DEC(MID($B881,11,4)))</f>
        <v>--</v>
      </c>
      <c r="I881" s="26" cm="1">
        <f t="array" ref="I881">INDEX('D2'!A:A,1+BIN2DEC(MID($B881,16,2)))</f>
        <v>0</v>
      </c>
      <c r="J881" s="11">
        <f t="shared" si="87"/>
        <v>0</v>
      </c>
      <c r="K881" s="11">
        <f t="shared" si="83"/>
        <v>0</v>
      </c>
      <c r="L881" s="11">
        <f t="shared" si="84"/>
        <v>0</v>
      </c>
      <c r="M881" s="10" t="str" cm="1">
        <f t="array" ref="M881">INDEX(Types!A:A,1+BIN2DEC(MID($B881,20,2)))</f>
        <v>Control</v>
      </c>
      <c r="N881" s="10" t="str" cm="1">
        <f t="array" ref="N881">IF(M881="ALU",INDEX(ALUOps!A:A,1+BIN2DEC(MID($B881,22,5))),"")</f>
        <v/>
      </c>
      <c r="O881" s="10" t="str" cm="1">
        <f t="array" ref="O881">IF(M881="ALU",INDEX(TMP!A:A,1+BIN2DEC(MID($B881,27,2))),"")</f>
        <v/>
      </c>
      <c r="P881" s="11" t="str">
        <f t="shared" si="85"/>
        <v/>
      </c>
      <c r="Q881" s="9" t="str">
        <f t="shared" si="88"/>
        <v/>
      </c>
      <c r="R881" s="9" t="str">
        <f t="shared" si="89"/>
        <v/>
      </c>
      <c r="S881" s="9" cm="1">
        <f t="array" ref="S881">IF(M881="Control",INDEX(IC!A:A,1+BIN2DEC(MID($B881,21,4))),"")</f>
        <v>0</v>
      </c>
      <c r="T881" s="9" cm="1">
        <f t="array" ref="T881">IF(M881="Control",INDEX(EC!A:A,1+BIN2DEC(MID($B881,25,3))),"")</f>
        <v>0</v>
      </c>
      <c r="U881" s="9" cm="1">
        <f t="array" ref="U881">IF(M881="Control",INDEX(SR!A:A,1+BIN2DEC(MID($B881,28,2))),"")</f>
        <v>0</v>
      </c>
    </row>
    <row r="882" spans="1:30" x14ac:dyDescent="0.25">
      <c r="A882" s="4" t="str">
        <f t="shared" si="86"/>
        <v>370</v>
      </c>
      <c r="B882" s="2" t="s">
        <v>818</v>
      </c>
      <c r="C882" s="2" t="s">
        <v>816</v>
      </c>
      <c r="D882" s="2" t="s">
        <v>937</v>
      </c>
      <c r="E882" s="2" t="s">
        <v>462</v>
      </c>
      <c r="F882" s="27" t="str" cm="1">
        <f t="array" ref="F882">INDEX(Sources!A:A, 1 + BIN2DEC(LEFT($B882,5)))</f>
        <v>REG</v>
      </c>
      <c r="G882" s="27" t="str" cm="1">
        <f t="array" ref="G882">INDEX(Dest1!A:A,1+BIN2DEC(MID($B882,6,5)))</f>
        <v>UNK26</v>
      </c>
      <c r="H882" s="27" t="str" cm="1">
        <f t="array" ref="H882">INDEX(Source2!A:A,1+BIN2DEC(MID($B882,11,4)))</f>
        <v>--</v>
      </c>
      <c r="I882" s="23" cm="1">
        <f t="array" ref="I882">INDEX('D2'!A:A,1+BIN2DEC(MID($B882,16,2)))</f>
        <v>0</v>
      </c>
      <c r="J882" s="6">
        <f t="shared" si="87"/>
        <v>0</v>
      </c>
      <c r="K882" s="6">
        <f t="shared" si="83"/>
        <v>0</v>
      </c>
      <c r="L882" s="6">
        <f t="shared" si="84"/>
        <v>0</v>
      </c>
      <c r="M882" s="3" t="str" cm="1">
        <f t="array" ref="M882">INDEX(Types!A:A,1+BIN2DEC(MID($B882,20,2)))</f>
        <v>Control</v>
      </c>
      <c r="N882" s="3" t="str" cm="1">
        <f t="array" ref="N882">IF(M882="ALU",INDEX(ALUOps!A:A,1+BIN2DEC(MID($B882,22,5))),"")</f>
        <v/>
      </c>
      <c r="O882" s="3" t="str" cm="1">
        <f t="array" ref="O882">IF(M882="ALU",INDEX(TMP!A:A,1+BIN2DEC(MID($B882,27,2))),"")</f>
        <v/>
      </c>
      <c r="P882" s="6" t="str">
        <f t="shared" si="85"/>
        <v/>
      </c>
      <c r="Q882" t="str">
        <f t="shared" si="88"/>
        <v/>
      </c>
      <c r="R882" t="str">
        <f t="shared" si="89"/>
        <v/>
      </c>
      <c r="S882" cm="1">
        <f t="array" ref="S882">IF(M882="Control",INDEX(IC!A:A,1+BIN2DEC(MID($B882,21,4))),"")</f>
        <v>0</v>
      </c>
      <c r="T882" cm="1">
        <f t="array" ref="T882">IF(M882="Control",INDEX(EC!A:A,1+BIN2DEC(MID($B882,25,3))),"")</f>
        <v>0</v>
      </c>
      <c r="U882" cm="1">
        <f t="array" ref="U882">IF(M882="Control",INDEX(SR!A:A,1+BIN2DEC(MID($B882,28,2))),"")</f>
        <v>0</v>
      </c>
      <c r="W882">
        <v>8080</v>
      </c>
      <c r="X882" t="s">
        <v>1072</v>
      </c>
      <c r="AD882" s="1" t="s">
        <v>817</v>
      </c>
    </row>
    <row r="883" spans="1:30" x14ac:dyDescent="0.25">
      <c r="A883" s="4" t="str">
        <f t="shared" si="86"/>
        <v>371</v>
      </c>
      <c r="B883" s="2" t="s">
        <v>820</v>
      </c>
      <c r="C883" s="3"/>
      <c r="D883" s="3"/>
      <c r="E883" s="3"/>
      <c r="F883" s="27" t="str" cm="1">
        <f t="array" ref="F883">INDEX(Sources!A:A, 1 + BIN2DEC(LEFT($B883,5)))</f>
        <v>A</v>
      </c>
      <c r="G883" s="27" t="str" cm="1">
        <f t="array" ref="G883">INDEX(Dest1!A:A,1+BIN2DEC(MID($B883,6,5)))</f>
        <v>OUT</v>
      </c>
      <c r="H883" s="27" t="str" cm="1">
        <f t="array" ref="H883">INDEX(Source2!A:A,1+BIN2DEC(MID($B883,11,4)))</f>
        <v>--</v>
      </c>
      <c r="I883" s="23" cm="1">
        <f t="array" ref="I883">INDEX('D2'!A:A,1+BIN2DEC(MID($B883,16,2)))</f>
        <v>0</v>
      </c>
      <c r="J883" s="6">
        <f t="shared" si="87"/>
        <v>0</v>
      </c>
      <c r="K883" s="6">
        <f t="shared" si="83"/>
        <v>0</v>
      </c>
      <c r="L883" s="6">
        <f t="shared" si="84"/>
        <v>1</v>
      </c>
      <c r="M883" s="3" t="str" cm="1">
        <f t="array" ref="M883">INDEX(Types!A:A,1+BIN2DEC(MID($B883,20,2)))</f>
        <v>Control</v>
      </c>
      <c r="N883" s="3" t="str" cm="1">
        <f t="array" ref="N883">IF(M883="ALU",INDEX(ALUOps!A:A,1+BIN2DEC(MID($B883,22,5))),"")</f>
        <v/>
      </c>
      <c r="O883" s="3" t="str" cm="1">
        <f t="array" ref="O883">IF(M883="ALU",INDEX(TMP!A:A,1+BIN2DEC(MID($B883,27,2))),"")</f>
        <v/>
      </c>
      <c r="P883" s="6" t="str">
        <f t="shared" si="85"/>
        <v/>
      </c>
      <c r="Q883" t="str">
        <f t="shared" si="88"/>
        <v/>
      </c>
      <c r="R883" t="str">
        <f t="shared" si="89"/>
        <v/>
      </c>
      <c r="S883" cm="1">
        <f t="array" ref="S883">IF(M883="Control",INDEX(IC!A:A,1+BIN2DEC(MID($B883,21,4))),"")</f>
        <v>0</v>
      </c>
      <c r="T883" cm="1">
        <f t="array" ref="T883">IF(M883="Control",INDEX(EC!A:A,1+BIN2DEC(MID($B883,25,3))),"")</f>
        <v>5</v>
      </c>
      <c r="U883" cm="1">
        <f t="array" ref="U883">IF(M883="Control",INDEX(SR!A:A,1+BIN2DEC(MID($B883,28,2))),"")</f>
        <v>0</v>
      </c>
    </row>
    <row r="884" spans="1:30" x14ac:dyDescent="0.25">
      <c r="A884" s="4" t="str">
        <f t="shared" si="86"/>
        <v>372</v>
      </c>
      <c r="B884" s="2" t="s">
        <v>799</v>
      </c>
      <c r="C884" s="3"/>
      <c r="D884" s="3"/>
      <c r="E884" s="3"/>
      <c r="F884" s="27" t="str" cm="1">
        <f t="array" ref="F884">INDEX(Sources!A:A, 1 + BIN2DEC(LEFT($B884,5)))</f>
        <v>UNK27</v>
      </c>
      <c r="G884" s="27" t="str" cm="1">
        <f t="array" ref="G884">INDEX(Dest1!A:A,1+BIN2DEC(MID($B884,6,5)))</f>
        <v>UNK24</v>
      </c>
      <c r="H884" s="27" t="str" cm="1">
        <f t="array" ref="H884">INDEX(Source2!A:A,1+BIN2DEC(MID($B884,11,4)))</f>
        <v>--</v>
      </c>
      <c r="I884" s="23" cm="1">
        <f t="array" ref="I884">INDEX('D2'!A:A,1+BIN2DEC(MID($B884,16,2)))</f>
        <v>0</v>
      </c>
      <c r="J884" s="6">
        <f t="shared" si="87"/>
        <v>0</v>
      </c>
      <c r="K884" s="6">
        <f t="shared" si="83"/>
        <v>0</v>
      </c>
      <c r="L884" s="6">
        <f t="shared" si="84"/>
        <v>0</v>
      </c>
      <c r="M884" s="3" t="str" cm="1">
        <f t="array" ref="M884">INDEX(Types!A:A,1+BIN2DEC(MID($B884,20,2)))</f>
        <v>Control</v>
      </c>
      <c r="N884" s="3" t="str" cm="1">
        <f t="array" ref="N884">IF(M884="ALU",INDEX(ALUOps!A:A,1+BIN2DEC(MID($B884,22,5))),"")</f>
        <v/>
      </c>
      <c r="O884" s="3" t="str" cm="1">
        <f t="array" ref="O884">IF(M884="ALU",INDEX(TMP!A:A,1+BIN2DEC(MID($B884,27,2))),"")</f>
        <v/>
      </c>
      <c r="P884" s="6" t="str">
        <f t="shared" si="85"/>
        <v/>
      </c>
      <c r="Q884" t="str">
        <f t="shared" si="88"/>
        <v/>
      </c>
      <c r="R884" t="str">
        <f t="shared" si="89"/>
        <v/>
      </c>
      <c r="S884" cm="1">
        <f t="array" ref="S884">IF(M884="Control",INDEX(IC!A:A,1+BIN2DEC(MID($B884,21,4))),"")</f>
        <v>0</v>
      </c>
      <c r="T884" cm="1">
        <f t="array" ref="T884">IF(M884="Control",INDEX(EC!A:A,1+BIN2DEC(MID($B884,25,3))),"")</f>
        <v>0</v>
      </c>
      <c r="U884" cm="1">
        <f t="array" ref="U884">IF(M884="Control",INDEX(SR!A:A,1+BIN2DEC(MID($B884,28,2))),"")</f>
        <v>0</v>
      </c>
    </row>
    <row r="885" spans="1:30" s="9" customFormat="1" ht="15.75" thickBot="1" x14ac:dyDescent="0.3">
      <c r="A885" s="7" t="str">
        <f t="shared" si="86"/>
        <v>373</v>
      </c>
      <c r="B885" s="8" t="s">
        <v>4</v>
      </c>
      <c r="C885" s="10"/>
      <c r="D885" s="10"/>
      <c r="E885" s="10"/>
      <c r="F885" s="30" t="str" cm="1">
        <f t="array" ref="F885">INDEX(Sources!A:A, 1 + BIN2DEC(LEFT($B885,5)))</f>
        <v>--</v>
      </c>
      <c r="G885" s="30" t="str" cm="1">
        <f t="array" ref="G885">INDEX(Dest1!A:A,1+BIN2DEC(MID($B885,6,5)))</f>
        <v>--</v>
      </c>
      <c r="H885" s="30" t="str" cm="1">
        <f t="array" ref="H885">INDEX(Source2!A:A,1+BIN2DEC(MID($B885,11,4)))</f>
        <v>--</v>
      </c>
      <c r="I885" s="26" cm="1">
        <f t="array" ref="I885">INDEX('D2'!A:A,1+BIN2DEC(MID($B885,16,2)))</f>
        <v>0</v>
      </c>
      <c r="J885" s="11">
        <f t="shared" si="87"/>
        <v>0</v>
      </c>
      <c r="K885" s="11">
        <f t="shared" si="83"/>
        <v>0</v>
      </c>
      <c r="L885" s="11">
        <f t="shared" si="84"/>
        <v>0</v>
      </c>
      <c r="M885" s="10" t="str" cm="1">
        <f t="array" ref="M885">INDEX(Types!A:A,1+BIN2DEC(MID($B885,20,2)))</f>
        <v>Control</v>
      </c>
      <c r="N885" s="10" t="str" cm="1">
        <f t="array" ref="N885">IF(M885="ALU",INDEX(ALUOps!A:A,1+BIN2DEC(MID($B885,22,5))),"")</f>
        <v/>
      </c>
      <c r="O885" s="10" t="str" cm="1">
        <f t="array" ref="O885">IF(M885="ALU",INDEX(TMP!A:A,1+BIN2DEC(MID($B885,27,2))),"")</f>
        <v/>
      </c>
      <c r="P885" s="11" t="str">
        <f t="shared" si="85"/>
        <v/>
      </c>
      <c r="Q885" s="9" t="str">
        <f t="shared" si="88"/>
        <v/>
      </c>
      <c r="R885" s="9" t="str">
        <f t="shared" si="89"/>
        <v/>
      </c>
      <c r="S885" s="9" cm="1">
        <f t="array" ref="S885">IF(M885="Control",INDEX(IC!A:A,1+BIN2DEC(MID($B885,21,4))),"")</f>
        <v>0</v>
      </c>
      <c r="T885" s="9" cm="1">
        <f t="array" ref="T885">IF(M885="Control",INDEX(EC!A:A,1+BIN2DEC(MID($B885,25,3))),"")</f>
        <v>0</v>
      </c>
      <c r="U885" s="9" cm="1">
        <f t="array" ref="U885">IF(M885="Control",INDEX(SR!A:A,1+BIN2DEC(MID($B885,28,2))),"")</f>
        <v>0</v>
      </c>
    </row>
    <row r="886" spans="1:30" x14ac:dyDescent="0.25">
      <c r="A886" s="4" t="str">
        <f t="shared" si="86"/>
        <v>374</v>
      </c>
      <c r="B886" s="2" t="s">
        <v>821</v>
      </c>
      <c r="C886" s="2" t="s">
        <v>819</v>
      </c>
      <c r="D886" s="2" t="s">
        <v>937</v>
      </c>
      <c r="E886" s="2" t="s">
        <v>462</v>
      </c>
      <c r="F886" s="27" t="str" cm="1">
        <f t="array" ref="F886">INDEX(Sources!A:A, 1 + BIN2DEC(LEFT($B886,5)))</f>
        <v>UNK2</v>
      </c>
      <c r="G886" s="27" t="str" cm="1">
        <f t="array" ref="G886">INDEX(Dest1!A:A,1+BIN2DEC(MID($B886,6,5)))</f>
        <v>UNK26</v>
      </c>
      <c r="H886" s="27" t="str" cm="1">
        <f t="array" ref="H886">INDEX(Source2!A:A,1+BIN2DEC(MID($B886,11,4)))</f>
        <v>4</v>
      </c>
      <c r="I886" s="23" t="str" cm="1">
        <f t="array" ref="I886">INDEX('D2'!A:A,1+BIN2DEC(MID($B886,16,2)))</f>
        <v>TMPB</v>
      </c>
      <c r="J886" s="6">
        <f t="shared" si="87"/>
        <v>0</v>
      </c>
      <c r="K886" s="6">
        <f t="shared" si="83"/>
        <v>0</v>
      </c>
      <c r="L886" s="6">
        <f t="shared" si="84"/>
        <v>0</v>
      </c>
      <c r="M886" s="3" t="str" cm="1">
        <f t="array" ref="M886">INDEX(Types!A:A,1+BIN2DEC(MID($B886,20,2)))</f>
        <v>Control</v>
      </c>
      <c r="N886" s="3" t="str" cm="1">
        <f t="array" ref="N886">IF(M886="ALU",INDEX(ALUOps!A:A,1+BIN2DEC(MID($B886,22,5))),"")</f>
        <v/>
      </c>
      <c r="O886" s="3" t="str" cm="1">
        <f t="array" ref="O886">IF(M886="ALU",INDEX(TMP!A:A,1+BIN2DEC(MID($B886,27,2))),"")</f>
        <v/>
      </c>
      <c r="P886" s="6" t="str">
        <f t="shared" si="85"/>
        <v/>
      </c>
      <c r="Q886" t="str">
        <f t="shared" si="88"/>
        <v/>
      </c>
      <c r="R886" t="str">
        <f t="shared" si="89"/>
        <v/>
      </c>
      <c r="S886" cm="1">
        <f t="array" ref="S886">IF(M886="Control",INDEX(IC!A:A,1+BIN2DEC(MID($B886,21,4))),"")</f>
        <v>0</v>
      </c>
      <c r="T886" cm="1">
        <f t="array" ref="T886">IF(M886="Control",INDEX(EC!A:A,1+BIN2DEC(MID($B886,25,3))),"")</f>
        <v>6</v>
      </c>
      <c r="U886" cm="1">
        <f t="array" ref="U886">IF(M886="Control",INDEX(SR!A:A,1+BIN2DEC(MID($B886,28,2))),"")</f>
        <v>0</v>
      </c>
      <c r="W886">
        <v>8080</v>
      </c>
      <c r="X886" t="s">
        <v>1073</v>
      </c>
      <c r="AD886" s="1" t="s">
        <v>319</v>
      </c>
    </row>
    <row r="887" spans="1:30" x14ac:dyDescent="0.25">
      <c r="A887" s="4" t="str">
        <f t="shared" si="86"/>
        <v>375</v>
      </c>
      <c r="B887" s="2" t="s">
        <v>823</v>
      </c>
      <c r="C887" s="3"/>
      <c r="D887" s="3"/>
      <c r="E887" s="3"/>
      <c r="F887" s="27" t="str" cm="1">
        <f t="array" ref="F887">INDEX(Sources!A:A, 1 + BIN2DEC(LEFT($B887,5)))</f>
        <v>OUT</v>
      </c>
      <c r="G887" s="27" t="str" cm="1">
        <f t="array" ref="G887">INDEX(Dest1!A:A,1+BIN2DEC(MID($B887,6,5)))</f>
        <v>UNK4</v>
      </c>
      <c r="H887" s="27" t="str" cm="1">
        <f t="array" ref="H887">INDEX(Source2!A:A,1+BIN2DEC(MID($B887,11,4)))</f>
        <v>2</v>
      </c>
      <c r="I887" s="23" cm="1">
        <f t="array" ref="I887">INDEX('D2'!A:A,1+BIN2DEC(MID($B887,16,2)))</f>
        <v>1</v>
      </c>
      <c r="J887" s="6">
        <f t="shared" si="87"/>
        <v>1</v>
      </c>
      <c r="K887" s="6">
        <f t="shared" si="83"/>
        <v>0</v>
      </c>
      <c r="L887" s="6">
        <f t="shared" si="84"/>
        <v>0</v>
      </c>
      <c r="M887" s="3" t="str" cm="1">
        <f t="array" ref="M887">INDEX(Types!A:A,1+BIN2DEC(MID($B887,20,2)))</f>
        <v>ALU</v>
      </c>
      <c r="N887" s="3" cm="1">
        <f t="array" ref="N887">IF(M887="ALU",INDEX(ALUOps!A:A,1+BIN2DEC(MID($B887,22,5))),"")</f>
        <v>0</v>
      </c>
      <c r="O887" s="3" cm="1">
        <f t="array" ref="O887">IF(M887="ALU",INDEX(TMP!A:A,1+BIN2DEC(MID($B887,27,2))),"")</f>
        <v>2</v>
      </c>
      <c r="P887" s="6">
        <f t="shared" si="85"/>
        <v>1</v>
      </c>
      <c r="Q887" t="str">
        <f t="shared" si="88"/>
        <v/>
      </c>
      <c r="R887" t="str">
        <f t="shared" si="89"/>
        <v/>
      </c>
      <c r="S887" t="str" cm="1">
        <f t="array" ref="S887">IF(M887="Control",INDEX(IC!A:A,1+BIN2DEC(MID($B887,21,4))),"")</f>
        <v/>
      </c>
      <c r="T887" t="str" cm="1">
        <f t="array" ref="T887">IF(M887="Control",INDEX(EC!A:A,1+BIN2DEC(MID($B887,25,3))),"")</f>
        <v/>
      </c>
      <c r="U887" t="str" cm="1">
        <f t="array" ref="U887">IF(M887="Control",INDEX(SR!A:A,1+BIN2DEC(MID($B887,28,2))),"")</f>
        <v/>
      </c>
    </row>
    <row r="888" spans="1:30" x14ac:dyDescent="0.25">
      <c r="A888" s="4" t="str">
        <f t="shared" si="86"/>
        <v>376</v>
      </c>
      <c r="B888" s="2" t="s">
        <v>824</v>
      </c>
      <c r="C888" s="3"/>
      <c r="D888" s="3"/>
      <c r="E888" s="3"/>
      <c r="F888" s="27" t="str" cm="1">
        <f t="array" ref="F888">INDEX(Sources!A:A, 1 + BIN2DEC(LEFT($B888,5)))</f>
        <v>TMPB</v>
      </c>
      <c r="G888" s="27" t="str" cm="1">
        <f t="array" ref="G888">INDEX(Dest1!A:A,1+BIN2DEC(MID($B888,6,5)))</f>
        <v>OUT</v>
      </c>
      <c r="H888" s="27" t="str" cm="1">
        <f t="array" ref="H888">INDEX(Source2!A:A,1+BIN2DEC(MID($B888,11,4)))</f>
        <v>11</v>
      </c>
      <c r="I888" s="23" t="str" cm="1">
        <f t="array" ref="I888">INDEX('D2'!A:A,1+BIN2DEC(MID($B888,16,2)))</f>
        <v>TMPB</v>
      </c>
      <c r="J888" s="6">
        <f t="shared" si="87"/>
        <v>0</v>
      </c>
      <c r="K888" s="6">
        <f t="shared" si="83"/>
        <v>0</v>
      </c>
      <c r="L888" s="6">
        <f t="shared" si="84"/>
        <v>1</v>
      </c>
      <c r="M888" s="3" t="str" cm="1">
        <f t="array" ref="M888">INDEX(Types!A:A,1+BIN2DEC(MID($B888,20,2)))</f>
        <v>Control</v>
      </c>
      <c r="N888" s="3" t="str" cm="1">
        <f t="array" ref="N888">IF(M888="ALU",INDEX(ALUOps!A:A,1+BIN2DEC(MID($B888,22,5))),"")</f>
        <v/>
      </c>
      <c r="O888" s="3" t="str" cm="1">
        <f t="array" ref="O888">IF(M888="ALU",INDEX(TMP!A:A,1+BIN2DEC(MID($B888,27,2))),"")</f>
        <v/>
      </c>
      <c r="P888" s="6" t="str">
        <f t="shared" si="85"/>
        <v/>
      </c>
      <c r="Q888" t="str">
        <f t="shared" si="88"/>
        <v/>
      </c>
      <c r="R888" t="str">
        <f t="shared" si="89"/>
        <v/>
      </c>
      <c r="S888" cm="1">
        <f t="array" ref="S888">IF(M888="Control",INDEX(IC!A:A,1+BIN2DEC(MID($B888,21,4))),"")</f>
        <v>0</v>
      </c>
      <c r="T888" cm="1">
        <f t="array" ref="T888">IF(M888="Control",INDEX(EC!A:A,1+BIN2DEC(MID($B888,25,3))),"")</f>
        <v>5</v>
      </c>
      <c r="U888" cm="1">
        <f t="array" ref="U888">IF(M888="Control",INDEX(SR!A:A,1+BIN2DEC(MID($B888,28,2))),"")</f>
        <v>0</v>
      </c>
    </row>
    <row r="889" spans="1:30" s="9" customFormat="1" ht="15.75" thickBot="1" x14ac:dyDescent="0.3">
      <c r="A889" s="7" t="str">
        <f t="shared" si="86"/>
        <v>377</v>
      </c>
      <c r="B889" s="8" t="s">
        <v>799</v>
      </c>
      <c r="C889" s="10"/>
      <c r="D889" s="10"/>
      <c r="E889" s="10"/>
      <c r="F889" s="30" t="str" cm="1">
        <f t="array" ref="F889">INDEX(Sources!A:A, 1 + BIN2DEC(LEFT($B889,5)))</f>
        <v>UNK27</v>
      </c>
      <c r="G889" s="30" t="str" cm="1">
        <f t="array" ref="G889">INDEX(Dest1!A:A,1+BIN2DEC(MID($B889,6,5)))</f>
        <v>UNK24</v>
      </c>
      <c r="H889" s="30" t="str" cm="1">
        <f t="array" ref="H889">INDEX(Source2!A:A,1+BIN2DEC(MID($B889,11,4)))</f>
        <v>--</v>
      </c>
      <c r="I889" s="26" cm="1">
        <f t="array" ref="I889">INDEX('D2'!A:A,1+BIN2DEC(MID($B889,16,2)))</f>
        <v>0</v>
      </c>
      <c r="J889" s="11">
        <f t="shared" si="87"/>
        <v>0</v>
      </c>
      <c r="K889" s="11">
        <f t="shared" si="83"/>
        <v>0</v>
      </c>
      <c r="L889" s="11">
        <f t="shared" si="84"/>
        <v>0</v>
      </c>
      <c r="M889" s="10" t="str" cm="1">
        <f t="array" ref="M889">INDEX(Types!A:A,1+BIN2DEC(MID($B889,20,2)))</f>
        <v>Control</v>
      </c>
      <c r="N889" s="10" t="str" cm="1">
        <f t="array" ref="N889">IF(M889="ALU",INDEX(ALUOps!A:A,1+BIN2DEC(MID($B889,22,5))),"")</f>
        <v/>
      </c>
      <c r="O889" s="10" t="str" cm="1">
        <f t="array" ref="O889">IF(M889="ALU",INDEX(TMP!A:A,1+BIN2DEC(MID($B889,27,2))),"")</f>
        <v/>
      </c>
      <c r="P889" s="11" t="str">
        <f t="shared" si="85"/>
        <v/>
      </c>
      <c r="Q889" s="9" t="str">
        <f t="shared" si="88"/>
        <v/>
      </c>
      <c r="R889" s="9" t="str">
        <f t="shared" si="89"/>
        <v/>
      </c>
      <c r="S889" s="9" cm="1">
        <f t="array" ref="S889">IF(M889="Control",INDEX(IC!A:A,1+BIN2DEC(MID($B889,21,4))),"")</f>
        <v>0</v>
      </c>
      <c r="T889" s="9" cm="1">
        <f t="array" ref="T889">IF(M889="Control",INDEX(EC!A:A,1+BIN2DEC(MID($B889,25,3))),"")</f>
        <v>0</v>
      </c>
      <c r="U889" s="9" cm="1">
        <f t="array" ref="U889">IF(M889="Control",INDEX(SR!A:A,1+BIN2DEC(MID($B889,28,2))),"")</f>
        <v>0</v>
      </c>
    </row>
    <row r="890" spans="1:30" x14ac:dyDescent="0.25">
      <c r="A890" s="4" t="str">
        <f t="shared" si="86"/>
        <v>378</v>
      </c>
      <c r="B890" s="2" t="s">
        <v>825</v>
      </c>
      <c r="C890" s="2" t="s">
        <v>822</v>
      </c>
      <c r="D890" s="2" t="s">
        <v>937</v>
      </c>
      <c r="E890" s="2" t="s">
        <v>462</v>
      </c>
      <c r="F890" s="27" t="str" cm="1">
        <f t="array" ref="F890">INDEX(Sources!A:A, 1 + BIN2DEC(LEFT($B890,5)))</f>
        <v>UNK4</v>
      </c>
      <c r="G890" s="27" t="str" cm="1">
        <f t="array" ref="G890">INDEX(Dest1!A:A,1+BIN2DEC(MID($B890,6,5)))</f>
        <v>TMPB</v>
      </c>
      <c r="H890" s="27" t="str" cm="1">
        <f t="array" ref="H890">INDEX(Source2!A:A,1+BIN2DEC(MID($B890,11,4)))</f>
        <v>--</v>
      </c>
      <c r="I890" s="23" cm="1">
        <f t="array" ref="I890">INDEX('D2'!A:A,1+BIN2DEC(MID($B890,16,2)))</f>
        <v>0</v>
      </c>
      <c r="J890" s="6">
        <f t="shared" si="87"/>
        <v>0</v>
      </c>
      <c r="K890" s="6">
        <f t="shared" si="83"/>
        <v>0</v>
      </c>
      <c r="L890" s="6">
        <f t="shared" si="84"/>
        <v>0</v>
      </c>
      <c r="M890" s="3" t="str" cm="1">
        <f t="array" ref="M890">INDEX(Types!A:A,1+BIN2DEC(MID($B890,20,2)))</f>
        <v>Control</v>
      </c>
      <c r="N890" s="3" t="str" cm="1">
        <f t="array" ref="N890">IF(M890="ALU",INDEX(ALUOps!A:A,1+BIN2DEC(MID($B890,22,5))),"")</f>
        <v/>
      </c>
      <c r="O890" s="3" t="str" cm="1">
        <f t="array" ref="O890">IF(M890="ALU",INDEX(TMP!A:A,1+BIN2DEC(MID($B890,27,2))),"")</f>
        <v/>
      </c>
      <c r="P890" s="6" t="str">
        <f t="shared" si="85"/>
        <v/>
      </c>
      <c r="Q890" t="str">
        <f t="shared" si="88"/>
        <v/>
      </c>
      <c r="R890" t="str">
        <f t="shared" si="89"/>
        <v/>
      </c>
      <c r="S890" cm="1">
        <f t="array" ref="S890">IF(M890="Control",INDEX(IC!A:A,1+BIN2DEC(MID($B890,21,4))),"")</f>
        <v>0</v>
      </c>
      <c r="T890" cm="1">
        <f t="array" ref="T890">IF(M890="Control",INDEX(EC!A:A,1+BIN2DEC(MID($B890,25,3))),"")</f>
        <v>0</v>
      </c>
      <c r="U890" cm="1">
        <f t="array" ref="U890">IF(M890="Control",INDEX(SR!A:A,1+BIN2DEC(MID($B890,28,2))),"")</f>
        <v>0</v>
      </c>
      <c r="W890">
        <v>8080</v>
      </c>
      <c r="X890" t="s">
        <v>1074</v>
      </c>
      <c r="AD890" s="1" t="s">
        <v>342</v>
      </c>
    </row>
    <row r="891" spans="1:30" x14ac:dyDescent="0.25">
      <c r="A891" s="4" t="str">
        <f t="shared" si="86"/>
        <v>379</v>
      </c>
      <c r="B891" s="2" t="s">
        <v>827</v>
      </c>
      <c r="C891" s="3"/>
      <c r="D891" s="3"/>
      <c r="E891" s="3"/>
      <c r="F891" s="27" t="str" cm="1">
        <f t="array" ref="F891">INDEX(Sources!A:A, 1 + BIN2DEC(LEFT($B891,5)))</f>
        <v>UNK5</v>
      </c>
      <c r="G891" s="27" t="str" cm="1">
        <f t="array" ref="G891">INDEX(Dest1!A:A,1+BIN2DEC(MID($B891,6,5)))</f>
        <v>UNK4</v>
      </c>
      <c r="H891" s="27" t="str" cm="1">
        <f t="array" ref="H891">INDEX(Source2!A:A,1+BIN2DEC(MID($B891,11,4)))</f>
        <v>--</v>
      </c>
      <c r="I891" s="23" cm="1">
        <f t="array" ref="I891">INDEX('D2'!A:A,1+BIN2DEC(MID($B891,16,2)))</f>
        <v>0</v>
      </c>
      <c r="J891" s="6">
        <f t="shared" si="87"/>
        <v>0</v>
      </c>
      <c r="K891" s="6">
        <f t="shared" si="83"/>
        <v>0</v>
      </c>
      <c r="L891" s="6">
        <f t="shared" si="84"/>
        <v>1</v>
      </c>
      <c r="M891" s="3" t="str" cm="1">
        <f t="array" ref="M891">INDEX(Types!A:A,1+BIN2DEC(MID($B891,20,2)))</f>
        <v>Control</v>
      </c>
      <c r="N891" s="3" t="str" cm="1">
        <f t="array" ref="N891">IF(M891="ALU",INDEX(ALUOps!A:A,1+BIN2DEC(MID($B891,22,5))),"")</f>
        <v/>
      </c>
      <c r="O891" s="3" t="str" cm="1">
        <f t="array" ref="O891">IF(M891="ALU",INDEX(TMP!A:A,1+BIN2DEC(MID($B891,27,2))),"")</f>
        <v/>
      </c>
      <c r="P891" s="6" t="str">
        <f t="shared" si="85"/>
        <v/>
      </c>
      <c r="Q891" t="str">
        <f t="shared" si="88"/>
        <v/>
      </c>
      <c r="R891" t="str">
        <f t="shared" si="89"/>
        <v/>
      </c>
      <c r="S891" cm="1">
        <f t="array" ref="S891">IF(M891="Control",INDEX(IC!A:A,1+BIN2DEC(MID($B891,21,4))),"")</f>
        <v>0</v>
      </c>
      <c r="T891" cm="1">
        <f t="array" ref="T891">IF(M891="Control",INDEX(EC!A:A,1+BIN2DEC(MID($B891,25,3))),"")</f>
        <v>0</v>
      </c>
      <c r="U891" cm="1">
        <f t="array" ref="U891">IF(M891="Control",INDEX(SR!A:A,1+BIN2DEC(MID($B891,28,2))),"")</f>
        <v>0</v>
      </c>
    </row>
    <row r="892" spans="1:30" x14ac:dyDescent="0.25">
      <c r="A892" s="4" t="str">
        <f t="shared" si="86"/>
        <v>37A</v>
      </c>
      <c r="B892" s="2" t="s">
        <v>828</v>
      </c>
      <c r="C892" s="3"/>
      <c r="D892" s="3"/>
      <c r="E892" s="3"/>
      <c r="F892" s="27" t="str" cm="1">
        <f t="array" ref="F892">INDEX(Sources!A:A, 1 + BIN2DEC(LEFT($B892,5)))</f>
        <v>TMPB</v>
      </c>
      <c r="G892" s="27" t="str" cm="1">
        <f t="array" ref="G892">INDEX(Dest1!A:A,1+BIN2DEC(MID($B892,6,5)))</f>
        <v>UNK5</v>
      </c>
      <c r="H892" s="27" t="str" cm="1">
        <f t="array" ref="H892">INDEX(Source2!A:A,1+BIN2DEC(MID($B892,11,4)))</f>
        <v>--</v>
      </c>
      <c r="I892" s="23" cm="1">
        <f t="array" ref="I892">INDEX('D2'!A:A,1+BIN2DEC(MID($B892,16,2)))</f>
        <v>0</v>
      </c>
      <c r="J892" s="6">
        <f t="shared" si="87"/>
        <v>0</v>
      </c>
      <c r="K892" s="6">
        <f t="shared" si="83"/>
        <v>0</v>
      </c>
      <c r="L892" s="6">
        <f t="shared" si="84"/>
        <v>0</v>
      </c>
      <c r="M892" s="3" t="str" cm="1">
        <f t="array" ref="M892">INDEX(Types!A:A,1+BIN2DEC(MID($B892,20,2)))</f>
        <v>Control</v>
      </c>
      <c r="N892" s="3" t="str" cm="1">
        <f t="array" ref="N892">IF(M892="ALU",INDEX(ALUOps!A:A,1+BIN2DEC(MID($B892,22,5))),"")</f>
        <v/>
      </c>
      <c r="O892" s="3" t="str" cm="1">
        <f t="array" ref="O892">IF(M892="ALU",INDEX(TMP!A:A,1+BIN2DEC(MID($B892,27,2))),"")</f>
        <v/>
      </c>
      <c r="P892" s="6" t="str">
        <f t="shared" si="85"/>
        <v/>
      </c>
      <c r="Q892" t="str">
        <f t="shared" si="88"/>
        <v/>
      </c>
      <c r="R892" t="str">
        <f t="shared" si="89"/>
        <v/>
      </c>
      <c r="S892" cm="1">
        <f t="array" ref="S892">IF(M892="Control",INDEX(IC!A:A,1+BIN2DEC(MID($B892,21,4))),"")</f>
        <v>0</v>
      </c>
      <c r="T892" cm="1">
        <f t="array" ref="T892">IF(M892="Control",INDEX(EC!A:A,1+BIN2DEC(MID($B892,25,3))),"")</f>
        <v>0</v>
      </c>
      <c r="U892" cm="1">
        <f t="array" ref="U892">IF(M892="Control",INDEX(SR!A:A,1+BIN2DEC(MID($B892,28,2))),"")</f>
        <v>0</v>
      </c>
    </row>
    <row r="893" spans="1:30" s="9" customFormat="1" ht="15.75" thickBot="1" x14ac:dyDescent="0.3">
      <c r="A893" s="7" t="str">
        <f t="shared" si="86"/>
        <v>37B</v>
      </c>
      <c r="B893" s="8" t="s">
        <v>4</v>
      </c>
      <c r="C893" s="10"/>
      <c r="D893" s="10"/>
      <c r="E893" s="10"/>
      <c r="F893" s="30" t="str" cm="1">
        <f t="array" ref="F893">INDEX(Sources!A:A, 1 + BIN2DEC(LEFT($B893,5)))</f>
        <v>--</v>
      </c>
      <c r="G893" s="30" t="str" cm="1">
        <f t="array" ref="G893">INDEX(Dest1!A:A,1+BIN2DEC(MID($B893,6,5)))</f>
        <v>--</v>
      </c>
      <c r="H893" s="30" t="str" cm="1">
        <f t="array" ref="H893">INDEX(Source2!A:A,1+BIN2DEC(MID($B893,11,4)))</f>
        <v>--</v>
      </c>
      <c r="I893" s="26" cm="1">
        <f t="array" ref="I893">INDEX('D2'!A:A,1+BIN2DEC(MID($B893,16,2)))</f>
        <v>0</v>
      </c>
      <c r="J893" s="11">
        <f t="shared" si="87"/>
        <v>0</v>
      </c>
      <c r="K893" s="11">
        <f t="shared" si="83"/>
        <v>0</v>
      </c>
      <c r="L893" s="11">
        <f t="shared" si="84"/>
        <v>0</v>
      </c>
      <c r="M893" s="10" t="str" cm="1">
        <f t="array" ref="M893">INDEX(Types!A:A,1+BIN2DEC(MID($B893,20,2)))</f>
        <v>Control</v>
      </c>
      <c r="N893" s="10" t="str" cm="1">
        <f t="array" ref="N893">IF(M893="ALU",INDEX(ALUOps!A:A,1+BIN2DEC(MID($B893,22,5))),"")</f>
        <v/>
      </c>
      <c r="O893" s="10" t="str" cm="1">
        <f t="array" ref="O893">IF(M893="ALU",INDEX(TMP!A:A,1+BIN2DEC(MID($B893,27,2))),"")</f>
        <v/>
      </c>
      <c r="P893" s="11" t="str">
        <f t="shared" si="85"/>
        <v/>
      </c>
      <c r="Q893" s="9" t="str">
        <f t="shared" si="88"/>
        <v/>
      </c>
      <c r="R893" s="9" t="str">
        <f t="shared" si="89"/>
        <v/>
      </c>
      <c r="S893" s="9" cm="1">
        <f t="array" ref="S893">IF(M893="Control",INDEX(IC!A:A,1+BIN2DEC(MID($B893,21,4))),"")</f>
        <v>0</v>
      </c>
      <c r="T893" s="9" cm="1">
        <f t="array" ref="T893">IF(M893="Control",INDEX(EC!A:A,1+BIN2DEC(MID($B893,25,3))),"")</f>
        <v>0</v>
      </c>
      <c r="U893" s="9" cm="1">
        <f t="array" ref="U893">IF(M893="Control",INDEX(SR!A:A,1+BIN2DEC(MID($B893,28,2))),"")</f>
        <v>0</v>
      </c>
    </row>
    <row r="894" spans="1:30" x14ac:dyDescent="0.25">
      <c r="A894" s="4" t="str">
        <f t="shared" si="86"/>
        <v>37C</v>
      </c>
      <c r="B894" s="2" t="s">
        <v>829</v>
      </c>
      <c r="C894" s="2" t="s">
        <v>826</v>
      </c>
      <c r="D894" s="2" t="s">
        <v>937</v>
      </c>
      <c r="E894" s="2" t="s">
        <v>462</v>
      </c>
      <c r="F894" s="27" t="str" cm="1">
        <f t="array" ref="F894">INDEX(Sources!A:A, 1 + BIN2DEC(LEFT($B894,5)))</f>
        <v>UNK4</v>
      </c>
      <c r="G894" s="27" t="str" cm="1">
        <f t="array" ref="G894">INDEX(Dest1!A:A,1+BIN2DEC(MID($B894,6,5)))</f>
        <v>PC</v>
      </c>
      <c r="H894" s="27" t="str" cm="1">
        <f t="array" ref="H894">INDEX(Source2!A:A,1+BIN2DEC(MID($B894,11,4)))</f>
        <v>--</v>
      </c>
      <c r="I894" s="23" cm="1">
        <f t="array" ref="I894">INDEX('D2'!A:A,1+BIN2DEC(MID($B894,16,2)))</f>
        <v>0</v>
      </c>
      <c r="J894" s="6">
        <f t="shared" si="87"/>
        <v>0</v>
      </c>
      <c r="K894" s="6">
        <f t="shared" si="83"/>
        <v>0</v>
      </c>
      <c r="L894" s="6">
        <f t="shared" si="84"/>
        <v>1</v>
      </c>
      <c r="M894" s="3" t="str" cm="1">
        <f t="array" ref="M894">INDEX(Types!A:A,1+BIN2DEC(MID($B894,20,2)))</f>
        <v>Control</v>
      </c>
      <c r="N894" s="3" t="str" cm="1">
        <f t="array" ref="N894">IF(M894="ALU",INDEX(ALUOps!A:A,1+BIN2DEC(MID($B894,22,5))),"")</f>
        <v/>
      </c>
      <c r="O894" s="3" t="str" cm="1">
        <f t="array" ref="O894">IF(M894="ALU",INDEX(TMP!A:A,1+BIN2DEC(MID($B894,27,2))),"")</f>
        <v/>
      </c>
      <c r="P894" s="6" t="str">
        <f t="shared" si="85"/>
        <v/>
      </c>
      <c r="Q894" t="str">
        <f t="shared" si="88"/>
        <v/>
      </c>
      <c r="R894" t="str">
        <f t="shared" si="89"/>
        <v/>
      </c>
      <c r="S894" cm="1">
        <f t="array" ref="S894">IF(M894="Control",INDEX(IC!A:A,1+BIN2DEC(MID($B894,21,4))),"")</f>
        <v>6</v>
      </c>
      <c r="T894" cm="1">
        <f t="array" ref="T894">IF(M894="Control",INDEX(EC!A:A,1+BIN2DEC(MID($B894,25,3))),"")</f>
        <v>0</v>
      </c>
      <c r="U894" cm="1">
        <f t="array" ref="U894">IF(M894="Control",INDEX(SR!A:A,1+BIN2DEC(MID($B894,28,2))),"")</f>
        <v>0</v>
      </c>
      <c r="W894">
        <v>8080</v>
      </c>
      <c r="X894" t="s">
        <v>1075</v>
      </c>
      <c r="AD894" s="1" t="s">
        <v>339</v>
      </c>
    </row>
    <row r="895" spans="1:30" x14ac:dyDescent="0.25">
      <c r="A895" s="4" t="str">
        <f t="shared" si="86"/>
        <v>37D</v>
      </c>
      <c r="B895" s="2" t="s">
        <v>4</v>
      </c>
      <c r="C895" s="3"/>
      <c r="D895" s="3"/>
      <c r="E895" s="3"/>
      <c r="F895" s="27" t="str" cm="1">
        <f t="array" ref="F895">INDEX(Sources!A:A, 1 + BIN2DEC(LEFT($B895,5)))</f>
        <v>--</v>
      </c>
      <c r="G895" s="27" t="str" cm="1">
        <f t="array" ref="G895">INDEX(Dest1!A:A,1+BIN2DEC(MID($B895,6,5)))</f>
        <v>--</v>
      </c>
      <c r="H895" s="27" t="str" cm="1">
        <f t="array" ref="H895">INDEX(Source2!A:A,1+BIN2DEC(MID($B895,11,4)))</f>
        <v>--</v>
      </c>
      <c r="I895" s="23" cm="1">
        <f t="array" ref="I895">INDEX('D2'!A:A,1+BIN2DEC(MID($B895,16,2)))</f>
        <v>0</v>
      </c>
      <c r="J895" s="6">
        <f t="shared" si="87"/>
        <v>0</v>
      </c>
      <c r="K895" s="6">
        <f t="shared" si="83"/>
        <v>0</v>
      </c>
      <c r="L895" s="6">
        <f t="shared" si="84"/>
        <v>0</v>
      </c>
      <c r="M895" s="3" t="str" cm="1">
        <f t="array" ref="M895">INDEX(Types!A:A,1+BIN2DEC(MID($B895,20,2)))</f>
        <v>Control</v>
      </c>
      <c r="N895" s="3" t="str" cm="1">
        <f t="array" ref="N895">IF(M895="ALU",INDEX(ALUOps!A:A,1+BIN2DEC(MID($B895,22,5))),"")</f>
        <v/>
      </c>
      <c r="O895" s="3" t="str" cm="1">
        <f t="array" ref="O895">IF(M895="ALU",INDEX(TMP!A:A,1+BIN2DEC(MID($B895,27,2))),"")</f>
        <v/>
      </c>
      <c r="P895" s="6" t="str">
        <f t="shared" si="85"/>
        <v/>
      </c>
      <c r="Q895" t="str">
        <f t="shared" si="88"/>
        <v/>
      </c>
      <c r="R895" t="str">
        <f t="shared" si="89"/>
        <v/>
      </c>
      <c r="S895" cm="1">
        <f t="array" ref="S895">IF(M895="Control",INDEX(IC!A:A,1+BIN2DEC(MID($B895,21,4))),"")</f>
        <v>0</v>
      </c>
      <c r="T895" cm="1">
        <f t="array" ref="T895">IF(M895="Control",INDEX(EC!A:A,1+BIN2DEC(MID($B895,25,3))),"")</f>
        <v>0</v>
      </c>
      <c r="U895" cm="1">
        <f t="array" ref="U895">IF(M895="Control",INDEX(SR!A:A,1+BIN2DEC(MID($B895,28,2))),"")</f>
        <v>0</v>
      </c>
    </row>
    <row r="896" spans="1:30" x14ac:dyDescent="0.25">
      <c r="A896" s="4" t="str">
        <f t="shared" si="86"/>
        <v>37E</v>
      </c>
      <c r="B896" s="2" t="s">
        <v>4</v>
      </c>
      <c r="C896" s="3"/>
      <c r="D896" s="3"/>
      <c r="E896" s="3"/>
      <c r="F896" s="27" t="str" cm="1">
        <f t="array" ref="F896">INDEX(Sources!A:A, 1 + BIN2DEC(LEFT($B896,5)))</f>
        <v>--</v>
      </c>
      <c r="G896" s="27" t="str" cm="1">
        <f t="array" ref="G896">INDEX(Dest1!A:A,1+BIN2DEC(MID($B896,6,5)))</f>
        <v>--</v>
      </c>
      <c r="H896" s="27" t="str" cm="1">
        <f t="array" ref="H896">INDEX(Source2!A:A,1+BIN2DEC(MID($B896,11,4)))</f>
        <v>--</v>
      </c>
      <c r="I896" s="23" cm="1">
        <f t="array" ref="I896">INDEX('D2'!A:A,1+BIN2DEC(MID($B896,16,2)))</f>
        <v>0</v>
      </c>
      <c r="J896" s="6">
        <f t="shared" si="87"/>
        <v>0</v>
      </c>
      <c r="K896" s="6">
        <f t="shared" si="83"/>
        <v>0</v>
      </c>
      <c r="L896" s="6">
        <f t="shared" si="84"/>
        <v>0</v>
      </c>
      <c r="M896" s="3" t="str" cm="1">
        <f t="array" ref="M896">INDEX(Types!A:A,1+BIN2DEC(MID($B896,20,2)))</f>
        <v>Control</v>
      </c>
      <c r="N896" s="3" t="str" cm="1">
        <f t="array" ref="N896">IF(M896="ALU",INDEX(ALUOps!A:A,1+BIN2DEC(MID($B896,22,5))),"")</f>
        <v/>
      </c>
      <c r="O896" s="3" t="str" cm="1">
        <f t="array" ref="O896">IF(M896="ALU",INDEX(TMP!A:A,1+BIN2DEC(MID($B896,27,2))),"")</f>
        <v/>
      </c>
      <c r="P896" s="6" t="str">
        <f t="shared" si="85"/>
        <v/>
      </c>
      <c r="Q896" t="str">
        <f t="shared" si="88"/>
        <v/>
      </c>
      <c r="R896" t="str">
        <f t="shared" si="89"/>
        <v/>
      </c>
      <c r="S896" cm="1">
        <f t="array" ref="S896">IF(M896="Control",INDEX(IC!A:A,1+BIN2DEC(MID($B896,21,4))),"")</f>
        <v>0</v>
      </c>
      <c r="T896" cm="1">
        <f t="array" ref="T896">IF(M896="Control",INDEX(EC!A:A,1+BIN2DEC(MID($B896,25,3))),"")</f>
        <v>0</v>
      </c>
      <c r="U896" cm="1">
        <f t="array" ref="U896">IF(M896="Control",INDEX(SR!A:A,1+BIN2DEC(MID($B896,28,2))),"")</f>
        <v>0</v>
      </c>
    </row>
    <row r="897" spans="1:30" s="9" customFormat="1" ht="15.75" thickBot="1" x14ac:dyDescent="0.3">
      <c r="A897" s="7" t="str">
        <f t="shared" si="86"/>
        <v>37F</v>
      </c>
      <c r="B897" s="8" t="s">
        <v>4</v>
      </c>
      <c r="C897" s="10"/>
      <c r="D897" s="10"/>
      <c r="E897" s="10"/>
      <c r="F897" s="30" t="str" cm="1">
        <f t="array" ref="F897">INDEX(Sources!A:A, 1 + BIN2DEC(LEFT($B897,5)))</f>
        <v>--</v>
      </c>
      <c r="G897" s="30" t="str" cm="1">
        <f t="array" ref="G897">INDEX(Dest1!A:A,1+BIN2DEC(MID($B897,6,5)))</f>
        <v>--</v>
      </c>
      <c r="H897" s="30" t="str" cm="1">
        <f t="array" ref="H897">INDEX(Source2!A:A,1+BIN2DEC(MID($B897,11,4)))</f>
        <v>--</v>
      </c>
      <c r="I897" s="26" cm="1">
        <f t="array" ref="I897">INDEX('D2'!A:A,1+BIN2DEC(MID($B897,16,2)))</f>
        <v>0</v>
      </c>
      <c r="J897" s="11">
        <f t="shared" si="87"/>
        <v>0</v>
      </c>
      <c r="K897" s="11">
        <f t="shared" si="83"/>
        <v>0</v>
      </c>
      <c r="L897" s="11">
        <f t="shared" si="84"/>
        <v>0</v>
      </c>
      <c r="M897" s="10" t="str" cm="1">
        <f t="array" ref="M897">INDEX(Types!A:A,1+BIN2DEC(MID($B897,20,2)))</f>
        <v>Control</v>
      </c>
      <c r="N897" s="10" t="str" cm="1">
        <f t="array" ref="N897">IF(M897="ALU",INDEX(ALUOps!A:A,1+BIN2DEC(MID($B897,22,5))),"")</f>
        <v/>
      </c>
      <c r="O897" s="10" t="str" cm="1">
        <f t="array" ref="O897">IF(M897="ALU",INDEX(TMP!A:A,1+BIN2DEC(MID($B897,27,2))),"")</f>
        <v/>
      </c>
      <c r="P897" s="11" t="str">
        <f t="shared" si="85"/>
        <v/>
      </c>
      <c r="Q897" s="9" t="str">
        <f t="shared" si="88"/>
        <v/>
      </c>
      <c r="R897" s="9" t="str">
        <f t="shared" si="89"/>
        <v/>
      </c>
      <c r="S897" s="9" cm="1">
        <f t="array" ref="S897">IF(M897="Control",INDEX(IC!A:A,1+BIN2DEC(MID($B897,21,4))),"")</f>
        <v>0</v>
      </c>
      <c r="T897" s="9" cm="1">
        <f t="array" ref="T897">IF(M897="Control",INDEX(EC!A:A,1+BIN2DEC(MID($B897,25,3))),"")</f>
        <v>0</v>
      </c>
      <c r="U897" s="9" cm="1">
        <f t="array" ref="U897">IF(M897="Control",INDEX(SR!A:A,1+BIN2DEC(MID($B897,28,2))),"")</f>
        <v>0</v>
      </c>
    </row>
    <row r="898" spans="1:30" x14ac:dyDescent="0.25">
      <c r="A898" s="4" t="str">
        <f t="shared" si="86"/>
        <v>380</v>
      </c>
      <c r="B898" s="2" t="s">
        <v>832</v>
      </c>
      <c r="C898" s="2" t="s">
        <v>830</v>
      </c>
      <c r="D898" s="2" t="s">
        <v>937</v>
      </c>
      <c r="E898" s="2" t="s">
        <v>462</v>
      </c>
      <c r="F898" s="27" t="str" cm="1">
        <f t="array" ref="F898">INDEX(Sources!A:A, 1 + BIN2DEC(LEFT($B898,5)))</f>
        <v>UNK4</v>
      </c>
      <c r="G898" s="27" t="str" cm="1">
        <f t="array" ref="G898">INDEX(Dest1!A:A,1+BIN2DEC(MID($B898,6,5)))</f>
        <v>UNK2</v>
      </c>
      <c r="H898" s="27" t="str" cm="1">
        <f t="array" ref="H898">INDEX(Source2!A:A,1+BIN2DEC(MID($B898,11,4)))</f>
        <v>--</v>
      </c>
      <c r="I898" s="23" cm="1">
        <f t="array" ref="I898">INDEX('D2'!A:A,1+BIN2DEC(MID($B898,16,2)))</f>
        <v>0</v>
      </c>
      <c r="J898" s="6">
        <f t="shared" si="87"/>
        <v>0</v>
      </c>
      <c r="K898" s="6">
        <f t="shared" ref="K898:K961" si="90">BIN2DEC(MID($B898,18,1))</f>
        <v>0</v>
      </c>
      <c r="L898" s="6">
        <f t="shared" ref="L898:L961" si="91">BIN2DEC(MID($B898,19,1))</f>
        <v>1</v>
      </c>
      <c r="M898" s="3" t="str" cm="1">
        <f t="array" ref="M898">INDEX(Types!A:A,1+BIN2DEC(MID($B898,20,2)))</f>
        <v>Control</v>
      </c>
      <c r="N898" s="3" t="str" cm="1">
        <f t="array" ref="N898">IF(M898="ALU",INDEX(ALUOps!A:A,1+BIN2DEC(MID($B898,22,5))),"")</f>
        <v/>
      </c>
      <c r="O898" s="3" t="str" cm="1">
        <f t="array" ref="O898">IF(M898="ALU",INDEX(TMP!A:A,1+BIN2DEC(MID($B898,27,2))),"")</f>
        <v/>
      </c>
      <c r="P898" s="6" t="str">
        <f t="shared" ref="P898:P961" si="92">IF(M898="ALU",BIN2DEC(MID($B898,29,1)),"")</f>
        <v/>
      </c>
      <c r="Q898" t="str">
        <f t="shared" si="88"/>
        <v/>
      </c>
      <c r="R898" t="str">
        <f t="shared" si="89"/>
        <v/>
      </c>
      <c r="S898" cm="1">
        <f t="array" ref="S898">IF(M898="Control",INDEX(IC!A:A,1+BIN2DEC(MID($B898,21,4))),"")</f>
        <v>0</v>
      </c>
      <c r="T898" cm="1">
        <f t="array" ref="T898">IF(M898="Control",INDEX(EC!A:A,1+BIN2DEC(MID($B898,25,3))),"")</f>
        <v>0</v>
      </c>
      <c r="U898" cm="1">
        <f t="array" ref="U898">IF(M898="Control",INDEX(SR!A:A,1+BIN2DEC(MID($B898,28,2))),"")</f>
        <v>0</v>
      </c>
      <c r="W898">
        <v>8080</v>
      </c>
      <c r="X898" t="s">
        <v>1076</v>
      </c>
      <c r="AD898" s="1" t="s">
        <v>831</v>
      </c>
    </row>
    <row r="899" spans="1:30" x14ac:dyDescent="0.25">
      <c r="A899" s="4" t="str">
        <f t="shared" ref="A899:A962" si="93">DEC2HEX(ROW(A898)-ROW($A$1),3)</f>
        <v>381</v>
      </c>
      <c r="B899" s="2" t="s">
        <v>4</v>
      </c>
      <c r="C899" s="3"/>
      <c r="D899" s="3"/>
      <c r="E899" s="3"/>
      <c r="F899" s="27" t="str" cm="1">
        <f t="array" ref="F899">INDEX(Sources!A:A, 1 + BIN2DEC(LEFT($B899,5)))</f>
        <v>--</v>
      </c>
      <c r="G899" s="27" t="str" cm="1">
        <f t="array" ref="G899">INDEX(Dest1!A:A,1+BIN2DEC(MID($B899,6,5)))</f>
        <v>--</v>
      </c>
      <c r="H899" s="27" t="str" cm="1">
        <f t="array" ref="H899">INDEX(Source2!A:A,1+BIN2DEC(MID($B899,11,4)))</f>
        <v>--</v>
      </c>
      <c r="I899" s="23" cm="1">
        <f t="array" ref="I899">INDEX('D2'!A:A,1+BIN2DEC(MID($B899,16,2)))</f>
        <v>0</v>
      </c>
      <c r="J899" s="6">
        <f t="shared" ref="J899:J962" si="94">BIN2DEC(MID($B899,17,1))</f>
        <v>0</v>
      </c>
      <c r="K899" s="6">
        <f t="shared" si="90"/>
        <v>0</v>
      </c>
      <c r="L899" s="6">
        <f t="shared" si="91"/>
        <v>0</v>
      </c>
      <c r="M899" s="3" t="str" cm="1">
        <f t="array" ref="M899">INDEX(Types!A:A,1+BIN2DEC(MID($B899,20,2)))</f>
        <v>Control</v>
      </c>
      <c r="N899" s="3" t="str" cm="1">
        <f t="array" ref="N899">IF(M899="ALU",INDEX(ALUOps!A:A,1+BIN2DEC(MID($B899,22,5))),"")</f>
        <v/>
      </c>
      <c r="O899" s="3" t="str" cm="1">
        <f t="array" ref="O899">IF(M899="ALU",INDEX(TMP!A:A,1+BIN2DEC(MID($B899,27,2))),"")</f>
        <v/>
      </c>
      <c r="P899" s="6" t="str">
        <f t="shared" si="92"/>
        <v/>
      </c>
      <c r="Q899" t="str">
        <f t="shared" ref="Q899:Q962" si="95">IF(M899="Jump",BIN2DEC(MID($B899,22,4)),"")</f>
        <v/>
      </c>
      <c r="R899" t="str">
        <f t="shared" si="89"/>
        <v/>
      </c>
      <c r="S899" cm="1">
        <f t="array" ref="S899">IF(M899="Control",INDEX(IC!A:A,1+BIN2DEC(MID($B899,21,4))),"")</f>
        <v>0</v>
      </c>
      <c r="T899" cm="1">
        <f t="array" ref="T899">IF(M899="Control",INDEX(EC!A:A,1+BIN2DEC(MID($B899,25,3))),"")</f>
        <v>0</v>
      </c>
      <c r="U899" cm="1">
        <f t="array" ref="U899">IF(M899="Control",INDEX(SR!A:A,1+BIN2DEC(MID($B899,28,2))),"")</f>
        <v>0</v>
      </c>
    </row>
    <row r="900" spans="1:30" x14ac:dyDescent="0.25">
      <c r="A900" s="4" t="str">
        <f t="shared" si="93"/>
        <v>382</v>
      </c>
      <c r="B900" s="2" t="s">
        <v>4</v>
      </c>
      <c r="C900" s="3"/>
      <c r="D900" s="3"/>
      <c r="E900" s="3"/>
      <c r="F900" s="27" t="str" cm="1">
        <f t="array" ref="F900">INDEX(Sources!A:A, 1 + BIN2DEC(LEFT($B900,5)))</f>
        <v>--</v>
      </c>
      <c r="G900" s="27" t="str" cm="1">
        <f t="array" ref="G900">INDEX(Dest1!A:A,1+BIN2DEC(MID($B900,6,5)))</f>
        <v>--</v>
      </c>
      <c r="H900" s="27" t="str" cm="1">
        <f t="array" ref="H900">INDEX(Source2!A:A,1+BIN2DEC(MID($B900,11,4)))</f>
        <v>--</v>
      </c>
      <c r="I900" s="23" cm="1">
        <f t="array" ref="I900">INDEX('D2'!A:A,1+BIN2DEC(MID($B900,16,2)))</f>
        <v>0</v>
      </c>
      <c r="J900" s="6">
        <f t="shared" si="94"/>
        <v>0</v>
      </c>
      <c r="K900" s="6">
        <f t="shared" si="90"/>
        <v>0</v>
      </c>
      <c r="L900" s="6">
        <f t="shared" si="91"/>
        <v>0</v>
      </c>
      <c r="M900" s="3" t="str" cm="1">
        <f t="array" ref="M900">INDEX(Types!A:A,1+BIN2DEC(MID($B900,20,2)))</f>
        <v>Control</v>
      </c>
      <c r="N900" s="3" t="str" cm="1">
        <f t="array" ref="N900">IF(M900="ALU",INDEX(ALUOps!A:A,1+BIN2DEC(MID($B900,22,5))),"")</f>
        <v/>
      </c>
      <c r="O900" s="3" t="str" cm="1">
        <f t="array" ref="O900">IF(M900="ALU",INDEX(TMP!A:A,1+BIN2DEC(MID($B900,27,2))),"")</f>
        <v/>
      </c>
      <c r="P900" s="6" t="str">
        <f t="shared" si="92"/>
        <v/>
      </c>
      <c r="Q900" t="str">
        <f t="shared" si="95"/>
        <v/>
      </c>
      <c r="R900" t="str">
        <f t="shared" si="89"/>
        <v/>
      </c>
      <c r="S900" cm="1">
        <f t="array" ref="S900">IF(M900="Control",INDEX(IC!A:A,1+BIN2DEC(MID($B900,21,4))),"")</f>
        <v>0</v>
      </c>
      <c r="T900" cm="1">
        <f t="array" ref="T900">IF(M900="Control",INDEX(EC!A:A,1+BIN2DEC(MID($B900,25,3))),"")</f>
        <v>0</v>
      </c>
      <c r="U900" cm="1">
        <f t="array" ref="U900">IF(M900="Control",INDEX(SR!A:A,1+BIN2DEC(MID($B900,28,2))),"")</f>
        <v>0</v>
      </c>
    </row>
    <row r="901" spans="1:30" s="9" customFormat="1" ht="15.75" thickBot="1" x14ac:dyDescent="0.3">
      <c r="A901" s="7" t="str">
        <f t="shared" si="93"/>
        <v>383</v>
      </c>
      <c r="B901" s="8" t="s">
        <v>4</v>
      </c>
      <c r="C901" s="10"/>
      <c r="D901" s="10"/>
      <c r="E901" s="10"/>
      <c r="F901" s="30" t="str" cm="1">
        <f t="array" ref="F901">INDEX(Sources!A:A, 1 + BIN2DEC(LEFT($B901,5)))</f>
        <v>--</v>
      </c>
      <c r="G901" s="30" t="str" cm="1">
        <f t="array" ref="G901">INDEX(Dest1!A:A,1+BIN2DEC(MID($B901,6,5)))</f>
        <v>--</v>
      </c>
      <c r="H901" s="30" t="str" cm="1">
        <f t="array" ref="H901">INDEX(Source2!A:A,1+BIN2DEC(MID($B901,11,4)))</f>
        <v>--</v>
      </c>
      <c r="I901" s="26" cm="1">
        <f t="array" ref="I901">INDEX('D2'!A:A,1+BIN2DEC(MID($B901,16,2)))</f>
        <v>0</v>
      </c>
      <c r="J901" s="11">
        <f t="shared" si="94"/>
        <v>0</v>
      </c>
      <c r="K901" s="11">
        <f t="shared" si="90"/>
        <v>0</v>
      </c>
      <c r="L901" s="11">
        <f t="shared" si="91"/>
        <v>0</v>
      </c>
      <c r="M901" s="10" t="str" cm="1">
        <f t="array" ref="M901">INDEX(Types!A:A,1+BIN2DEC(MID($B901,20,2)))</f>
        <v>Control</v>
      </c>
      <c r="N901" s="10" t="str" cm="1">
        <f t="array" ref="N901">IF(M901="ALU",INDEX(ALUOps!A:A,1+BIN2DEC(MID($B901,22,5))),"")</f>
        <v/>
      </c>
      <c r="O901" s="10" t="str" cm="1">
        <f t="array" ref="O901">IF(M901="ALU",INDEX(TMP!A:A,1+BIN2DEC(MID($B901,27,2))),"")</f>
        <v/>
      </c>
      <c r="P901" s="11" t="str">
        <f t="shared" si="92"/>
        <v/>
      </c>
      <c r="Q901" s="9" t="str">
        <f t="shared" si="95"/>
        <v/>
      </c>
      <c r="R901" s="9" t="str">
        <f t="shared" si="89"/>
        <v/>
      </c>
      <c r="S901" s="9" cm="1">
        <f t="array" ref="S901">IF(M901="Control",INDEX(IC!A:A,1+BIN2DEC(MID($B901,21,4))),"")</f>
        <v>0</v>
      </c>
      <c r="T901" s="9" cm="1">
        <f t="array" ref="T901">IF(M901="Control",INDEX(EC!A:A,1+BIN2DEC(MID($B901,25,3))),"")</f>
        <v>0</v>
      </c>
      <c r="U901" s="9" cm="1">
        <f t="array" ref="U901">IF(M901="Control",INDEX(SR!A:A,1+BIN2DEC(MID($B901,28,2))),"")</f>
        <v>0</v>
      </c>
    </row>
    <row r="902" spans="1:30" x14ac:dyDescent="0.25">
      <c r="A902" s="4" t="str">
        <f t="shared" si="93"/>
        <v>384</v>
      </c>
      <c r="B902" s="2" t="s">
        <v>835</v>
      </c>
      <c r="C902" s="2" t="s">
        <v>833</v>
      </c>
      <c r="D902" s="2" t="s">
        <v>937</v>
      </c>
      <c r="E902" s="2" t="s">
        <v>462</v>
      </c>
      <c r="F902" s="27" t="str" cm="1">
        <f t="array" ref="F902">INDEX(Sources!A:A, 1 + BIN2DEC(LEFT($B902,5)))</f>
        <v>REG</v>
      </c>
      <c r="G902" s="27" t="str" cm="1">
        <f t="array" ref="G902">INDEX(Dest1!A:A,1+BIN2DEC(MID($B902,6,5)))</f>
        <v>TMPA</v>
      </c>
      <c r="H902" s="27" t="str" cm="1">
        <f t="array" ref="H902">INDEX(Source2!A:A,1+BIN2DEC(MID($B902,11,4)))</f>
        <v>--</v>
      </c>
      <c r="I902" s="23" cm="1">
        <f t="array" ref="I902">INDEX('D2'!A:A,1+BIN2DEC(MID($B902,16,2)))</f>
        <v>0</v>
      </c>
      <c r="J902" s="6">
        <f t="shared" si="94"/>
        <v>0</v>
      </c>
      <c r="K902" s="6">
        <f t="shared" si="90"/>
        <v>0</v>
      </c>
      <c r="L902" s="6">
        <f t="shared" si="91"/>
        <v>0</v>
      </c>
      <c r="M902" s="3" t="str" cm="1">
        <f t="array" ref="M902">INDEX(Types!A:A,1+BIN2DEC(MID($B902,20,2)))</f>
        <v>ALU</v>
      </c>
      <c r="N902" s="3" cm="1">
        <f t="array" ref="N902">IF(M902="ALU",INDEX(ALUOps!A:A,1+BIN2DEC(MID($B902,22,5))),"")</f>
        <v>7</v>
      </c>
      <c r="O902" s="3" cm="1">
        <f t="array" ref="O902">IF(M902="ALU",INDEX(TMP!A:A,1+BIN2DEC(MID($B902,27,2))),"")</f>
        <v>2</v>
      </c>
      <c r="P902" s="6">
        <f t="shared" si="92"/>
        <v>1</v>
      </c>
      <c r="Q902" t="str">
        <f t="shared" si="95"/>
        <v/>
      </c>
      <c r="R902" t="str">
        <f t="shared" si="89"/>
        <v/>
      </c>
      <c r="S902" t="str" cm="1">
        <f t="array" ref="S902">IF(M902="Control",INDEX(IC!A:A,1+BIN2DEC(MID($B902,21,4))),"")</f>
        <v/>
      </c>
      <c r="T902" t="str" cm="1">
        <f t="array" ref="T902">IF(M902="Control",INDEX(EC!A:A,1+BIN2DEC(MID($B902,25,3))),"")</f>
        <v/>
      </c>
      <c r="U902" t="str" cm="1">
        <f t="array" ref="U902">IF(M902="Control",INDEX(SR!A:A,1+BIN2DEC(MID($B902,28,2))),"")</f>
        <v/>
      </c>
      <c r="W902">
        <v>8080</v>
      </c>
      <c r="X902" t="s">
        <v>1077</v>
      </c>
      <c r="AD902" s="1" t="s">
        <v>834</v>
      </c>
    </row>
    <row r="903" spans="1:30" x14ac:dyDescent="0.25">
      <c r="A903" s="4" t="str">
        <f t="shared" si="93"/>
        <v>385</v>
      </c>
      <c r="B903" s="2" t="s">
        <v>798</v>
      </c>
      <c r="C903" s="3"/>
      <c r="D903" s="3"/>
      <c r="E903" s="3"/>
      <c r="F903" s="27" t="str" cm="1">
        <f t="array" ref="F903">INDEX(Sources!A:A, 1 + BIN2DEC(LEFT($B903,5)))</f>
        <v>UNK4</v>
      </c>
      <c r="G903" s="27" t="str" cm="1">
        <f t="array" ref="G903">INDEX(Dest1!A:A,1+BIN2DEC(MID($B903,6,5)))</f>
        <v>UNK26</v>
      </c>
      <c r="H903" s="27" t="str" cm="1">
        <f t="array" ref="H903">INDEX(Source2!A:A,1+BIN2DEC(MID($B903,11,4)))</f>
        <v>--</v>
      </c>
      <c r="I903" s="23" cm="1">
        <f t="array" ref="I903">INDEX('D2'!A:A,1+BIN2DEC(MID($B903,16,2)))</f>
        <v>0</v>
      </c>
      <c r="J903" s="6">
        <f t="shared" si="94"/>
        <v>0</v>
      </c>
      <c r="K903" s="6">
        <f t="shared" si="90"/>
        <v>0</v>
      </c>
      <c r="L903" s="6">
        <f t="shared" si="91"/>
        <v>0</v>
      </c>
      <c r="M903" s="3" t="str" cm="1">
        <f t="array" ref="M903">INDEX(Types!A:A,1+BIN2DEC(MID($B903,20,2)))</f>
        <v>Control</v>
      </c>
      <c r="N903" s="3" t="str" cm="1">
        <f t="array" ref="N903">IF(M903="ALU",INDEX(ALUOps!A:A,1+BIN2DEC(MID($B903,22,5))),"")</f>
        <v/>
      </c>
      <c r="O903" s="3" t="str" cm="1">
        <f t="array" ref="O903">IF(M903="ALU",INDEX(TMP!A:A,1+BIN2DEC(MID($B903,27,2))),"")</f>
        <v/>
      </c>
      <c r="P903" s="6" t="str">
        <f t="shared" si="92"/>
        <v/>
      </c>
      <c r="Q903" t="str">
        <f t="shared" si="95"/>
        <v/>
      </c>
      <c r="R903" t="str">
        <f t="shared" ref="R903:R966" si="96">IF(M903="Jump",15-BIN2DEC(MID($B903,26,4)),"")</f>
        <v/>
      </c>
      <c r="S903" cm="1">
        <f t="array" ref="S903">IF(M903="Control",INDEX(IC!A:A,1+BIN2DEC(MID($B903,21,4))),"")</f>
        <v>0</v>
      </c>
      <c r="T903" cm="1">
        <f t="array" ref="T903">IF(M903="Control",INDEX(EC!A:A,1+BIN2DEC(MID($B903,25,3))),"")</f>
        <v>0</v>
      </c>
      <c r="U903" cm="1">
        <f t="array" ref="U903">IF(M903="Control",INDEX(SR!A:A,1+BIN2DEC(MID($B903,28,2))),"")</f>
        <v>0</v>
      </c>
    </row>
    <row r="904" spans="1:30" x14ac:dyDescent="0.25">
      <c r="A904" s="4" t="str">
        <f t="shared" si="93"/>
        <v>386</v>
      </c>
      <c r="B904" s="2" t="s">
        <v>838</v>
      </c>
      <c r="C904" s="3"/>
      <c r="D904" s="3"/>
      <c r="E904" s="3"/>
      <c r="F904" s="27" t="str" cm="1">
        <f t="array" ref="F904">INDEX(Sources!A:A, 1 + BIN2DEC(LEFT($B904,5)))</f>
        <v>SIGMA</v>
      </c>
      <c r="G904" s="27" t="str" cm="1">
        <f t="array" ref="G904">INDEX(Dest1!A:A,1+BIN2DEC(MID($B904,6,5)))</f>
        <v>REG</v>
      </c>
      <c r="H904" s="27" t="str" cm="1">
        <f t="array" ref="H904">INDEX(Source2!A:A,1+BIN2DEC(MID($B904,11,4)))</f>
        <v>--</v>
      </c>
      <c r="I904" s="23" cm="1">
        <f t="array" ref="I904">INDEX('D2'!A:A,1+BIN2DEC(MID($B904,16,2)))</f>
        <v>0</v>
      </c>
      <c r="J904" s="6">
        <f t="shared" si="94"/>
        <v>0</v>
      </c>
      <c r="K904" s="6">
        <f t="shared" si="90"/>
        <v>1</v>
      </c>
      <c r="L904" s="6">
        <f t="shared" si="91"/>
        <v>1</v>
      </c>
      <c r="M904" s="3" t="str" cm="1">
        <f t="array" ref="M904">INDEX(Types!A:A,1+BIN2DEC(MID($B904,20,2)))</f>
        <v>Control</v>
      </c>
      <c r="N904" s="3" t="str" cm="1">
        <f t="array" ref="N904">IF(M904="ALU",INDEX(ALUOps!A:A,1+BIN2DEC(MID($B904,22,5))),"")</f>
        <v/>
      </c>
      <c r="O904" s="3" t="str" cm="1">
        <f t="array" ref="O904">IF(M904="ALU",INDEX(TMP!A:A,1+BIN2DEC(MID($B904,27,2))),"")</f>
        <v/>
      </c>
      <c r="P904" s="6" t="str">
        <f t="shared" si="92"/>
        <v/>
      </c>
      <c r="Q904" t="str">
        <f t="shared" si="95"/>
        <v/>
      </c>
      <c r="R904" t="str">
        <f t="shared" si="96"/>
        <v/>
      </c>
      <c r="S904" cm="1">
        <f t="array" ref="S904">IF(M904="Control",INDEX(IC!A:A,1+BIN2DEC(MID($B904,21,4))),"")</f>
        <v>0</v>
      </c>
      <c r="T904" cm="1">
        <f t="array" ref="T904">IF(M904="Control",INDEX(EC!A:A,1+BIN2DEC(MID($B904,25,3))),"")</f>
        <v>1</v>
      </c>
      <c r="U904" cm="1">
        <f t="array" ref="U904">IF(M904="Control",INDEX(SR!A:A,1+BIN2DEC(MID($B904,28,2))),"")</f>
        <v>0</v>
      </c>
    </row>
    <row r="905" spans="1:30" x14ac:dyDescent="0.25">
      <c r="A905" s="4" t="str">
        <f t="shared" si="93"/>
        <v>387</v>
      </c>
      <c r="B905" s="2" t="s">
        <v>799</v>
      </c>
      <c r="C905" s="3"/>
      <c r="D905" s="3"/>
      <c r="E905" s="3"/>
      <c r="F905" s="27" t="str" cm="1">
        <f t="array" ref="F905">INDEX(Sources!A:A, 1 + BIN2DEC(LEFT($B905,5)))</f>
        <v>UNK27</v>
      </c>
      <c r="G905" s="27" t="str" cm="1">
        <f t="array" ref="G905">INDEX(Dest1!A:A,1+BIN2DEC(MID($B905,6,5)))</f>
        <v>UNK24</v>
      </c>
      <c r="H905" s="27" t="str" cm="1">
        <f t="array" ref="H905">INDEX(Source2!A:A,1+BIN2DEC(MID($B905,11,4)))</f>
        <v>--</v>
      </c>
      <c r="I905" s="23" cm="1">
        <f t="array" ref="I905">INDEX('D2'!A:A,1+BIN2DEC(MID($B905,16,2)))</f>
        <v>0</v>
      </c>
      <c r="J905" s="6">
        <f t="shared" si="94"/>
        <v>0</v>
      </c>
      <c r="K905" s="6">
        <f t="shared" si="90"/>
        <v>0</v>
      </c>
      <c r="L905" s="6">
        <f t="shared" si="91"/>
        <v>0</v>
      </c>
      <c r="M905" s="3" t="str" cm="1">
        <f t="array" ref="M905">INDEX(Types!A:A,1+BIN2DEC(MID($B905,20,2)))</f>
        <v>Control</v>
      </c>
      <c r="N905" s="3" t="str" cm="1">
        <f t="array" ref="N905">IF(M905="ALU",INDEX(ALUOps!A:A,1+BIN2DEC(MID($B905,22,5))),"")</f>
        <v/>
      </c>
      <c r="O905" s="3" t="str" cm="1">
        <f t="array" ref="O905">IF(M905="ALU",INDEX(TMP!A:A,1+BIN2DEC(MID($B905,27,2))),"")</f>
        <v/>
      </c>
      <c r="P905" s="6" t="str">
        <f t="shared" si="92"/>
        <v/>
      </c>
      <c r="Q905" t="str">
        <f t="shared" si="95"/>
        <v/>
      </c>
      <c r="R905" t="str">
        <f t="shared" si="96"/>
        <v/>
      </c>
      <c r="S905" cm="1">
        <f t="array" ref="S905">IF(M905="Control",INDEX(IC!A:A,1+BIN2DEC(MID($B905,21,4))),"")</f>
        <v>0</v>
      </c>
      <c r="T905" cm="1">
        <f t="array" ref="T905">IF(M905="Control",INDEX(EC!A:A,1+BIN2DEC(MID($B905,25,3))),"")</f>
        <v>0</v>
      </c>
      <c r="U905" cm="1">
        <f t="array" ref="U905">IF(M905="Control",INDEX(SR!A:A,1+BIN2DEC(MID($B905,28,2))),"")</f>
        <v>0</v>
      </c>
    </row>
    <row r="906" spans="1:30" x14ac:dyDescent="0.25">
      <c r="A906" s="4" t="str">
        <f t="shared" si="93"/>
        <v>388</v>
      </c>
      <c r="B906" s="2" t="s">
        <v>839</v>
      </c>
      <c r="C906" s="2" t="s">
        <v>836</v>
      </c>
      <c r="D906" s="2" t="s">
        <v>937</v>
      </c>
      <c r="E906" s="2" t="s">
        <v>462</v>
      </c>
      <c r="F906" s="27" t="str" cm="1">
        <f t="array" ref="F906">INDEX(Sources!A:A, 1 + BIN2DEC(LEFT($B906,5)))</f>
        <v>REG</v>
      </c>
      <c r="G906" s="27" t="str" cm="1">
        <f t="array" ref="G906">INDEX(Dest1!A:A,1+BIN2DEC(MID($B906,6,5)))</f>
        <v>TMPA</v>
      </c>
      <c r="H906" s="27" t="str" cm="1">
        <f t="array" ref="H906">INDEX(Source2!A:A,1+BIN2DEC(MID($B906,11,4)))</f>
        <v>--</v>
      </c>
      <c r="I906" s="23" cm="1">
        <f t="array" ref="I906">INDEX('D2'!A:A,1+BIN2DEC(MID($B906,16,2)))</f>
        <v>0</v>
      </c>
      <c r="J906" s="6">
        <f t="shared" si="94"/>
        <v>0</v>
      </c>
      <c r="K906" s="6">
        <f t="shared" si="90"/>
        <v>0</v>
      </c>
      <c r="L906" s="6">
        <f t="shared" si="91"/>
        <v>0</v>
      </c>
      <c r="M906" s="3" t="str" cm="1">
        <f t="array" ref="M906">INDEX(Types!A:A,1+BIN2DEC(MID($B906,20,2)))</f>
        <v>ALU</v>
      </c>
      <c r="N906" s="3" cm="1">
        <f t="array" ref="N906">IF(M906="ALU",INDEX(ALUOps!A:A,1+BIN2DEC(MID($B906,22,5))),"")</f>
        <v>6</v>
      </c>
      <c r="O906" s="3" cm="1">
        <f t="array" ref="O906">IF(M906="ALU",INDEX(TMP!A:A,1+BIN2DEC(MID($B906,27,2))),"")</f>
        <v>2</v>
      </c>
      <c r="P906" s="6">
        <f t="shared" si="92"/>
        <v>1</v>
      </c>
      <c r="Q906" t="str">
        <f t="shared" si="95"/>
        <v/>
      </c>
      <c r="R906" t="str">
        <f t="shared" si="96"/>
        <v/>
      </c>
      <c r="S906" t="str" cm="1">
        <f t="array" ref="S906">IF(M906="Control",INDEX(IC!A:A,1+BIN2DEC(MID($B906,21,4))),"")</f>
        <v/>
      </c>
      <c r="T906" t="str" cm="1">
        <f t="array" ref="T906">IF(M906="Control",INDEX(EC!A:A,1+BIN2DEC(MID($B906,25,3))),"")</f>
        <v/>
      </c>
      <c r="U906" t="str" cm="1">
        <f t="array" ref="U906">IF(M906="Control",INDEX(SR!A:A,1+BIN2DEC(MID($B906,28,2))),"")</f>
        <v/>
      </c>
      <c r="W906">
        <v>8080</v>
      </c>
      <c r="X906" t="s">
        <v>1078</v>
      </c>
      <c r="AD906" s="1" t="s">
        <v>837</v>
      </c>
    </row>
    <row r="907" spans="1:30" x14ac:dyDescent="0.25">
      <c r="A907" s="4" t="str">
        <f t="shared" si="93"/>
        <v>389</v>
      </c>
      <c r="B907" s="2" t="s">
        <v>798</v>
      </c>
      <c r="C907" s="3"/>
      <c r="D907" s="3"/>
      <c r="E907" s="3"/>
      <c r="F907" s="27" t="str" cm="1">
        <f t="array" ref="F907">INDEX(Sources!A:A, 1 + BIN2DEC(LEFT($B907,5)))</f>
        <v>UNK4</v>
      </c>
      <c r="G907" s="27" t="str" cm="1">
        <f t="array" ref="G907">INDEX(Dest1!A:A,1+BIN2DEC(MID($B907,6,5)))</f>
        <v>UNK26</v>
      </c>
      <c r="H907" s="27" t="str" cm="1">
        <f t="array" ref="H907">INDEX(Source2!A:A,1+BIN2DEC(MID($B907,11,4)))</f>
        <v>--</v>
      </c>
      <c r="I907" s="23" cm="1">
        <f t="array" ref="I907">INDEX('D2'!A:A,1+BIN2DEC(MID($B907,16,2)))</f>
        <v>0</v>
      </c>
      <c r="J907" s="6">
        <f t="shared" si="94"/>
        <v>0</v>
      </c>
      <c r="K907" s="6">
        <f t="shared" si="90"/>
        <v>0</v>
      </c>
      <c r="L907" s="6">
        <f t="shared" si="91"/>
        <v>0</v>
      </c>
      <c r="M907" s="3" t="str" cm="1">
        <f t="array" ref="M907">INDEX(Types!A:A,1+BIN2DEC(MID($B907,20,2)))</f>
        <v>Control</v>
      </c>
      <c r="N907" s="3" t="str" cm="1">
        <f t="array" ref="N907">IF(M907="ALU",INDEX(ALUOps!A:A,1+BIN2DEC(MID($B907,22,5))),"")</f>
        <v/>
      </c>
      <c r="O907" s="3" t="str" cm="1">
        <f t="array" ref="O907">IF(M907="ALU",INDEX(TMP!A:A,1+BIN2DEC(MID($B907,27,2))),"")</f>
        <v/>
      </c>
      <c r="P907" s="6" t="str">
        <f t="shared" si="92"/>
        <v/>
      </c>
      <c r="Q907" t="str">
        <f t="shared" si="95"/>
        <v/>
      </c>
      <c r="R907" t="str">
        <f t="shared" si="96"/>
        <v/>
      </c>
      <c r="S907" cm="1">
        <f t="array" ref="S907">IF(M907="Control",INDEX(IC!A:A,1+BIN2DEC(MID($B907,21,4))),"")</f>
        <v>0</v>
      </c>
      <c r="T907" cm="1">
        <f t="array" ref="T907">IF(M907="Control",INDEX(EC!A:A,1+BIN2DEC(MID($B907,25,3))),"")</f>
        <v>0</v>
      </c>
      <c r="U907" cm="1">
        <f t="array" ref="U907">IF(M907="Control",INDEX(SR!A:A,1+BIN2DEC(MID($B907,28,2))),"")</f>
        <v>0</v>
      </c>
    </row>
    <row r="908" spans="1:30" x14ac:dyDescent="0.25">
      <c r="A908" s="4" t="str">
        <f t="shared" si="93"/>
        <v>38A</v>
      </c>
      <c r="B908" s="2" t="s">
        <v>838</v>
      </c>
      <c r="C908" s="3"/>
      <c r="D908" s="3"/>
      <c r="E908" s="3"/>
      <c r="F908" s="27" t="str" cm="1">
        <f t="array" ref="F908">INDEX(Sources!A:A, 1 + BIN2DEC(LEFT($B908,5)))</f>
        <v>SIGMA</v>
      </c>
      <c r="G908" s="27" t="str" cm="1">
        <f t="array" ref="G908">INDEX(Dest1!A:A,1+BIN2DEC(MID($B908,6,5)))</f>
        <v>REG</v>
      </c>
      <c r="H908" s="27" t="str" cm="1">
        <f t="array" ref="H908">INDEX(Source2!A:A,1+BIN2DEC(MID($B908,11,4)))</f>
        <v>--</v>
      </c>
      <c r="I908" s="23" cm="1">
        <f t="array" ref="I908">INDEX('D2'!A:A,1+BIN2DEC(MID($B908,16,2)))</f>
        <v>0</v>
      </c>
      <c r="J908" s="6">
        <f t="shared" si="94"/>
        <v>0</v>
      </c>
      <c r="K908" s="6">
        <f t="shared" si="90"/>
        <v>1</v>
      </c>
      <c r="L908" s="6">
        <f t="shared" si="91"/>
        <v>1</v>
      </c>
      <c r="M908" s="3" t="str" cm="1">
        <f t="array" ref="M908">INDEX(Types!A:A,1+BIN2DEC(MID($B908,20,2)))</f>
        <v>Control</v>
      </c>
      <c r="N908" s="3" t="str" cm="1">
        <f t="array" ref="N908">IF(M908="ALU",INDEX(ALUOps!A:A,1+BIN2DEC(MID($B908,22,5))),"")</f>
        <v/>
      </c>
      <c r="O908" s="3" t="str" cm="1">
        <f t="array" ref="O908">IF(M908="ALU",INDEX(TMP!A:A,1+BIN2DEC(MID($B908,27,2))),"")</f>
        <v/>
      </c>
      <c r="P908" s="6" t="str">
        <f t="shared" si="92"/>
        <v/>
      </c>
      <c r="Q908" t="str">
        <f t="shared" si="95"/>
        <v/>
      </c>
      <c r="R908" t="str">
        <f t="shared" si="96"/>
        <v/>
      </c>
      <c r="S908" cm="1">
        <f t="array" ref="S908">IF(M908="Control",INDEX(IC!A:A,1+BIN2DEC(MID($B908,21,4))),"")</f>
        <v>0</v>
      </c>
      <c r="T908" cm="1">
        <f t="array" ref="T908">IF(M908="Control",INDEX(EC!A:A,1+BIN2DEC(MID($B908,25,3))),"")</f>
        <v>1</v>
      </c>
      <c r="U908" cm="1">
        <f t="array" ref="U908">IF(M908="Control",INDEX(SR!A:A,1+BIN2DEC(MID($B908,28,2))),"")</f>
        <v>0</v>
      </c>
    </row>
    <row r="909" spans="1:30" x14ac:dyDescent="0.25">
      <c r="A909" s="4" t="str">
        <f t="shared" si="93"/>
        <v>38B</v>
      </c>
      <c r="B909" s="2" t="s">
        <v>799</v>
      </c>
      <c r="C909" s="3"/>
      <c r="D909" s="3"/>
      <c r="E909" s="3"/>
      <c r="F909" s="27" t="str" cm="1">
        <f t="array" ref="F909">INDEX(Sources!A:A, 1 + BIN2DEC(LEFT($B909,5)))</f>
        <v>UNK27</v>
      </c>
      <c r="G909" s="27" t="str" cm="1">
        <f t="array" ref="G909">INDEX(Dest1!A:A,1+BIN2DEC(MID($B909,6,5)))</f>
        <v>UNK24</v>
      </c>
      <c r="H909" s="27" t="str" cm="1">
        <f t="array" ref="H909">INDEX(Source2!A:A,1+BIN2DEC(MID($B909,11,4)))</f>
        <v>--</v>
      </c>
      <c r="I909" s="23" cm="1">
        <f t="array" ref="I909">INDEX('D2'!A:A,1+BIN2DEC(MID($B909,16,2)))</f>
        <v>0</v>
      </c>
      <c r="J909" s="6">
        <f t="shared" si="94"/>
        <v>0</v>
      </c>
      <c r="K909" s="6">
        <f t="shared" si="90"/>
        <v>0</v>
      </c>
      <c r="L909" s="6">
        <f t="shared" si="91"/>
        <v>0</v>
      </c>
      <c r="M909" s="3" t="str" cm="1">
        <f t="array" ref="M909">INDEX(Types!A:A,1+BIN2DEC(MID($B909,20,2)))</f>
        <v>Control</v>
      </c>
      <c r="N909" s="3" t="str" cm="1">
        <f t="array" ref="N909">IF(M909="ALU",INDEX(ALUOps!A:A,1+BIN2DEC(MID($B909,22,5))),"")</f>
        <v/>
      </c>
      <c r="O909" s="3" t="str" cm="1">
        <f t="array" ref="O909">IF(M909="ALU",INDEX(TMP!A:A,1+BIN2DEC(MID($B909,27,2))),"")</f>
        <v/>
      </c>
      <c r="P909" s="6" t="str">
        <f t="shared" si="92"/>
        <v/>
      </c>
      <c r="Q909" t="str">
        <f t="shared" si="95"/>
        <v/>
      </c>
      <c r="R909" t="str">
        <f t="shared" si="96"/>
        <v/>
      </c>
      <c r="S909" cm="1">
        <f t="array" ref="S909">IF(M909="Control",INDEX(IC!A:A,1+BIN2DEC(MID($B909,21,4))),"")</f>
        <v>0</v>
      </c>
      <c r="T909" cm="1">
        <f t="array" ref="T909">IF(M909="Control",INDEX(EC!A:A,1+BIN2DEC(MID($B909,25,3))),"")</f>
        <v>0</v>
      </c>
      <c r="U909" cm="1">
        <f t="array" ref="U909">IF(M909="Control",INDEX(SR!A:A,1+BIN2DEC(MID($B909,28,2))),"")</f>
        <v>0</v>
      </c>
    </row>
    <row r="910" spans="1:30" x14ac:dyDescent="0.25">
      <c r="A910" s="4" t="str">
        <f t="shared" si="93"/>
        <v>38C</v>
      </c>
      <c r="B910" s="2" t="s">
        <v>842</v>
      </c>
      <c r="C910" s="2" t="s">
        <v>840</v>
      </c>
      <c r="D910" s="2" t="s">
        <v>937</v>
      </c>
      <c r="E910" s="2" t="s">
        <v>462</v>
      </c>
      <c r="F910" s="27" t="str" cm="1">
        <f t="array" ref="F910">INDEX(Sources!A:A, 1 + BIN2DEC(LEFT($B910,5)))</f>
        <v>REG</v>
      </c>
      <c r="G910" s="27" t="str" cm="1">
        <f t="array" ref="G910">INDEX(Dest1!A:A,1+BIN2DEC(MID($B910,6,5)))</f>
        <v>TMPA</v>
      </c>
      <c r="H910" s="27" t="str" cm="1">
        <f t="array" ref="H910">INDEX(Source2!A:A,1+BIN2DEC(MID($B910,11,4)))</f>
        <v>--</v>
      </c>
      <c r="I910" s="23" cm="1">
        <f t="array" ref="I910">INDEX('D2'!A:A,1+BIN2DEC(MID($B910,16,2)))</f>
        <v>0</v>
      </c>
      <c r="J910" s="6">
        <f t="shared" si="94"/>
        <v>0</v>
      </c>
      <c r="K910" s="6">
        <f t="shared" si="90"/>
        <v>0</v>
      </c>
      <c r="L910" s="6">
        <f t="shared" si="91"/>
        <v>1</v>
      </c>
      <c r="M910" s="3" t="str" cm="1">
        <f t="array" ref="M910">INDEX(Types!A:A,1+BIN2DEC(MID($B910,20,2)))</f>
        <v>ALU</v>
      </c>
      <c r="N910" s="3" cm="1">
        <f t="array" ref="N910">IF(M910="ALU",INDEX(ALUOps!A:A,1+BIN2DEC(MID($B910,22,5))),"")</f>
        <v>7</v>
      </c>
      <c r="O910" s="3" cm="1">
        <f t="array" ref="O910">IF(M910="ALU",INDEX(TMP!A:A,1+BIN2DEC(MID($B910,27,2))),"")</f>
        <v>2</v>
      </c>
      <c r="P910" s="6">
        <f t="shared" si="92"/>
        <v>1</v>
      </c>
      <c r="Q910" t="str">
        <f t="shared" si="95"/>
        <v/>
      </c>
      <c r="R910" t="str">
        <f t="shared" si="96"/>
        <v/>
      </c>
      <c r="S910" t="str" cm="1">
        <f t="array" ref="S910">IF(M910="Control",INDEX(IC!A:A,1+BIN2DEC(MID($B910,21,4))),"")</f>
        <v/>
      </c>
      <c r="T910" t="str" cm="1">
        <f t="array" ref="T910">IF(M910="Control",INDEX(EC!A:A,1+BIN2DEC(MID($B910,25,3))),"")</f>
        <v/>
      </c>
      <c r="U910" t="str" cm="1">
        <f t="array" ref="U910">IF(M910="Control",INDEX(SR!A:A,1+BIN2DEC(MID($B910,28,2))),"")</f>
        <v/>
      </c>
      <c r="W910">
        <v>8080</v>
      </c>
      <c r="X910" t="s">
        <v>1079</v>
      </c>
      <c r="AD910" s="1" t="s">
        <v>841</v>
      </c>
    </row>
    <row r="911" spans="1:30" x14ac:dyDescent="0.25">
      <c r="A911" s="4" t="str">
        <f t="shared" si="93"/>
        <v>38D</v>
      </c>
      <c r="B911" s="2" t="s">
        <v>88</v>
      </c>
      <c r="C911" s="3"/>
      <c r="D911" s="3"/>
      <c r="E911" s="3"/>
      <c r="F911" s="27" t="str" cm="1">
        <f t="array" ref="F911">INDEX(Sources!A:A, 1 + BIN2DEC(LEFT($B911,5)))</f>
        <v>SIGMA</v>
      </c>
      <c r="G911" s="27" t="str" cm="1">
        <f t="array" ref="G911">INDEX(Dest1!A:A,1+BIN2DEC(MID($B911,6,5)))</f>
        <v>REG</v>
      </c>
      <c r="H911" s="27" t="str" cm="1">
        <f t="array" ref="H911">INDEX(Source2!A:A,1+BIN2DEC(MID($B911,11,4)))</f>
        <v>--</v>
      </c>
      <c r="I911" s="23" cm="1">
        <f t="array" ref="I911">INDEX('D2'!A:A,1+BIN2DEC(MID($B911,16,2)))</f>
        <v>0</v>
      </c>
      <c r="J911" s="6">
        <f t="shared" si="94"/>
        <v>0</v>
      </c>
      <c r="K911" s="6">
        <f t="shared" si="90"/>
        <v>0</v>
      </c>
      <c r="L911" s="6">
        <f t="shared" si="91"/>
        <v>0</v>
      </c>
      <c r="M911" s="3" t="str" cm="1">
        <f t="array" ref="M911">INDEX(Types!A:A,1+BIN2DEC(MID($B911,20,2)))</f>
        <v>Control</v>
      </c>
      <c r="N911" s="3" t="str" cm="1">
        <f t="array" ref="N911">IF(M911="ALU",INDEX(ALUOps!A:A,1+BIN2DEC(MID($B911,22,5))),"")</f>
        <v/>
      </c>
      <c r="O911" s="3" t="str" cm="1">
        <f t="array" ref="O911">IF(M911="ALU",INDEX(TMP!A:A,1+BIN2DEC(MID($B911,27,2))),"")</f>
        <v/>
      </c>
      <c r="P911" s="6" t="str">
        <f t="shared" si="92"/>
        <v/>
      </c>
      <c r="Q911" t="str">
        <f t="shared" si="95"/>
        <v/>
      </c>
      <c r="R911" t="str">
        <f t="shared" si="96"/>
        <v/>
      </c>
      <c r="S911" cm="1">
        <f t="array" ref="S911">IF(M911="Control",INDEX(IC!A:A,1+BIN2DEC(MID($B911,21,4))),"")</f>
        <v>0</v>
      </c>
      <c r="T911" cm="1">
        <f t="array" ref="T911">IF(M911="Control",INDEX(EC!A:A,1+BIN2DEC(MID($B911,25,3))),"")</f>
        <v>0</v>
      </c>
      <c r="U911" cm="1">
        <f t="array" ref="U911">IF(M911="Control",INDEX(SR!A:A,1+BIN2DEC(MID($B911,28,2))),"")</f>
        <v>0</v>
      </c>
    </row>
    <row r="912" spans="1:30" x14ac:dyDescent="0.25">
      <c r="A912" s="4" t="str">
        <f t="shared" si="93"/>
        <v>38E</v>
      </c>
      <c r="B912" s="2" t="s">
        <v>4</v>
      </c>
      <c r="C912" s="3"/>
      <c r="D912" s="3"/>
      <c r="E912" s="3"/>
      <c r="F912" s="27" t="str" cm="1">
        <f t="array" ref="F912">INDEX(Sources!A:A, 1 + BIN2DEC(LEFT($B912,5)))</f>
        <v>--</v>
      </c>
      <c r="G912" s="27" t="str" cm="1">
        <f t="array" ref="G912">INDEX(Dest1!A:A,1+BIN2DEC(MID($B912,6,5)))</f>
        <v>--</v>
      </c>
      <c r="H912" s="27" t="str" cm="1">
        <f t="array" ref="H912">INDEX(Source2!A:A,1+BIN2DEC(MID($B912,11,4)))</f>
        <v>--</v>
      </c>
      <c r="I912" s="23" cm="1">
        <f t="array" ref="I912">INDEX('D2'!A:A,1+BIN2DEC(MID($B912,16,2)))</f>
        <v>0</v>
      </c>
      <c r="J912" s="6">
        <f t="shared" si="94"/>
        <v>0</v>
      </c>
      <c r="K912" s="6">
        <f t="shared" si="90"/>
        <v>0</v>
      </c>
      <c r="L912" s="6">
        <f t="shared" si="91"/>
        <v>0</v>
      </c>
      <c r="M912" s="3" t="str" cm="1">
        <f t="array" ref="M912">INDEX(Types!A:A,1+BIN2DEC(MID($B912,20,2)))</f>
        <v>Control</v>
      </c>
      <c r="N912" s="3" t="str" cm="1">
        <f t="array" ref="N912">IF(M912="ALU",INDEX(ALUOps!A:A,1+BIN2DEC(MID($B912,22,5))),"")</f>
        <v/>
      </c>
      <c r="O912" s="3" t="str" cm="1">
        <f t="array" ref="O912">IF(M912="ALU",INDEX(TMP!A:A,1+BIN2DEC(MID($B912,27,2))),"")</f>
        <v/>
      </c>
      <c r="P912" s="6" t="str">
        <f t="shared" si="92"/>
        <v/>
      </c>
      <c r="Q912" t="str">
        <f t="shared" si="95"/>
        <v/>
      </c>
      <c r="R912" t="str">
        <f t="shared" si="96"/>
        <v/>
      </c>
      <c r="S912" cm="1">
        <f t="array" ref="S912">IF(M912="Control",INDEX(IC!A:A,1+BIN2DEC(MID($B912,21,4))),"")</f>
        <v>0</v>
      </c>
      <c r="T912" cm="1">
        <f t="array" ref="T912">IF(M912="Control",INDEX(EC!A:A,1+BIN2DEC(MID($B912,25,3))),"")</f>
        <v>0</v>
      </c>
      <c r="U912" cm="1">
        <f t="array" ref="U912">IF(M912="Control",INDEX(SR!A:A,1+BIN2DEC(MID($B912,28,2))),"")</f>
        <v>0</v>
      </c>
    </row>
    <row r="913" spans="1:30" x14ac:dyDescent="0.25">
      <c r="A913" s="4" t="str">
        <f t="shared" si="93"/>
        <v>38F</v>
      </c>
      <c r="B913" s="2" t="s">
        <v>4</v>
      </c>
      <c r="C913" s="3"/>
      <c r="D913" s="3"/>
      <c r="E913" s="3"/>
      <c r="F913" s="27" t="str" cm="1">
        <f t="array" ref="F913">INDEX(Sources!A:A, 1 + BIN2DEC(LEFT($B913,5)))</f>
        <v>--</v>
      </c>
      <c r="G913" s="27" t="str" cm="1">
        <f t="array" ref="G913">INDEX(Dest1!A:A,1+BIN2DEC(MID($B913,6,5)))</f>
        <v>--</v>
      </c>
      <c r="H913" s="27" t="str" cm="1">
        <f t="array" ref="H913">INDEX(Source2!A:A,1+BIN2DEC(MID($B913,11,4)))</f>
        <v>--</v>
      </c>
      <c r="I913" s="23" cm="1">
        <f t="array" ref="I913">INDEX('D2'!A:A,1+BIN2DEC(MID($B913,16,2)))</f>
        <v>0</v>
      </c>
      <c r="J913" s="6">
        <f t="shared" si="94"/>
        <v>0</v>
      </c>
      <c r="K913" s="6">
        <f t="shared" si="90"/>
        <v>0</v>
      </c>
      <c r="L913" s="6">
        <f t="shared" si="91"/>
        <v>0</v>
      </c>
      <c r="M913" s="3" t="str" cm="1">
        <f t="array" ref="M913">INDEX(Types!A:A,1+BIN2DEC(MID($B913,20,2)))</f>
        <v>Control</v>
      </c>
      <c r="N913" s="3" t="str" cm="1">
        <f t="array" ref="N913">IF(M913="ALU",INDEX(ALUOps!A:A,1+BIN2DEC(MID($B913,22,5))),"")</f>
        <v/>
      </c>
      <c r="O913" s="3" t="str" cm="1">
        <f t="array" ref="O913">IF(M913="ALU",INDEX(TMP!A:A,1+BIN2DEC(MID($B913,27,2))),"")</f>
        <v/>
      </c>
      <c r="P913" s="6" t="str">
        <f t="shared" si="92"/>
        <v/>
      </c>
      <c r="Q913" t="str">
        <f t="shared" si="95"/>
        <v/>
      </c>
      <c r="R913" t="str">
        <f t="shared" si="96"/>
        <v/>
      </c>
      <c r="S913" cm="1">
        <f t="array" ref="S913">IF(M913="Control",INDEX(IC!A:A,1+BIN2DEC(MID($B913,21,4))),"")</f>
        <v>0</v>
      </c>
      <c r="T913" cm="1">
        <f t="array" ref="T913">IF(M913="Control",INDEX(EC!A:A,1+BIN2DEC(MID($B913,25,3))),"")</f>
        <v>0</v>
      </c>
      <c r="U913" cm="1">
        <f t="array" ref="U913">IF(M913="Control",INDEX(SR!A:A,1+BIN2DEC(MID($B913,28,2))),"")</f>
        <v>0</v>
      </c>
    </row>
    <row r="914" spans="1:30" x14ac:dyDescent="0.25">
      <c r="A914" s="4" t="str">
        <f t="shared" si="93"/>
        <v>390</v>
      </c>
      <c r="B914" s="2" t="s">
        <v>845</v>
      </c>
      <c r="C914" s="2" t="s">
        <v>843</v>
      </c>
      <c r="D914" s="2" t="s">
        <v>937</v>
      </c>
      <c r="E914" s="2" t="s">
        <v>462</v>
      </c>
      <c r="F914" s="27" t="str" cm="1">
        <f t="array" ref="F914">INDEX(Sources!A:A, 1 + BIN2DEC(LEFT($B914,5)))</f>
        <v>REG</v>
      </c>
      <c r="G914" s="27" t="str" cm="1">
        <f t="array" ref="G914">INDEX(Dest1!A:A,1+BIN2DEC(MID($B914,6,5)))</f>
        <v>TMPA</v>
      </c>
      <c r="H914" s="27" t="str" cm="1">
        <f t="array" ref="H914">INDEX(Source2!A:A,1+BIN2DEC(MID($B914,11,4)))</f>
        <v>--</v>
      </c>
      <c r="I914" s="23" cm="1">
        <f t="array" ref="I914">INDEX('D2'!A:A,1+BIN2DEC(MID($B914,16,2)))</f>
        <v>0</v>
      </c>
      <c r="J914" s="6">
        <f t="shared" si="94"/>
        <v>0</v>
      </c>
      <c r="K914" s="6">
        <f t="shared" si="90"/>
        <v>0</v>
      </c>
      <c r="L914" s="6">
        <f t="shared" si="91"/>
        <v>1</v>
      </c>
      <c r="M914" s="3" t="str" cm="1">
        <f t="array" ref="M914">INDEX(Types!A:A,1+BIN2DEC(MID($B914,20,2)))</f>
        <v>ALU</v>
      </c>
      <c r="N914" s="3" cm="1">
        <f t="array" ref="N914">IF(M914="ALU",INDEX(ALUOps!A:A,1+BIN2DEC(MID($B914,22,5))),"")</f>
        <v>6</v>
      </c>
      <c r="O914" s="3" cm="1">
        <f t="array" ref="O914">IF(M914="ALU",INDEX(TMP!A:A,1+BIN2DEC(MID($B914,27,2))),"")</f>
        <v>2</v>
      </c>
      <c r="P914" s="6">
        <f t="shared" si="92"/>
        <v>1</v>
      </c>
      <c r="Q914" t="str">
        <f t="shared" si="95"/>
        <v/>
      </c>
      <c r="R914" t="str">
        <f t="shared" si="96"/>
        <v/>
      </c>
      <c r="S914" t="str" cm="1">
        <f t="array" ref="S914">IF(M914="Control",INDEX(IC!A:A,1+BIN2DEC(MID($B914,21,4))),"")</f>
        <v/>
      </c>
      <c r="T914" t="str" cm="1">
        <f t="array" ref="T914">IF(M914="Control",INDEX(EC!A:A,1+BIN2DEC(MID($B914,25,3))),"")</f>
        <v/>
      </c>
      <c r="U914" t="str" cm="1">
        <f t="array" ref="U914">IF(M914="Control",INDEX(SR!A:A,1+BIN2DEC(MID($B914,28,2))),"")</f>
        <v/>
      </c>
      <c r="W914">
        <v>8080</v>
      </c>
      <c r="X914" t="s">
        <v>1080</v>
      </c>
      <c r="AD914" s="1" t="s">
        <v>844</v>
      </c>
    </row>
    <row r="915" spans="1:30" x14ac:dyDescent="0.25">
      <c r="A915" s="4" t="str">
        <f t="shared" si="93"/>
        <v>391</v>
      </c>
      <c r="B915" s="2" t="s">
        <v>88</v>
      </c>
      <c r="C915" s="3"/>
      <c r="D915" s="3"/>
      <c r="E915" s="3"/>
      <c r="F915" s="27" t="str" cm="1">
        <f t="array" ref="F915">INDEX(Sources!A:A, 1 + BIN2DEC(LEFT($B915,5)))</f>
        <v>SIGMA</v>
      </c>
      <c r="G915" s="27" t="str" cm="1">
        <f t="array" ref="G915">INDEX(Dest1!A:A,1+BIN2DEC(MID($B915,6,5)))</f>
        <v>REG</v>
      </c>
      <c r="H915" s="27" t="str" cm="1">
        <f t="array" ref="H915">INDEX(Source2!A:A,1+BIN2DEC(MID($B915,11,4)))</f>
        <v>--</v>
      </c>
      <c r="I915" s="23" cm="1">
        <f t="array" ref="I915">INDEX('D2'!A:A,1+BIN2DEC(MID($B915,16,2)))</f>
        <v>0</v>
      </c>
      <c r="J915" s="6">
        <f t="shared" si="94"/>
        <v>0</v>
      </c>
      <c r="K915" s="6">
        <f t="shared" si="90"/>
        <v>0</v>
      </c>
      <c r="L915" s="6">
        <f t="shared" si="91"/>
        <v>0</v>
      </c>
      <c r="M915" s="3" t="str" cm="1">
        <f t="array" ref="M915">INDEX(Types!A:A,1+BIN2DEC(MID($B915,20,2)))</f>
        <v>Control</v>
      </c>
      <c r="N915" s="3" t="str" cm="1">
        <f t="array" ref="N915">IF(M915="ALU",INDEX(ALUOps!A:A,1+BIN2DEC(MID($B915,22,5))),"")</f>
        <v/>
      </c>
      <c r="O915" s="3" t="str" cm="1">
        <f t="array" ref="O915">IF(M915="ALU",INDEX(TMP!A:A,1+BIN2DEC(MID($B915,27,2))),"")</f>
        <v/>
      </c>
      <c r="P915" s="6" t="str">
        <f t="shared" si="92"/>
        <v/>
      </c>
      <c r="Q915" t="str">
        <f t="shared" si="95"/>
        <v/>
      </c>
      <c r="R915" t="str">
        <f t="shared" si="96"/>
        <v/>
      </c>
      <c r="S915" cm="1">
        <f t="array" ref="S915">IF(M915="Control",INDEX(IC!A:A,1+BIN2DEC(MID($B915,21,4))),"")</f>
        <v>0</v>
      </c>
      <c r="T915" cm="1">
        <f t="array" ref="T915">IF(M915="Control",INDEX(EC!A:A,1+BIN2DEC(MID($B915,25,3))),"")</f>
        <v>0</v>
      </c>
      <c r="U915" cm="1">
        <f t="array" ref="U915">IF(M915="Control",INDEX(SR!A:A,1+BIN2DEC(MID($B915,28,2))),"")</f>
        <v>0</v>
      </c>
    </row>
    <row r="916" spans="1:30" x14ac:dyDescent="0.25">
      <c r="A916" s="4" t="str">
        <f t="shared" si="93"/>
        <v>392</v>
      </c>
      <c r="B916" s="2" t="s">
        <v>4</v>
      </c>
      <c r="C916" s="3"/>
      <c r="D916" s="3"/>
      <c r="E916" s="3"/>
      <c r="F916" s="27" t="str" cm="1">
        <f t="array" ref="F916">INDEX(Sources!A:A, 1 + BIN2DEC(LEFT($B916,5)))</f>
        <v>--</v>
      </c>
      <c r="G916" s="27" t="str" cm="1">
        <f t="array" ref="G916">INDEX(Dest1!A:A,1+BIN2DEC(MID($B916,6,5)))</f>
        <v>--</v>
      </c>
      <c r="H916" s="27" t="str" cm="1">
        <f t="array" ref="H916">INDEX(Source2!A:A,1+BIN2DEC(MID($B916,11,4)))</f>
        <v>--</v>
      </c>
      <c r="I916" s="23" cm="1">
        <f t="array" ref="I916">INDEX('D2'!A:A,1+BIN2DEC(MID($B916,16,2)))</f>
        <v>0</v>
      </c>
      <c r="J916" s="6">
        <f t="shared" si="94"/>
        <v>0</v>
      </c>
      <c r="K916" s="6">
        <f t="shared" si="90"/>
        <v>0</v>
      </c>
      <c r="L916" s="6">
        <f t="shared" si="91"/>
        <v>0</v>
      </c>
      <c r="M916" s="3" t="str" cm="1">
        <f t="array" ref="M916">INDEX(Types!A:A,1+BIN2DEC(MID($B916,20,2)))</f>
        <v>Control</v>
      </c>
      <c r="N916" s="3" t="str" cm="1">
        <f t="array" ref="N916">IF(M916="ALU",INDEX(ALUOps!A:A,1+BIN2DEC(MID($B916,22,5))),"")</f>
        <v/>
      </c>
      <c r="O916" s="3" t="str" cm="1">
        <f t="array" ref="O916">IF(M916="ALU",INDEX(TMP!A:A,1+BIN2DEC(MID($B916,27,2))),"")</f>
        <v/>
      </c>
      <c r="P916" s="6" t="str">
        <f t="shared" si="92"/>
        <v/>
      </c>
      <c r="Q916" t="str">
        <f t="shared" si="95"/>
        <v/>
      </c>
      <c r="R916" t="str">
        <f t="shared" si="96"/>
        <v/>
      </c>
      <c r="S916" cm="1">
        <f t="array" ref="S916">IF(M916="Control",INDEX(IC!A:A,1+BIN2DEC(MID($B916,21,4))),"")</f>
        <v>0</v>
      </c>
      <c r="T916" cm="1">
        <f t="array" ref="T916">IF(M916="Control",INDEX(EC!A:A,1+BIN2DEC(MID($B916,25,3))),"")</f>
        <v>0</v>
      </c>
      <c r="U916" cm="1">
        <f t="array" ref="U916">IF(M916="Control",INDEX(SR!A:A,1+BIN2DEC(MID($B916,28,2))),"")</f>
        <v>0</v>
      </c>
    </row>
    <row r="917" spans="1:30" x14ac:dyDescent="0.25">
      <c r="A917" s="4" t="str">
        <f t="shared" si="93"/>
        <v>393</v>
      </c>
      <c r="B917" s="2" t="s">
        <v>4</v>
      </c>
      <c r="C917" s="3"/>
      <c r="D917" s="3"/>
      <c r="E917" s="3"/>
      <c r="F917" s="27" t="str" cm="1">
        <f t="array" ref="F917">INDEX(Sources!A:A, 1 + BIN2DEC(LEFT($B917,5)))</f>
        <v>--</v>
      </c>
      <c r="G917" s="27" t="str" cm="1">
        <f t="array" ref="G917">INDEX(Dest1!A:A,1+BIN2DEC(MID($B917,6,5)))</f>
        <v>--</v>
      </c>
      <c r="H917" s="27" t="str" cm="1">
        <f t="array" ref="H917">INDEX(Source2!A:A,1+BIN2DEC(MID($B917,11,4)))</f>
        <v>--</v>
      </c>
      <c r="I917" s="23" cm="1">
        <f t="array" ref="I917">INDEX('D2'!A:A,1+BIN2DEC(MID($B917,16,2)))</f>
        <v>0</v>
      </c>
      <c r="J917" s="6">
        <f t="shared" si="94"/>
        <v>0</v>
      </c>
      <c r="K917" s="6">
        <f t="shared" si="90"/>
        <v>0</v>
      </c>
      <c r="L917" s="6">
        <f t="shared" si="91"/>
        <v>0</v>
      </c>
      <c r="M917" s="3" t="str" cm="1">
        <f t="array" ref="M917">INDEX(Types!A:A,1+BIN2DEC(MID($B917,20,2)))</f>
        <v>Control</v>
      </c>
      <c r="N917" s="3" t="str" cm="1">
        <f t="array" ref="N917">IF(M917="ALU",INDEX(ALUOps!A:A,1+BIN2DEC(MID($B917,22,5))),"")</f>
        <v/>
      </c>
      <c r="O917" s="3" t="str" cm="1">
        <f t="array" ref="O917">IF(M917="ALU",INDEX(TMP!A:A,1+BIN2DEC(MID($B917,27,2))),"")</f>
        <v/>
      </c>
      <c r="P917" s="6" t="str">
        <f t="shared" si="92"/>
        <v/>
      </c>
      <c r="Q917" t="str">
        <f t="shared" si="95"/>
        <v/>
      </c>
      <c r="R917" t="str">
        <f t="shared" si="96"/>
        <v/>
      </c>
      <c r="S917" cm="1">
        <f t="array" ref="S917">IF(M917="Control",INDEX(IC!A:A,1+BIN2DEC(MID($B917,21,4))),"")</f>
        <v>0</v>
      </c>
      <c r="T917" cm="1">
        <f t="array" ref="T917">IF(M917="Control",INDEX(EC!A:A,1+BIN2DEC(MID($B917,25,3))),"")</f>
        <v>0</v>
      </c>
      <c r="U917" cm="1">
        <f t="array" ref="U917">IF(M917="Control",INDEX(SR!A:A,1+BIN2DEC(MID($B917,28,2))),"")</f>
        <v>0</v>
      </c>
    </row>
    <row r="918" spans="1:30" x14ac:dyDescent="0.25">
      <c r="A918" s="4" t="str">
        <f t="shared" si="93"/>
        <v>394</v>
      </c>
      <c r="B918" s="2" t="s">
        <v>848</v>
      </c>
      <c r="C918" s="2" t="s">
        <v>846</v>
      </c>
      <c r="D918" s="2" t="s">
        <v>937</v>
      </c>
      <c r="E918" s="2" t="s">
        <v>462</v>
      </c>
      <c r="F918" s="27" t="str" cm="1">
        <f t="array" ref="F918">INDEX(Sources!A:A, 1 + BIN2DEC(LEFT($B918,5)))</f>
        <v>OPR</v>
      </c>
      <c r="G918" s="27" t="str" cm="1">
        <f t="array" ref="G918">INDEX(Dest1!A:A,1+BIN2DEC(MID($B918,6,5)))</f>
        <v>TMPB</v>
      </c>
      <c r="H918" s="27" t="str" cm="1">
        <f t="array" ref="H918">INDEX(Source2!A:A,1+BIN2DEC(MID($B918,11,4)))</f>
        <v>7</v>
      </c>
      <c r="I918" s="23" cm="1">
        <f t="array" ref="I918">INDEX('D2'!A:A,1+BIN2DEC(MID($B918,16,2)))</f>
        <v>0</v>
      </c>
      <c r="J918" s="6">
        <f t="shared" si="94"/>
        <v>0</v>
      </c>
      <c r="K918" s="6">
        <f t="shared" si="90"/>
        <v>0</v>
      </c>
      <c r="L918" s="6">
        <f t="shared" si="91"/>
        <v>0</v>
      </c>
      <c r="M918" s="3" t="str" cm="1">
        <f t="array" ref="M918">INDEX(Types!A:A,1+BIN2DEC(MID($B918,20,2)))</f>
        <v>ALU</v>
      </c>
      <c r="N918" s="3" cm="1">
        <f t="array" ref="N918">IF(M918="ALU",INDEX(ALUOps!A:A,1+BIN2DEC(MID($B918,22,5))),"")</f>
        <v>9</v>
      </c>
      <c r="O918" s="3" cm="1">
        <f t="array" ref="O918">IF(M918="ALU",INDEX(TMP!A:A,1+BIN2DEC(MID($B918,27,2))),"")</f>
        <v>3</v>
      </c>
      <c r="P918" s="6">
        <f t="shared" si="92"/>
        <v>1</v>
      </c>
      <c r="Q918" t="str">
        <f t="shared" si="95"/>
        <v/>
      </c>
      <c r="R918" t="str">
        <f t="shared" si="96"/>
        <v/>
      </c>
      <c r="S918" t="str" cm="1">
        <f t="array" ref="S918">IF(M918="Control",INDEX(IC!A:A,1+BIN2DEC(MID($B918,21,4))),"")</f>
        <v/>
      </c>
      <c r="T918" t="str" cm="1">
        <f t="array" ref="T918">IF(M918="Control",INDEX(EC!A:A,1+BIN2DEC(MID($B918,25,3))),"")</f>
        <v/>
      </c>
      <c r="U918" t="str" cm="1">
        <f t="array" ref="U918">IF(M918="Control",INDEX(SR!A:A,1+BIN2DEC(MID($B918,28,2))),"")</f>
        <v/>
      </c>
      <c r="W918">
        <v>8080</v>
      </c>
      <c r="X918" t="s">
        <v>1081</v>
      </c>
      <c r="AD918" s="1" t="s">
        <v>847</v>
      </c>
    </row>
    <row r="919" spans="1:30" x14ac:dyDescent="0.25">
      <c r="A919" s="4" t="str">
        <f t="shared" si="93"/>
        <v>395</v>
      </c>
      <c r="B919" s="2" t="s">
        <v>851</v>
      </c>
      <c r="C919" s="3"/>
      <c r="D919" s="3"/>
      <c r="E919" s="3"/>
      <c r="F919" s="27" t="str" cm="1">
        <f t="array" ref="F919">INDEX(Sources!A:A, 1 + BIN2DEC(LEFT($B919,5)))</f>
        <v>UNK4</v>
      </c>
      <c r="G919" s="27" t="str" cm="1">
        <f t="array" ref="G919">INDEX(Dest1!A:A,1+BIN2DEC(MID($B919,6,5)))</f>
        <v>UNK26</v>
      </c>
      <c r="H919" s="27" t="str" cm="1">
        <f t="array" ref="H919">INDEX(Source2!A:A,1+BIN2DEC(MID($B919,11,4)))</f>
        <v>--</v>
      </c>
      <c r="I919" s="23" cm="1">
        <f t="array" ref="I919">INDEX('D2'!A:A,1+BIN2DEC(MID($B919,16,2)))</f>
        <v>0</v>
      </c>
      <c r="J919" s="6">
        <f t="shared" si="94"/>
        <v>0</v>
      </c>
      <c r="K919" s="6">
        <f t="shared" si="90"/>
        <v>0</v>
      </c>
      <c r="L919" s="6">
        <f t="shared" si="91"/>
        <v>1</v>
      </c>
      <c r="M919" s="3" t="str" cm="1">
        <f t="array" ref="M919">INDEX(Types!A:A,1+BIN2DEC(MID($B919,20,2)))</f>
        <v>Control</v>
      </c>
      <c r="N919" s="3" t="str" cm="1">
        <f t="array" ref="N919">IF(M919="ALU",INDEX(ALUOps!A:A,1+BIN2DEC(MID($B919,22,5))),"")</f>
        <v/>
      </c>
      <c r="O919" s="3" t="str" cm="1">
        <f t="array" ref="O919">IF(M919="ALU",INDEX(TMP!A:A,1+BIN2DEC(MID($B919,27,2))),"")</f>
        <v/>
      </c>
      <c r="P919" s="6" t="str">
        <f t="shared" si="92"/>
        <v/>
      </c>
      <c r="Q919" t="str">
        <f t="shared" si="95"/>
        <v/>
      </c>
      <c r="R919" t="str">
        <f t="shared" si="96"/>
        <v/>
      </c>
      <c r="S919" cm="1">
        <f t="array" ref="S919">IF(M919="Control",INDEX(IC!A:A,1+BIN2DEC(MID($B919,21,4))),"")</f>
        <v>0</v>
      </c>
      <c r="T919" cm="1">
        <f t="array" ref="T919">IF(M919="Control",INDEX(EC!A:A,1+BIN2DEC(MID($B919,25,3))),"")</f>
        <v>0</v>
      </c>
      <c r="U919" cm="1">
        <f t="array" ref="U919">IF(M919="Control",INDEX(SR!A:A,1+BIN2DEC(MID($B919,28,2))),"")</f>
        <v>0</v>
      </c>
    </row>
    <row r="920" spans="1:30" x14ac:dyDescent="0.25">
      <c r="A920" s="4" t="str">
        <f t="shared" si="93"/>
        <v>396</v>
      </c>
      <c r="B920" s="2" t="s">
        <v>287</v>
      </c>
      <c r="C920" s="3"/>
      <c r="D920" s="3"/>
      <c r="E920" s="3"/>
      <c r="F920" s="27" t="str" cm="1">
        <f t="array" ref="F920">INDEX(Sources!A:A, 1 + BIN2DEC(LEFT($B920,5)))</f>
        <v>SIGMA</v>
      </c>
      <c r="G920" s="27" t="str" cm="1">
        <f t="array" ref="G920">INDEX(Dest1!A:A,1+BIN2DEC(MID($B920,6,5)))</f>
        <v>UNK23</v>
      </c>
      <c r="H920" s="27" t="str" cm="1">
        <f t="array" ref="H920">INDEX(Source2!A:A,1+BIN2DEC(MID($B920,11,4)))</f>
        <v>--</v>
      </c>
      <c r="I920" s="23" cm="1">
        <f t="array" ref="I920">INDEX('D2'!A:A,1+BIN2DEC(MID($B920,16,2)))</f>
        <v>0</v>
      </c>
      <c r="J920" s="6">
        <f t="shared" si="94"/>
        <v>0</v>
      </c>
      <c r="K920" s="6">
        <f t="shared" si="90"/>
        <v>1</v>
      </c>
      <c r="L920" s="6">
        <f t="shared" si="91"/>
        <v>0</v>
      </c>
      <c r="M920" s="3" t="str" cm="1">
        <f t="array" ref="M920">INDEX(Types!A:A,1+BIN2DEC(MID($B920,20,2)))</f>
        <v>Control</v>
      </c>
      <c r="N920" s="3" t="str" cm="1">
        <f t="array" ref="N920">IF(M920="ALU",INDEX(ALUOps!A:A,1+BIN2DEC(MID($B920,22,5))),"")</f>
        <v/>
      </c>
      <c r="O920" s="3" t="str" cm="1">
        <f t="array" ref="O920">IF(M920="ALU",INDEX(TMP!A:A,1+BIN2DEC(MID($B920,27,2))),"")</f>
        <v/>
      </c>
      <c r="P920" s="6" t="str">
        <f t="shared" si="92"/>
        <v/>
      </c>
      <c r="Q920" t="str">
        <f t="shared" si="95"/>
        <v/>
      </c>
      <c r="R920" t="str">
        <f t="shared" si="96"/>
        <v/>
      </c>
      <c r="S920" cm="1">
        <f t="array" ref="S920">IF(M920="Control",INDEX(IC!A:A,1+BIN2DEC(MID($B920,21,4))),"")</f>
        <v>0</v>
      </c>
      <c r="T920" cm="1">
        <f t="array" ref="T920">IF(M920="Control",INDEX(EC!A:A,1+BIN2DEC(MID($B920,25,3))),"")</f>
        <v>0</v>
      </c>
      <c r="U920" cm="1">
        <f t="array" ref="U920">IF(M920="Control",INDEX(SR!A:A,1+BIN2DEC(MID($B920,28,2))),"")</f>
        <v>0</v>
      </c>
    </row>
    <row r="921" spans="1:30" x14ac:dyDescent="0.25">
      <c r="A921" s="4" t="str">
        <f t="shared" si="93"/>
        <v>397</v>
      </c>
      <c r="B921" s="2" t="s">
        <v>4</v>
      </c>
      <c r="C921" s="3"/>
      <c r="D921" s="3"/>
      <c r="E921" s="3"/>
      <c r="F921" s="27" t="str" cm="1">
        <f t="array" ref="F921">INDEX(Sources!A:A, 1 + BIN2DEC(LEFT($B921,5)))</f>
        <v>--</v>
      </c>
      <c r="G921" s="27" t="str" cm="1">
        <f t="array" ref="G921">INDEX(Dest1!A:A,1+BIN2DEC(MID($B921,6,5)))</f>
        <v>--</v>
      </c>
      <c r="H921" s="27" t="str" cm="1">
        <f t="array" ref="H921">INDEX(Source2!A:A,1+BIN2DEC(MID($B921,11,4)))</f>
        <v>--</v>
      </c>
      <c r="I921" s="23" cm="1">
        <f t="array" ref="I921">INDEX('D2'!A:A,1+BIN2DEC(MID($B921,16,2)))</f>
        <v>0</v>
      </c>
      <c r="J921" s="6">
        <f t="shared" si="94"/>
        <v>0</v>
      </c>
      <c r="K921" s="6">
        <f t="shared" si="90"/>
        <v>0</v>
      </c>
      <c r="L921" s="6">
        <f t="shared" si="91"/>
        <v>0</v>
      </c>
      <c r="M921" s="3" t="str" cm="1">
        <f t="array" ref="M921">INDEX(Types!A:A,1+BIN2DEC(MID($B921,20,2)))</f>
        <v>Control</v>
      </c>
      <c r="N921" s="3" t="str" cm="1">
        <f t="array" ref="N921">IF(M921="ALU",INDEX(ALUOps!A:A,1+BIN2DEC(MID($B921,22,5))),"")</f>
        <v/>
      </c>
      <c r="O921" s="3" t="str" cm="1">
        <f t="array" ref="O921">IF(M921="ALU",INDEX(TMP!A:A,1+BIN2DEC(MID($B921,27,2))),"")</f>
        <v/>
      </c>
      <c r="P921" s="6" t="str">
        <f t="shared" si="92"/>
        <v/>
      </c>
      <c r="Q921" t="str">
        <f t="shared" si="95"/>
        <v/>
      </c>
      <c r="R921" t="str">
        <f t="shared" si="96"/>
        <v/>
      </c>
      <c r="S921" cm="1">
        <f t="array" ref="S921">IF(M921="Control",INDEX(IC!A:A,1+BIN2DEC(MID($B921,21,4))),"")</f>
        <v>0</v>
      </c>
      <c r="T921" cm="1">
        <f t="array" ref="T921">IF(M921="Control",INDEX(EC!A:A,1+BIN2DEC(MID($B921,25,3))),"")</f>
        <v>0</v>
      </c>
      <c r="U921" cm="1">
        <f t="array" ref="U921">IF(M921="Control",INDEX(SR!A:A,1+BIN2DEC(MID($B921,28,2))),"")</f>
        <v>0</v>
      </c>
    </row>
    <row r="922" spans="1:30" x14ac:dyDescent="0.25">
      <c r="A922" s="4" t="str">
        <f t="shared" si="93"/>
        <v>398</v>
      </c>
      <c r="B922" s="2" t="s">
        <v>852</v>
      </c>
      <c r="C922" s="2" t="s">
        <v>849</v>
      </c>
      <c r="D922" s="2" t="s">
        <v>937</v>
      </c>
      <c r="E922" s="2" t="s">
        <v>462</v>
      </c>
      <c r="F922" s="27" t="str" cm="1">
        <f t="array" ref="F922">INDEX(Sources!A:A, 1 + BIN2DEC(LEFT($B922,5)))</f>
        <v>Q</v>
      </c>
      <c r="G922" s="27" t="str" cm="1">
        <f t="array" ref="G922">INDEX(Dest1!A:A,1+BIN2DEC(MID($B922,6,5)))</f>
        <v>UNK11</v>
      </c>
      <c r="H922" s="27" t="str" cm="1">
        <f t="array" ref="H922">INDEX(Source2!A:A,1+BIN2DEC(MID($B922,11,4)))</f>
        <v>7</v>
      </c>
      <c r="I922" s="23" cm="1">
        <f t="array" ref="I922">INDEX('D2'!A:A,1+BIN2DEC(MID($B922,16,2)))</f>
        <v>0</v>
      </c>
      <c r="J922" s="6">
        <f t="shared" si="94"/>
        <v>0</v>
      </c>
      <c r="K922" s="6">
        <f t="shared" si="90"/>
        <v>0</v>
      </c>
      <c r="L922" s="6">
        <f t="shared" si="91"/>
        <v>0</v>
      </c>
      <c r="M922" s="3" t="str" cm="1">
        <f t="array" ref="M922">INDEX(Types!A:A,1+BIN2DEC(MID($B922,20,2)))</f>
        <v>ALU</v>
      </c>
      <c r="N922" s="3" cm="1">
        <f t="array" ref="N922">IF(M922="ALU",INDEX(ALUOps!A:A,1+BIN2DEC(MID($B922,22,5))),"")</f>
        <v>9</v>
      </c>
      <c r="O922" s="3" cm="1">
        <f t="array" ref="O922">IF(M922="ALU",INDEX(TMP!A:A,1+BIN2DEC(MID($B922,27,2))),"")</f>
        <v>3</v>
      </c>
      <c r="P922" s="6">
        <f t="shared" si="92"/>
        <v>1</v>
      </c>
      <c r="Q922" t="str">
        <f t="shared" si="95"/>
        <v/>
      </c>
      <c r="R922" t="str">
        <f t="shared" si="96"/>
        <v/>
      </c>
      <c r="S922" t="str" cm="1">
        <f t="array" ref="S922">IF(M922="Control",INDEX(IC!A:A,1+BIN2DEC(MID($B922,21,4))),"")</f>
        <v/>
      </c>
      <c r="T922" t="str" cm="1">
        <f t="array" ref="T922">IF(M922="Control",INDEX(EC!A:A,1+BIN2DEC(MID($B922,25,3))),"")</f>
        <v/>
      </c>
      <c r="U922" t="str" cm="1">
        <f t="array" ref="U922">IF(M922="Control",INDEX(SR!A:A,1+BIN2DEC(MID($B922,28,2))),"")</f>
        <v/>
      </c>
      <c r="W922">
        <v>8080</v>
      </c>
      <c r="X922" t="s">
        <v>1082</v>
      </c>
      <c r="AD922" s="1" t="s">
        <v>850</v>
      </c>
    </row>
    <row r="923" spans="1:30" x14ac:dyDescent="0.25">
      <c r="A923" s="4" t="str">
        <f t="shared" si="93"/>
        <v>399</v>
      </c>
      <c r="B923" s="2" t="s">
        <v>855</v>
      </c>
      <c r="C923" s="3"/>
      <c r="D923" s="3"/>
      <c r="E923" s="3"/>
      <c r="F923" s="27" t="str" cm="1">
        <f t="array" ref="F923">INDEX(Sources!A:A, 1 + BIN2DEC(LEFT($B923,5)))</f>
        <v>SIGMA</v>
      </c>
      <c r="G923" s="27" t="str" cm="1">
        <f t="array" ref="G923">INDEX(Dest1!A:A,1+BIN2DEC(MID($B923,6,5)))</f>
        <v>UNK23</v>
      </c>
      <c r="H923" s="27" t="str" cm="1">
        <f t="array" ref="H923">INDEX(Source2!A:A,1+BIN2DEC(MID($B923,11,4)))</f>
        <v>--</v>
      </c>
      <c r="I923" s="23" cm="1">
        <f t="array" ref="I923">INDEX('D2'!A:A,1+BIN2DEC(MID($B923,16,2)))</f>
        <v>0</v>
      </c>
      <c r="J923" s="6">
        <f t="shared" si="94"/>
        <v>0</v>
      </c>
      <c r="K923" s="6">
        <f t="shared" si="90"/>
        <v>1</v>
      </c>
      <c r="L923" s="6">
        <f t="shared" si="91"/>
        <v>1</v>
      </c>
      <c r="M923" s="3" t="str" cm="1">
        <f t="array" ref="M923">INDEX(Types!A:A,1+BIN2DEC(MID($B923,20,2)))</f>
        <v>Control</v>
      </c>
      <c r="N923" s="3" t="str" cm="1">
        <f t="array" ref="N923">IF(M923="ALU",INDEX(ALUOps!A:A,1+BIN2DEC(MID($B923,22,5))),"")</f>
        <v/>
      </c>
      <c r="O923" s="3" t="str" cm="1">
        <f t="array" ref="O923">IF(M923="ALU",INDEX(TMP!A:A,1+BIN2DEC(MID($B923,27,2))),"")</f>
        <v/>
      </c>
      <c r="P923" s="6" t="str">
        <f t="shared" si="92"/>
        <v/>
      </c>
      <c r="Q923" t="str">
        <f t="shared" si="95"/>
        <v/>
      </c>
      <c r="R923" t="str">
        <f t="shared" si="96"/>
        <v/>
      </c>
      <c r="S923" cm="1">
        <f t="array" ref="S923">IF(M923="Control",INDEX(IC!A:A,1+BIN2DEC(MID($B923,21,4))),"")</f>
        <v>0</v>
      </c>
      <c r="T923" cm="1">
        <f t="array" ref="T923">IF(M923="Control",INDEX(EC!A:A,1+BIN2DEC(MID($B923,25,3))),"")</f>
        <v>0</v>
      </c>
      <c r="U923" cm="1">
        <f t="array" ref="U923">IF(M923="Control",INDEX(SR!A:A,1+BIN2DEC(MID($B923,28,2))),"")</f>
        <v>0</v>
      </c>
    </row>
    <row r="924" spans="1:30" x14ac:dyDescent="0.25">
      <c r="A924" s="4" t="str">
        <f t="shared" si="93"/>
        <v>39A</v>
      </c>
      <c r="B924" s="2" t="s">
        <v>4</v>
      </c>
      <c r="C924" s="3"/>
      <c r="D924" s="3"/>
      <c r="E924" s="3"/>
      <c r="F924" s="27" t="str" cm="1">
        <f t="array" ref="F924">INDEX(Sources!A:A, 1 + BIN2DEC(LEFT($B924,5)))</f>
        <v>--</v>
      </c>
      <c r="G924" s="27" t="str" cm="1">
        <f t="array" ref="G924">INDEX(Dest1!A:A,1+BIN2DEC(MID($B924,6,5)))</f>
        <v>--</v>
      </c>
      <c r="H924" s="27" t="str" cm="1">
        <f t="array" ref="H924">INDEX(Source2!A:A,1+BIN2DEC(MID($B924,11,4)))</f>
        <v>--</v>
      </c>
      <c r="I924" s="23" cm="1">
        <f t="array" ref="I924">INDEX('D2'!A:A,1+BIN2DEC(MID($B924,16,2)))</f>
        <v>0</v>
      </c>
      <c r="J924" s="6">
        <f t="shared" si="94"/>
        <v>0</v>
      </c>
      <c r="K924" s="6">
        <f t="shared" si="90"/>
        <v>0</v>
      </c>
      <c r="L924" s="6">
        <f t="shared" si="91"/>
        <v>0</v>
      </c>
      <c r="M924" s="3" t="str" cm="1">
        <f t="array" ref="M924">INDEX(Types!A:A,1+BIN2DEC(MID($B924,20,2)))</f>
        <v>Control</v>
      </c>
      <c r="N924" s="3" t="str" cm="1">
        <f t="array" ref="N924">IF(M924="ALU",INDEX(ALUOps!A:A,1+BIN2DEC(MID($B924,22,5))),"")</f>
        <v/>
      </c>
      <c r="O924" s="3" t="str" cm="1">
        <f t="array" ref="O924">IF(M924="ALU",INDEX(TMP!A:A,1+BIN2DEC(MID($B924,27,2))),"")</f>
        <v/>
      </c>
      <c r="P924" s="6" t="str">
        <f t="shared" si="92"/>
        <v/>
      </c>
      <c r="Q924" t="str">
        <f t="shared" si="95"/>
        <v/>
      </c>
      <c r="R924" t="str">
        <f t="shared" si="96"/>
        <v/>
      </c>
      <c r="S924" cm="1">
        <f t="array" ref="S924">IF(M924="Control",INDEX(IC!A:A,1+BIN2DEC(MID($B924,21,4))),"")</f>
        <v>0</v>
      </c>
      <c r="T924" cm="1">
        <f t="array" ref="T924">IF(M924="Control",INDEX(EC!A:A,1+BIN2DEC(MID($B924,25,3))),"")</f>
        <v>0</v>
      </c>
      <c r="U924" cm="1">
        <f t="array" ref="U924">IF(M924="Control",INDEX(SR!A:A,1+BIN2DEC(MID($B924,28,2))),"")</f>
        <v>0</v>
      </c>
    </row>
    <row r="925" spans="1:30" x14ac:dyDescent="0.25">
      <c r="A925" s="4" t="str">
        <f t="shared" si="93"/>
        <v>39B</v>
      </c>
      <c r="B925" s="2" t="s">
        <v>4</v>
      </c>
      <c r="C925" s="3"/>
      <c r="D925" s="3"/>
      <c r="E925" s="3"/>
      <c r="F925" s="27" t="str" cm="1">
        <f t="array" ref="F925">INDEX(Sources!A:A, 1 + BIN2DEC(LEFT($B925,5)))</f>
        <v>--</v>
      </c>
      <c r="G925" s="27" t="str" cm="1">
        <f t="array" ref="G925">INDEX(Dest1!A:A,1+BIN2DEC(MID($B925,6,5)))</f>
        <v>--</v>
      </c>
      <c r="H925" s="27" t="str" cm="1">
        <f t="array" ref="H925">INDEX(Source2!A:A,1+BIN2DEC(MID($B925,11,4)))</f>
        <v>--</v>
      </c>
      <c r="I925" s="23" cm="1">
        <f t="array" ref="I925">INDEX('D2'!A:A,1+BIN2DEC(MID($B925,16,2)))</f>
        <v>0</v>
      </c>
      <c r="J925" s="6">
        <f t="shared" si="94"/>
        <v>0</v>
      </c>
      <c r="K925" s="6">
        <f t="shared" si="90"/>
        <v>0</v>
      </c>
      <c r="L925" s="6">
        <f t="shared" si="91"/>
        <v>0</v>
      </c>
      <c r="M925" s="3" t="str" cm="1">
        <f t="array" ref="M925">INDEX(Types!A:A,1+BIN2DEC(MID($B925,20,2)))</f>
        <v>Control</v>
      </c>
      <c r="N925" s="3" t="str" cm="1">
        <f t="array" ref="N925">IF(M925="ALU",INDEX(ALUOps!A:A,1+BIN2DEC(MID($B925,22,5))),"")</f>
        <v/>
      </c>
      <c r="O925" s="3" t="str" cm="1">
        <f t="array" ref="O925">IF(M925="ALU",INDEX(TMP!A:A,1+BIN2DEC(MID($B925,27,2))),"")</f>
        <v/>
      </c>
      <c r="P925" s="6" t="str">
        <f t="shared" si="92"/>
        <v/>
      </c>
      <c r="Q925" t="str">
        <f t="shared" si="95"/>
        <v/>
      </c>
      <c r="R925" t="str">
        <f t="shared" si="96"/>
        <v/>
      </c>
      <c r="S925" cm="1">
        <f t="array" ref="S925">IF(M925="Control",INDEX(IC!A:A,1+BIN2DEC(MID($B925,21,4))),"")</f>
        <v>0</v>
      </c>
      <c r="T925" cm="1">
        <f t="array" ref="T925">IF(M925="Control",INDEX(EC!A:A,1+BIN2DEC(MID($B925,25,3))),"")</f>
        <v>0</v>
      </c>
      <c r="U925" cm="1">
        <f t="array" ref="U925">IF(M925="Control",INDEX(SR!A:A,1+BIN2DEC(MID($B925,28,2))),"")</f>
        <v>0</v>
      </c>
    </row>
    <row r="926" spans="1:30" x14ac:dyDescent="0.25">
      <c r="A926" s="4" t="str">
        <f t="shared" si="93"/>
        <v>39C</v>
      </c>
      <c r="B926" s="2" t="s">
        <v>856</v>
      </c>
      <c r="C926" s="2" t="s">
        <v>853</v>
      </c>
      <c r="D926" s="2" t="s">
        <v>937</v>
      </c>
      <c r="E926" s="2" t="s">
        <v>462</v>
      </c>
      <c r="F926" s="27" t="str" cm="1">
        <f t="array" ref="F926">INDEX(Sources!A:A, 1 + BIN2DEC(LEFT($B926,5)))</f>
        <v>REG</v>
      </c>
      <c r="G926" s="27" t="str" cm="1">
        <f t="array" ref="G926">INDEX(Dest1!A:A,1+BIN2DEC(MID($B926,6,5)))</f>
        <v>TMPB</v>
      </c>
      <c r="H926" s="27" t="str" cm="1">
        <f t="array" ref="H926">INDEX(Source2!A:A,1+BIN2DEC(MID($B926,11,4)))</f>
        <v>4</v>
      </c>
      <c r="I926" s="23" cm="1">
        <f t="array" ref="I926">INDEX('D2'!A:A,1+BIN2DEC(MID($B926,16,2)))</f>
        <v>0</v>
      </c>
      <c r="J926" s="6">
        <f t="shared" si="94"/>
        <v>0</v>
      </c>
      <c r="K926" s="6">
        <f t="shared" si="90"/>
        <v>0</v>
      </c>
      <c r="L926" s="6">
        <f t="shared" si="91"/>
        <v>0</v>
      </c>
      <c r="M926" s="3" t="str" cm="1">
        <f t="array" ref="M926">INDEX(Types!A:A,1+BIN2DEC(MID($B926,20,2)))</f>
        <v>ALU</v>
      </c>
      <c r="N926" s="3" cm="1">
        <f t="array" ref="N926">IF(M926="ALU",INDEX(ALUOps!A:A,1+BIN2DEC(MID($B926,22,5))),"")</f>
        <v>31</v>
      </c>
      <c r="O926" s="3" cm="1">
        <f t="array" ref="O926">IF(M926="ALU",INDEX(TMP!A:A,1+BIN2DEC(MID($B926,27,2))),"")</f>
        <v>3</v>
      </c>
      <c r="P926" s="6">
        <f t="shared" si="92"/>
        <v>1</v>
      </c>
      <c r="Q926" t="str">
        <f t="shared" si="95"/>
        <v/>
      </c>
      <c r="R926" t="str">
        <f t="shared" si="96"/>
        <v/>
      </c>
      <c r="S926" t="str" cm="1">
        <f t="array" ref="S926">IF(M926="Control",INDEX(IC!A:A,1+BIN2DEC(MID($B926,21,4))),"")</f>
        <v/>
      </c>
      <c r="T926" t="str" cm="1">
        <f t="array" ref="T926">IF(M926="Control",INDEX(EC!A:A,1+BIN2DEC(MID($B926,25,3))),"")</f>
        <v/>
      </c>
      <c r="U926" t="str" cm="1">
        <f t="array" ref="U926">IF(M926="Control",INDEX(SR!A:A,1+BIN2DEC(MID($B926,28,2))),"")</f>
        <v/>
      </c>
      <c r="W926">
        <v>8080</v>
      </c>
      <c r="X926" t="s">
        <v>1083</v>
      </c>
      <c r="AD926" s="1" t="s">
        <v>854</v>
      </c>
    </row>
    <row r="927" spans="1:30" x14ac:dyDescent="0.25">
      <c r="A927" s="4" t="str">
        <f t="shared" si="93"/>
        <v>39D</v>
      </c>
      <c r="B927" s="2" t="s">
        <v>858</v>
      </c>
      <c r="C927" s="3"/>
      <c r="D927" s="3"/>
      <c r="E927" s="3"/>
      <c r="F927" s="27" t="str" cm="1">
        <f t="array" ref="F927">INDEX(Sources!A:A, 1 + BIN2DEC(LEFT($B927,5)))</f>
        <v>SIGMA</v>
      </c>
      <c r="G927" s="27" t="str" cm="1">
        <f t="array" ref="G927">INDEX(Dest1!A:A,1+BIN2DEC(MID($B927,6,5)))</f>
        <v>UNK4</v>
      </c>
      <c r="H927" s="27" t="str" cm="1">
        <f t="array" ref="H927">INDEX(Source2!A:A,1+BIN2DEC(MID($B927,11,4)))</f>
        <v>--</v>
      </c>
      <c r="I927" s="23" cm="1">
        <f t="array" ref="I927">INDEX('D2'!A:A,1+BIN2DEC(MID($B927,16,2)))</f>
        <v>0</v>
      </c>
      <c r="J927" s="6">
        <f t="shared" si="94"/>
        <v>0</v>
      </c>
      <c r="K927" s="6">
        <f t="shared" si="90"/>
        <v>0</v>
      </c>
      <c r="L927" s="6">
        <f t="shared" si="91"/>
        <v>1</v>
      </c>
      <c r="M927" s="3" t="str" cm="1">
        <f t="array" ref="M927">INDEX(Types!A:A,1+BIN2DEC(MID($B927,20,2)))</f>
        <v>Control</v>
      </c>
      <c r="N927" s="3" t="str" cm="1">
        <f t="array" ref="N927">IF(M927="ALU",INDEX(ALUOps!A:A,1+BIN2DEC(MID($B927,22,5))),"")</f>
        <v/>
      </c>
      <c r="O927" s="3" t="str" cm="1">
        <f t="array" ref="O927">IF(M927="ALU",INDEX(TMP!A:A,1+BIN2DEC(MID($B927,27,2))),"")</f>
        <v/>
      </c>
      <c r="P927" s="6" t="str">
        <f t="shared" si="92"/>
        <v/>
      </c>
      <c r="Q927" t="str">
        <f t="shared" si="95"/>
        <v/>
      </c>
      <c r="R927" t="str">
        <f t="shared" si="96"/>
        <v/>
      </c>
      <c r="S927" cm="1">
        <f t="array" ref="S927">IF(M927="Control",INDEX(IC!A:A,1+BIN2DEC(MID($B927,21,4))),"")</f>
        <v>0</v>
      </c>
      <c r="T927" cm="1">
        <f t="array" ref="T927">IF(M927="Control",INDEX(EC!A:A,1+BIN2DEC(MID($B927,25,3))),"")</f>
        <v>0</v>
      </c>
      <c r="U927" cm="1">
        <f t="array" ref="U927">IF(M927="Control",INDEX(SR!A:A,1+BIN2DEC(MID($B927,28,2))),"")</f>
        <v>0</v>
      </c>
    </row>
    <row r="928" spans="1:30" x14ac:dyDescent="0.25">
      <c r="A928" s="4" t="str">
        <f t="shared" si="93"/>
        <v>39E</v>
      </c>
      <c r="B928" s="2" t="s">
        <v>4</v>
      </c>
      <c r="C928" s="3"/>
      <c r="D928" s="3"/>
      <c r="E928" s="3"/>
      <c r="F928" s="27" t="str" cm="1">
        <f t="array" ref="F928">INDEX(Sources!A:A, 1 + BIN2DEC(LEFT($B928,5)))</f>
        <v>--</v>
      </c>
      <c r="G928" s="27" t="str" cm="1">
        <f t="array" ref="G928">INDEX(Dest1!A:A,1+BIN2DEC(MID($B928,6,5)))</f>
        <v>--</v>
      </c>
      <c r="H928" s="27" t="str" cm="1">
        <f t="array" ref="H928">INDEX(Source2!A:A,1+BIN2DEC(MID($B928,11,4)))</f>
        <v>--</v>
      </c>
      <c r="I928" s="23" cm="1">
        <f t="array" ref="I928">INDEX('D2'!A:A,1+BIN2DEC(MID($B928,16,2)))</f>
        <v>0</v>
      </c>
      <c r="J928" s="6">
        <f t="shared" si="94"/>
        <v>0</v>
      </c>
      <c r="K928" s="6">
        <f t="shared" si="90"/>
        <v>0</v>
      </c>
      <c r="L928" s="6">
        <f t="shared" si="91"/>
        <v>0</v>
      </c>
      <c r="M928" s="3" t="str" cm="1">
        <f t="array" ref="M928">INDEX(Types!A:A,1+BIN2DEC(MID($B928,20,2)))</f>
        <v>Control</v>
      </c>
      <c r="N928" s="3" t="str" cm="1">
        <f t="array" ref="N928">IF(M928="ALU",INDEX(ALUOps!A:A,1+BIN2DEC(MID($B928,22,5))),"")</f>
        <v/>
      </c>
      <c r="O928" s="3" t="str" cm="1">
        <f t="array" ref="O928">IF(M928="ALU",INDEX(TMP!A:A,1+BIN2DEC(MID($B928,27,2))),"")</f>
        <v/>
      </c>
      <c r="P928" s="6" t="str">
        <f t="shared" si="92"/>
        <v/>
      </c>
      <c r="Q928" t="str">
        <f t="shared" si="95"/>
        <v/>
      </c>
      <c r="R928" t="str">
        <f t="shared" si="96"/>
        <v/>
      </c>
      <c r="S928" cm="1">
        <f t="array" ref="S928">IF(M928="Control",INDEX(IC!A:A,1+BIN2DEC(MID($B928,21,4))),"")</f>
        <v>0</v>
      </c>
      <c r="T928" cm="1">
        <f t="array" ref="T928">IF(M928="Control",INDEX(EC!A:A,1+BIN2DEC(MID($B928,25,3))),"")</f>
        <v>0</v>
      </c>
      <c r="U928" cm="1">
        <f t="array" ref="U928">IF(M928="Control",INDEX(SR!A:A,1+BIN2DEC(MID($B928,28,2))),"")</f>
        <v>0</v>
      </c>
    </row>
    <row r="929" spans="1:30" x14ac:dyDescent="0.25">
      <c r="A929" s="4" t="str">
        <f t="shared" si="93"/>
        <v>39F</v>
      </c>
      <c r="B929" s="2" t="s">
        <v>4</v>
      </c>
      <c r="C929" s="3"/>
      <c r="D929" s="3"/>
      <c r="E929" s="3"/>
      <c r="F929" s="27" t="str" cm="1">
        <f t="array" ref="F929">INDEX(Sources!A:A, 1 + BIN2DEC(LEFT($B929,5)))</f>
        <v>--</v>
      </c>
      <c r="G929" s="27" t="str" cm="1">
        <f t="array" ref="G929">INDEX(Dest1!A:A,1+BIN2DEC(MID($B929,6,5)))</f>
        <v>--</v>
      </c>
      <c r="H929" s="27" t="str" cm="1">
        <f t="array" ref="H929">INDEX(Source2!A:A,1+BIN2DEC(MID($B929,11,4)))</f>
        <v>--</v>
      </c>
      <c r="I929" s="23" cm="1">
        <f t="array" ref="I929">INDEX('D2'!A:A,1+BIN2DEC(MID($B929,16,2)))</f>
        <v>0</v>
      </c>
      <c r="J929" s="6">
        <f t="shared" si="94"/>
        <v>0</v>
      </c>
      <c r="K929" s="6">
        <f t="shared" si="90"/>
        <v>0</v>
      </c>
      <c r="L929" s="6">
        <f t="shared" si="91"/>
        <v>0</v>
      </c>
      <c r="M929" s="3" t="str" cm="1">
        <f t="array" ref="M929">INDEX(Types!A:A,1+BIN2DEC(MID($B929,20,2)))</f>
        <v>Control</v>
      </c>
      <c r="N929" s="3" t="str" cm="1">
        <f t="array" ref="N929">IF(M929="ALU",INDEX(ALUOps!A:A,1+BIN2DEC(MID($B929,22,5))),"")</f>
        <v/>
      </c>
      <c r="O929" s="3" t="str" cm="1">
        <f t="array" ref="O929">IF(M929="ALU",INDEX(TMP!A:A,1+BIN2DEC(MID($B929,27,2))),"")</f>
        <v/>
      </c>
      <c r="P929" s="6" t="str">
        <f t="shared" si="92"/>
        <v/>
      </c>
      <c r="Q929" t="str">
        <f t="shared" si="95"/>
        <v/>
      </c>
      <c r="R929" t="str">
        <f t="shared" si="96"/>
        <v/>
      </c>
      <c r="S929" cm="1">
        <f t="array" ref="S929">IF(M929="Control",INDEX(IC!A:A,1+BIN2DEC(MID($B929,21,4))),"")</f>
        <v>0</v>
      </c>
      <c r="T929" cm="1">
        <f t="array" ref="T929">IF(M929="Control",INDEX(EC!A:A,1+BIN2DEC(MID($B929,25,3))),"")</f>
        <v>0</v>
      </c>
      <c r="U929" cm="1">
        <f t="array" ref="U929">IF(M929="Control",INDEX(SR!A:A,1+BIN2DEC(MID($B929,28,2))),"")</f>
        <v>0</v>
      </c>
    </row>
    <row r="930" spans="1:30" x14ac:dyDescent="0.25">
      <c r="A930" s="4" t="str">
        <f t="shared" si="93"/>
        <v>3A0</v>
      </c>
      <c r="B930" s="2" t="s">
        <v>859</v>
      </c>
      <c r="C930" s="2" t="s">
        <v>857</v>
      </c>
      <c r="D930" s="2" t="s">
        <v>937</v>
      </c>
      <c r="E930" s="2" t="s">
        <v>462</v>
      </c>
      <c r="F930" s="27" t="str" cm="1">
        <f t="array" ref="F930">INDEX(Sources!A:A, 1 + BIN2DEC(LEFT($B930,5)))</f>
        <v>A</v>
      </c>
      <c r="G930" s="27" t="str" cm="1">
        <f t="array" ref="G930">INDEX(Dest1!A:A,1+BIN2DEC(MID($B930,6,5)))</f>
        <v>TMPB</v>
      </c>
      <c r="H930" s="27" t="str" cm="1">
        <f t="array" ref="H930">INDEX(Source2!A:A,1+BIN2DEC(MID($B930,11,4)))</f>
        <v>--</v>
      </c>
      <c r="I930" s="23" cm="1">
        <f t="array" ref="I930">INDEX('D2'!A:A,1+BIN2DEC(MID($B930,16,2)))</f>
        <v>0</v>
      </c>
      <c r="J930" s="6">
        <f t="shared" si="94"/>
        <v>0</v>
      </c>
      <c r="K930" s="6">
        <f t="shared" si="90"/>
        <v>0</v>
      </c>
      <c r="L930" s="6">
        <f t="shared" si="91"/>
        <v>0</v>
      </c>
      <c r="M930" s="3" t="str" cm="1">
        <f t="array" ref="M930">INDEX(Types!A:A,1+BIN2DEC(MID($B930,20,2)))</f>
        <v>ALU</v>
      </c>
      <c r="N930" s="3" cm="1">
        <f t="array" ref="N930">IF(M930="ALU",INDEX(ALUOps!A:A,1+BIN2DEC(MID($B930,22,5))),"")</f>
        <v>11</v>
      </c>
      <c r="O930" s="3" cm="1">
        <f t="array" ref="O930">IF(M930="ALU",INDEX(TMP!A:A,1+BIN2DEC(MID($B930,27,2))),"")</f>
        <v>3</v>
      </c>
      <c r="P930" s="6">
        <f t="shared" si="92"/>
        <v>1</v>
      </c>
      <c r="Q930" t="str">
        <f t="shared" si="95"/>
        <v/>
      </c>
      <c r="R930" t="str">
        <f t="shared" si="96"/>
        <v/>
      </c>
      <c r="S930" t="str" cm="1">
        <f t="array" ref="S930">IF(M930="Control",INDEX(IC!A:A,1+BIN2DEC(MID($B930,21,4))),"")</f>
        <v/>
      </c>
      <c r="T930" t="str" cm="1">
        <f t="array" ref="T930">IF(M930="Control",INDEX(EC!A:A,1+BIN2DEC(MID($B930,25,3))),"")</f>
        <v/>
      </c>
      <c r="U930" t="str" cm="1">
        <f t="array" ref="U930">IF(M930="Control",INDEX(SR!A:A,1+BIN2DEC(MID($B930,28,2))),"")</f>
        <v/>
      </c>
      <c r="W930">
        <v>8080</v>
      </c>
      <c r="X930" t="s">
        <v>974</v>
      </c>
      <c r="AD930" s="1" t="s">
        <v>24</v>
      </c>
    </row>
    <row r="931" spans="1:30" x14ac:dyDescent="0.25">
      <c r="A931" s="4" t="str">
        <f t="shared" si="93"/>
        <v>3A1</v>
      </c>
      <c r="B931" s="2" t="s">
        <v>861</v>
      </c>
      <c r="C931" s="3"/>
      <c r="D931" s="3"/>
      <c r="E931" s="3"/>
      <c r="F931" s="27" t="str" cm="1">
        <f t="array" ref="F931">INDEX(Sources!A:A, 1 + BIN2DEC(LEFT($B931,5)))</f>
        <v>UNK10</v>
      </c>
      <c r="G931" s="27" t="str" cm="1">
        <f t="array" ref="G931">INDEX(Dest1!A:A,1+BIN2DEC(MID($B931,6,5)))</f>
        <v>TMPA</v>
      </c>
      <c r="H931" s="27" t="str" cm="1">
        <f t="array" ref="H931">INDEX(Source2!A:A,1+BIN2DEC(MID($B931,11,4)))</f>
        <v>--</v>
      </c>
      <c r="I931" s="23" cm="1">
        <f t="array" ref="I931">INDEX('D2'!A:A,1+BIN2DEC(MID($B931,16,2)))</f>
        <v>0</v>
      </c>
      <c r="J931" s="6">
        <f t="shared" si="94"/>
        <v>0</v>
      </c>
      <c r="K931" s="6">
        <f t="shared" si="90"/>
        <v>0</v>
      </c>
      <c r="L931" s="6">
        <f t="shared" si="91"/>
        <v>1</v>
      </c>
      <c r="M931" s="3" t="str" cm="1">
        <f t="array" ref="M931">INDEX(Types!A:A,1+BIN2DEC(MID($B931,20,2)))</f>
        <v>ALU</v>
      </c>
      <c r="N931" s="3" cm="1">
        <f t="array" ref="N931">IF(M931="ALU",INDEX(ALUOps!A:A,1+BIN2DEC(MID($B931,22,5))),"")</f>
        <v>31</v>
      </c>
      <c r="O931" s="3" cm="1">
        <f t="array" ref="O931">IF(M931="ALU",INDEX(TMP!A:A,1+BIN2DEC(MID($B931,27,2))),"")</f>
        <v>3</v>
      </c>
      <c r="P931" s="6">
        <f t="shared" si="92"/>
        <v>1</v>
      </c>
      <c r="Q931" t="str">
        <f t="shared" si="95"/>
        <v/>
      </c>
      <c r="R931" t="str">
        <f t="shared" si="96"/>
        <v/>
      </c>
      <c r="S931" t="str" cm="1">
        <f t="array" ref="S931">IF(M931="Control",INDEX(IC!A:A,1+BIN2DEC(MID($B931,21,4))),"")</f>
        <v/>
      </c>
      <c r="T931" t="str" cm="1">
        <f t="array" ref="T931">IF(M931="Control",INDEX(EC!A:A,1+BIN2DEC(MID($B931,25,3))),"")</f>
        <v/>
      </c>
      <c r="U931" t="str" cm="1">
        <f t="array" ref="U931">IF(M931="Control",INDEX(SR!A:A,1+BIN2DEC(MID($B931,28,2))),"")</f>
        <v/>
      </c>
    </row>
    <row r="932" spans="1:30" x14ac:dyDescent="0.25">
      <c r="A932" s="4" t="str">
        <f t="shared" si="93"/>
        <v>3A2</v>
      </c>
      <c r="B932" s="2" t="s">
        <v>26</v>
      </c>
      <c r="C932" s="3"/>
      <c r="D932" s="3"/>
      <c r="E932" s="3"/>
      <c r="F932" s="27" t="str" cm="1">
        <f t="array" ref="F932">INDEX(Sources!A:A, 1 + BIN2DEC(LEFT($B932,5)))</f>
        <v>SIGMA</v>
      </c>
      <c r="G932" s="27" t="str" cm="1">
        <f t="array" ref="G932">INDEX(Dest1!A:A,1+BIN2DEC(MID($B932,6,5)))</f>
        <v>UNK23</v>
      </c>
      <c r="H932" s="27" t="str" cm="1">
        <f t="array" ref="H932">INDEX(Source2!A:A,1+BIN2DEC(MID($B932,11,4)))</f>
        <v>11</v>
      </c>
      <c r="I932" s="23" cm="1">
        <f t="array" ref="I932">INDEX('D2'!A:A,1+BIN2DEC(MID($B932,16,2)))</f>
        <v>0</v>
      </c>
      <c r="J932" s="6">
        <f t="shared" si="94"/>
        <v>0</v>
      </c>
      <c r="K932" s="6">
        <f t="shared" si="90"/>
        <v>1</v>
      </c>
      <c r="L932" s="6">
        <f t="shared" si="91"/>
        <v>0</v>
      </c>
      <c r="M932" s="3" t="str" cm="1">
        <f t="array" ref="M932">INDEX(Types!A:A,1+BIN2DEC(MID($B932,20,2)))</f>
        <v>Control</v>
      </c>
      <c r="N932" s="3" t="str" cm="1">
        <f t="array" ref="N932">IF(M932="ALU",INDEX(ALUOps!A:A,1+BIN2DEC(MID($B932,22,5))),"")</f>
        <v/>
      </c>
      <c r="O932" s="3" t="str" cm="1">
        <f t="array" ref="O932">IF(M932="ALU",INDEX(TMP!A:A,1+BIN2DEC(MID($B932,27,2))),"")</f>
        <v/>
      </c>
      <c r="P932" s="6" t="str">
        <f t="shared" si="92"/>
        <v/>
      </c>
      <c r="Q932" t="str">
        <f t="shared" si="95"/>
        <v/>
      </c>
      <c r="R932" t="str">
        <f t="shared" si="96"/>
        <v/>
      </c>
      <c r="S932" cm="1">
        <f t="array" ref="S932">IF(M932="Control",INDEX(IC!A:A,1+BIN2DEC(MID($B932,21,4))),"")</f>
        <v>0</v>
      </c>
      <c r="T932" cm="1">
        <f t="array" ref="T932">IF(M932="Control",INDEX(EC!A:A,1+BIN2DEC(MID($B932,25,3))),"")</f>
        <v>0</v>
      </c>
      <c r="U932" cm="1">
        <f t="array" ref="U932">IF(M932="Control",INDEX(SR!A:A,1+BIN2DEC(MID($B932,28,2))),"")</f>
        <v>0</v>
      </c>
    </row>
    <row r="933" spans="1:30" x14ac:dyDescent="0.25">
      <c r="A933" s="4" t="str">
        <f t="shared" si="93"/>
        <v>3A3</v>
      </c>
      <c r="B933" s="2" t="s">
        <v>4</v>
      </c>
      <c r="C933" s="3"/>
      <c r="D933" s="3"/>
      <c r="E933" s="3"/>
      <c r="F933" s="27" t="str" cm="1">
        <f t="array" ref="F933">INDEX(Sources!A:A, 1 + BIN2DEC(LEFT($B933,5)))</f>
        <v>--</v>
      </c>
      <c r="G933" s="27" t="str" cm="1">
        <f t="array" ref="G933">INDEX(Dest1!A:A,1+BIN2DEC(MID($B933,6,5)))</f>
        <v>--</v>
      </c>
      <c r="H933" s="27" t="str" cm="1">
        <f t="array" ref="H933">INDEX(Source2!A:A,1+BIN2DEC(MID($B933,11,4)))</f>
        <v>--</v>
      </c>
      <c r="I933" s="23" cm="1">
        <f t="array" ref="I933">INDEX('D2'!A:A,1+BIN2DEC(MID($B933,16,2)))</f>
        <v>0</v>
      </c>
      <c r="J933" s="6">
        <f t="shared" si="94"/>
        <v>0</v>
      </c>
      <c r="K933" s="6">
        <f t="shared" si="90"/>
        <v>0</v>
      </c>
      <c r="L933" s="6">
        <f t="shared" si="91"/>
        <v>0</v>
      </c>
      <c r="M933" s="3" t="str" cm="1">
        <f t="array" ref="M933">INDEX(Types!A:A,1+BIN2DEC(MID($B933,20,2)))</f>
        <v>Control</v>
      </c>
      <c r="N933" s="3" t="str" cm="1">
        <f t="array" ref="N933">IF(M933="ALU",INDEX(ALUOps!A:A,1+BIN2DEC(MID($B933,22,5))),"")</f>
        <v/>
      </c>
      <c r="O933" s="3" t="str" cm="1">
        <f t="array" ref="O933">IF(M933="ALU",INDEX(TMP!A:A,1+BIN2DEC(MID($B933,27,2))),"")</f>
        <v/>
      </c>
      <c r="P933" s="6" t="str">
        <f t="shared" si="92"/>
        <v/>
      </c>
      <c r="Q933" t="str">
        <f t="shared" si="95"/>
        <v/>
      </c>
      <c r="R933" t="str">
        <f t="shared" si="96"/>
        <v/>
      </c>
      <c r="S933" cm="1">
        <f t="array" ref="S933">IF(M933="Control",INDEX(IC!A:A,1+BIN2DEC(MID($B933,21,4))),"")</f>
        <v>0</v>
      </c>
      <c r="T933" cm="1">
        <f t="array" ref="T933">IF(M933="Control",INDEX(EC!A:A,1+BIN2DEC(MID($B933,25,3))),"")</f>
        <v>0</v>
      </c>
      <c r="U933" cm="1">
        <f t="array" ref="U933">IF(M933="Control",INDEX(SR!A:A,1+BIN2DEC(MID($B933,28,2))),"")</f>
        <v>0</v>
      </c>
    </row>
    <row r="934" spans="1:30" x14ac:dyDescent="0.25">
      <c r="A934" s="4" t="str">
        <f t="shared" si="93"/>
        <v>3A4</v>
      </c>
      <c r="B934" s="2" t="s">
        <v>862</v>
      </c>
      <c r="C934" s="2" t="s">
        <v>860</v>
      </c>
      <c r="D934" s="2" t="s">
        <v>937</v>
      </c>
      <c r="E934" s="2" t="s">
        <v>462</v>
      </c>
      <c r="F934" s="27" t="str" cm="1">
        <f t="array" ref="F934">INDEX(Sources!A:A, 1 + BIN2DEC(LEFT($B934,5)))</f>
        <v>A</v>
      </c>
      <c r="G934" s="27" t="str" cm="1">
        <f t="array" ref="G934">INDEX(Dest1!A:A,1+BIN2DEC(MID($B934,6,5)))</f>
        <v>TMPB</v>
      </c>
      <c r="H934" s="27" t="str" cm="1">
        <f t="array" ref="H934">INDEX(Source2!A:A,1+BIN2DEC(MID($B934,11,4)))</f>
        <v>--</v>
      </c>
      <c r="I934" s="23" cm="1">
        <f t="array" ref="I934">INDEX('D2'!A:A,1+BIN2DEC(MID($B934,16,2)))</f>
        <v>0</v>
      </c>
      <c r="J934" s="6">
        <f t="shared" si="94"/>
        <v>0</v>
      </c>
      <c r="K934" s="6">
        <f t="shared" si="90"/>
        <v>0</v>
      </c>
      <c r="L934" s="6">
        <f t="shared" si="91"/>
        <v>1</v>
      </c>
      <c r="M934" s="3" t="str" cm="1">
        <f t="array" ref="M934">INDEX(Types!A:A,1+BIN2DEC(MID($B934,20,2)))</f>
        <v>ALU</v>
      </c>
      <c r="N934" s="3" cm="1">
        <f t="array" ref="N934">IF(M934="ALU",INDEX(ALUOps!A:A,1+BIN2DEC(MID($B934,22,5))),"")</f>
        <v>5</v>
      </c>
      <c r="O934" s="3" cm="1">
        <f t="array" ref="O934">IF(M934="ALU",INDEX(TMP!A:A,1+BIN2DEC(MID($B934,27,2))),"")</f>
        <v>3</v>
      </c>
      <c r="P934" s="6">
        <f t="shared" si="92"/>
        <v>1</v>
      </c>
      <c r="Q934" t="str">
        <f t="shared" si="95"/>
        <v/>
      </c>
      <c r="R934" t="str">
        <f t="shared" si="96"/>
        <v/>
      </c>
      <c r="S934" t="str" cm="1">
        <f t="array" ref="S934">IF(M934="Control",INDEX(IC!A:A,1+BIN2DEC(MID($B934,21,4))),"")</f>
        <v/>
      </c>
      <c r="T934" t="str" cm="1">
        <f t="array" ref="T934">IF(M934="Control",INDEX(EC!A:A,1+BIN2DEC(MID($B934,25,3))),"")</f>
        <v/>
      </c>
      <c r="U934" t="str" cm="1">
        <f t="array" ref="U934">IF(M934="Control",INDEX(SR!A:A,1+BIN2DEC(MID($B934,28,2))),"")</f>
        <v/>
      </c>
      <c r="W934">
        <v>8080</v>
      </c>
      <c r="X934" t="s">
        <v>1084</v>
      </c>
      <c r="AD934" s="1" t="s">
        <v>28</v>
      </c>
    </row>
    <row r="935" spans="1:30" x14ac:dyDescent="0.25">
      <c r="A935" s="4" t="str">
        <f t="shared" si="93"/>
        <v>3A5</v>
      </c>
      <c r="B935" s="2" t="s">
        <v>864</v>
      </c>
      <c r="C935" s="3"/>
      <c r="D935" s="3"/>
      <c r="E935" s="3"/>
      <c r="F935" s="27" t="str" cm="1">
        <f t="array" ref="F935">INDEX(Sources!A:A, 1 + BIN2DEC(LEFT($B935,5)))</f>
        <v>SIGMA</v>
      </c>
      <c r="G935" s="27" t="str" cm="1">
        <f t="array" ref="G935">INDEX(Dest1!A:A,1+BIN2DEC(MID($B935,6,5)))</f>
        <v>UNK23</v>
      </c>
      <c r="H935" s="27" t="str" cm="1">
        <f t="array" ref="H935">INDEX(Source2!A:A,1+BIN2DEC(MID($B935,11,4)))</f>
        <v>--</v>
      </c>
      <c r="I935" s="23" cm="1">
        <f t="array" ref="I935">INDEX('D2'!A:A,1+BIN2DEC(MID($B935,16,2)))</f>
        <v>0</v>
      </c>
      <c r="J935" s="6">
        <f t="shared" si="94"/>
        <v>0</v>
      </c>
      <c r="K935" s="6">
        <f t="shared" si="90"/>
        <v>0</v>
      </c>
      <c r="L935" s="6">
        <f t="shared" si="91"/>
        <v>0</v>
      </c>
      <c r="M935" s="3" t="str" cm="1">
        <f t="array" ref="M935">INDEX(Types!A:A,1+BIN2DEC(MID($B935,20,2)))</f>
        <v>Control</v>
      </c>
      <c r="N935" s="3" t="str" cm="1">
        <f t="array" ref="N935">IF(M935="ALU",INDEX(ALUOps!A:A,1+BIN2DEC(MID($B935,22,5))),"")</f>
        <v/>
      </c>
      <c r="O935" s="3" t="str" cm="1">
        <f t="array" ref="O935">IF(M935="ALU",INDEX(TMP!A:A,1+BIN2DEC(MID($B935,27,2))),"")</f>
        <v/>
      </c>
      <c r="P935" s="6" t="str">
        <f t="shared" si="92"/>
        <v/>
      </c>
      <c r="Q935" t="str">
        <f t="shared" si="95"/>
        <v/>
      </c>
      <c r="R935" t="str">
        <f t="shared" si="96"/>
        <v/>
      </c>
      <c r="S935" cm="1">
        <f t="array" ref="S935">IF(M935="Control",INDEX(IC!A:A,1+BIN2DEC(MID($B935,21,4))),"")</f>
        <v>0</v>
      </c>
      <c r="T935" cm="1">
        <f t="array" ref="T935">IF(M935="Control",INDEX(EC!A:A,1+BIN2DEC(MID($B935,25,3))),"")</f>
        <v>0</v>
      </c>
      <c r="U935" cm="1">
        <f t="array" ref="U935">IF(M935="Control",INDEX(SR!A:A,1+BIN2DEC(MID($B935,28,2))),"")</f>
        <v>0</v>
      </c>
    </row>
    <row r="936" spans="1:30" x14ac:dyDescent="0.25">
      <c r="A936" s="4" t="str">
        <f t="shared" si="93"/>
        <v>3A6</v>
      </c>
      <c r="B936" s="2" t="s">
        <v>4</v>
      </c>
      <c r="C936" s="3"/>
      <c r="D936" s="3"/>
      <c r="E936" s="3"/>
      <c r="F936" s="27" t="str" cm="1">
        <f t="array" ref="F936">INDEX(Sources!A:A, 1 + BIN2DEC(LEFT($B936,5)))</f>
        <v>--</v>
      </c>
      <c r="G936" s="27" t="str" cm="1">
        <f t="array" ref="G936">INDEX(Dest1!A:A,1+BIN2DEC(MID($B936,6,5)))</f>
        <v>--</v>
      </c>
      <c r="H936" s="27" t="str" cm="1">
        <f t="array" ref="H936">INDEX(Source2!A:A,1+BIN2DEC(MID($B936,11,4)))</f>
        <v>--</v>
      </c>
      <c r="I936" s="23" cm="1">
        <f t="array" ref="I936">INDEX('D2'!A:A,1+BIN2DEC(MID($B936,16,2)))</f>
        <v>0</v>
      </c>
      <c r="J936" s="6">
        <f t="shared" si="94"/>
        <v>0</v>
      </c>
      <c r="K936" s="6">
        <f t="shared" si="90"/>
        <v>0</v>
      </c>
      <c r="L936" s="6">
        <f t="shared" si="91"/>
        <v>0</v>
      </c>
      <c r="M936" s="3" t="str" cm="1">
        <f t="array" ref="M936">INDEX(Types!A:A,1+BIN2DEC(MID($B936,20,2)))</f>
        <v>Control</v>
      </c>
      <c r="N936" s="3" t="str" cm="1">
        <f t="array" ref="N936">IF(M936="ALU",INDEX(ALUOps!A:A,1+BIN2DEC(MID($B936,22,5))),"")</f>
        <v/>
      </c>
      <c r="O936" s="3" t="str" cm="1">
        <f t="array" ref="O936">IF(M936="ALU",INDEX(TMP!A:A,1+BIN2DEC(MID($B936,27,2))),"")</f>
        <v/>
      </c>
      <c r="P936" s="6" t="str">
        <f t="shared" si="92"/>
        <v/>
      </c>
      <c r="Q936" t="str">
        <f t="shared" si="95"/>
        <v/>
      </c>
      <c r="R936" t="str">
        <f t="shared" si="96"/>
        <v/>
      </c>
      <c r="S936" cm="1">
        <f t="array" ref="S936">IF(M936="Control",INDEX(IC!A:A,1+BIN2DEC(MID($B936,21,4))),"")</f>
        <v>0</v>
      </c>
      <c r="T936" cm="1">
        <f t="array" ref="T936">IF(M936="Control",INDEX(EC!A:A,1+BIN2DEC(MID($B936,25,3))),"")</f>
        <v>0</v>
      </c>
      <c r="U936" cm="1">
        <f t="array" ref="U936">IF(M936="Control",INDEX(SR!A:A,1+BIN2DEC(MID($B936,28,2))),"")</f>
        <v>0</v>
      </c>
    </row>
    <row r="937" spans="1:30" x14ac:dyDescent="0.25">
      <c r="A937" s="4" t="str">
        <f t="shared" si="93"/>
        <v>3A7</v>
      </c>
      <c r="B937" s="2" t="s">
        <v>4</v>
      </c>
      <c r="C937" s="3"/>
      <c r="D937" s="3"/>
      <c r="E937" s="3"/>
      <c r="F937" s="27" t="str" cm="1">
        <f t="array" ref="F937">INDEX(Sources!A:A, 1 + BIN2DEC(LEFT($B937,5)))</f>
        <v>--</v>
      </c>
      <c r="G937" s="27" t="str" cm="1">
        <f t="array" ref="G937">INDEX(Dest1!A:A,1+BIN2DEC(MID($B937,6,5)))</f>
        <v>--</v>
      </c>
      <c r="H937" s="27" t="str" cm="1">
        <f t="array" ref="H937">INDEX(Source2!A:A,1+BIN2DEC(MID($B937,11,4)))</f>
        <v>--</v>
      </c>
      <c r="I937" s="23" cm="1">
        <f t="array" ref="I937">INDEX('D2'!A:A,1+BIN2DEC(MID($B937,16,2)))</f>
        <v>0</v>
      </c>
      <c r="J937" s="6">
        <f t="shared" si="94"/>
        <v>0</v>
      </c>
      <c r="K937" s="6">
        <f t="shared" si="90"/>
        <v>0</v>
      </c>
      <c r="L937" s="6">
        <f t="shared" si="91"/>
        <v>0</v>
      </c>
      <c r="M937" s="3" t="str" cm="1">
        <f t="array" ref="M937">INDEX(Types!A:A,1+BIN2DEC(MID($B937,20,2)))</f>
        <v>Control</v>
      </c>
      <c r="N937" s="3" t="str" cm="1">
        <f t="array" ref="N937">IF(M937="ALU",INDEX(ALUOps!A:A,1+BIN2DEC(MID($B937,22,5))),"")</f>
        <v/>
      </c>
      <c r="O937" s="3" t="str" cm="1">
        <f t="array" ref="O937">IF(M937="ALU",INDEX(TMP!A:A,1+BIN2DEC(MID($B937,27,2))),"")</f>
        <v/>
      </c>
      <c r="P937" s="6" t="str">
        <f t="shared" si="92"/>
        <v/>
      </c>
      <c r="Q937" t="str">
        <f t="shared" si="95"/>
        <v/>
      </c>
      <c r="R937" t="str">
        <f t="shared" si="96"/>
        <v/>
      </c>
      <c r="S937" cm="1">
        <f t="array" ref="S937">IF(M937="Control",INDEX(IC!A:A,1+BIN2DEC(MID($B937,21,4))),"")</f>
        <v>0</v>
      </c>
      <c r="T937" cm="1">
        <f t="array" ref="T937">IF(M937="Control",INDEX(EC!A:A,1+BIN2DEC(MID($B937,25,3))),"")</f>
        <v>0</v>
      </c>
      <c r="U937" cm="1">
        <f t="array" ref="U937">IF(M937="Control",INDEX(SR!A:A,1+BIN2DEC(MID($B937,28,2))),"")</f>
        <v>0</v>
      </c>
    </row>
    <row r="938" spans="1:30" x14ac:dyDescent="0.25">
      <c r="A938" s="4" t="str">
        <f t="shared" si="93"/>
        <v>3A8</v>
      </c>
      <c r="B938" s="2" t="s">
        <v>266</v>
      </c>
      <c r="C938" s="2" t="s">
        <v>863</v>
      </c>
      <c r="D938" s="2" t="s">
        <v>937</v>
      </c>
      <c r="E938" s="2" t="s">
        <v>462</v>
      </c>
      <c r="F938" s="27" t="str" cm="1">
        <f t="array" ref="F938">INDEX(Sources!A:A, 1 + BIN2DEC(LEFT($B938,5)))</f>
        <v>REG</v>
      </c>
      <c r="G938" s="27" t="str" cm="1">
        <f t="array" ref="G938">INDEX(Dest1!A:A,1+BIN2DEC(MID($B938,6,5)))</f>
        <v>LC</v>
      </c>
      <c r="H938" s="27" t="str" cm="1">
        <f t="array" ref="H938">INDEX(Source2!A:A,1+BIN2DEC(MID($B938,11,4)))</f>
        <v>15</v>
      </c>
      <c r="I938" s="23" cm="1">
        <f t="array" ref="I938">INDEX('D2'!A:A,1+BIN2DEC(MID($B938,16,2)))</f>
        <v>0</v>
      </c>
      <c r="J938" s="6">
        <f t="shared" si="94"/>
        <v>0</v>
      </c>
      <c r="K938" s="6">
        <f t="shared" si="90"/>
        <v>0</v>
      </c>
      <c r="L938" s="6">
        <f t="shared" si="91"/>
        <v>0</v>
      </c>
      <c r="M938" s="3" t="str" cm="1">
        <f t="array" ref="M938">INDEX(Types!A:A,1+BIN2DEC(MID($B938,20,2)))</f>
        <v>Control</v>
      </c>
      <c r="N938" s="3" t="str" cm="1">
        <f t="array" ref="N938">IF(M938="ALU",INDEX(ALUOps!A:A,1+BIN2DEC(MID($B938,22,5))),"")</f>
        <v/>
      </c>
      <c r="O938" s="3" t="str" cm="1">
        <f t="array" ref="O938">IF(M938="ALU",INDEX(TMP!A:A,1+BIN2DEC(MID($B938,27,2))),"")</f>
        <v/>
      </c>
      <c r="P938" s="6" t="str">
        <f t="shared" si="92"/>
        <v/>
      </c>
      <c r="Q938" t="str">
        <f t="shared" si="95"/>
        <v/>
      </c>
      <c r="R938" t="str">
        <f t="shared" si="96"/>
        <v/>
      </c>
      <c r="S938" cm="1">
        <f t="array" ref="S938">IF(M938="Control",INDEX(IC!A:A,1+BIN2DEC(MID($B938,21,4))),"")</f>
        <v>0</v>
      </c>
      <c r="T938" cm="1">
        <f t="array" ref="T938">IF(M938="Control",INDEX(EC!A:A,1+BIN2DEC(MID($B938,25,3))),"")</f>
        <v>0</v>
      </c>
      <c r="U938" cm="1">
        <f t="array" ref="U938">IF(M938="Control",INDEX(SR!A:A,1+BIN2DEC(MID($B938,28,2))),"")</f>
        <v>0</v>
      </c>
      <c r="W938">
        <v>8080</v>
      </c>
      <c r="X938" t="s">
        <v>1123</v>
      </c>
      <c r="AD938" s="1" t="s">
        <v>13</v>
      </c>
    </row>
    <row r="939" spans="1:30" x14ac:dyDescent="0.25">
      <c r="A939" s="4" t="str">
        <f t="shared" si="93"/>
        <v>3A9</v>
      </c>
      <c r="B939" s="2" t="s">
        <v>736</v>
      </c>
      <c r="C939" s="3"/>
      <c r="D939" s="3"/>
      <c r="E939" s="3"/>
      <c r="F939" s="27" t="str" cm="1">
        <f t="array" ref="F939">INDEX(Sources!A:A, 1 + BIN2DEC(LEFT($B939,5)))</f>
        <v>A</v>
      </c>
      <c r="G939" s="27" t="str" cm="1">
        <f t="array" ref="G939">INDEX(Dest1!A:A,1+BIN2DEC(MID($B939,6,5)))</f>
        <v>TMPA</v>
      </c>
      <c r="H939" s="27" t="str" cm="1">
        <f t="array" ref="H939">INDEX(Source2!A:A,1+BIN2DEC(MID($B939,11,4)))</f>
        <v>--</v>
      </c>
      <c r="I939" s="23" cm="1">
        <f t="array" ref="I939">INDEX('D2'!A:A,1+BIN2DEC(MID($B939,16,2)))</f>
        <v>0</v>
      </c>
      <c r="J939" s="6">
        <f t="shared" si="94"/>
        <v>0</v>
      </c>
      <c r="K939" s="6">
        <f t="shared" si="90"/>
        <v>0</v>
      </c>
      <c r="L939" s="6">
        <f t="shared" si="91"/>
        <v>0</v>
      </c>
      <c r="M939" s="3" t="str" cm="1">
        <f t="array" ref="M939">INDEX(Types!A:A,1+BIN2DEC(MID($B939,20,2)))</f>
        <v>ALU</v>
      </c>
      <c r="N939" s="3" cm="1">
        <f t="array" ref="N939">IF(M939="ALU",INDEX(ALUOps!A:A,1+BIN2DEC(MID($B939,22,5))),"")</f>
        <v>0</v>
      </c>
      <c r="O939" s="3" cm="1">
        <f t="array" ref="O939">IF(M939="ALU",INDEX(TMP!A:A,1+BIN2DEC(MID($B939,27,2))),"")</f>
        <v>2</v>
      </c>
      <c r="P939" s="6">
        <f t="shared" si="92"/>
        <v>1</v>
      </c>
      <c r="Q939" t="str">
        <f t="shared" si="95"/>
        <v/>
      </c>
      <c r="R939" t="str">
        <f t="shared" si="96"/>
        <v/>
      </c>
      <c r="S939" t="str" cm="1">
        <f t="array" ref="S939">IF(M939="Control",INDEX(IC!A:A,1+BIN2DEC(MID($B939,21,4))),"")</f>
        <v/>
      </c>
      <c r="T939" t="str" cm="1">
        <f t="array" ref="T939">IF(M939="Control",INDEX(EC!A:A,1+BIN2DEC(MID($B939,25,3))),"")</f>
        <v/>
      </c>
      <c r="U939" t="str" cm="1">
        <f t="array" ref="U939">IF(M939="Control",INDEX(SR!A:A,1+BIN2DEC(MID($B939,28,2))),"")</f>
        <v/>
      </c>
    </row>
    <row r="940" spans="1:30" x14ac:dyDescent="0.25">
      <c r="A940" s="4" t="str">
        <f t="shared" si="93"/>
        <v>3AA</v>
      </c>
      <c r="B940" s="2" t="s">
        <v>270</v>
      </c>
      <c r="C940" s="3"/>
      <c r="D940" s="3"/>
      <c r="E940" s="3"/>
      <c r="F940" s="27" t="str" cm="1">
        <f t="array" ref="F940">INDEX(Sources!A:A, 1 + BIN2DEC(LEFT($B940,5)))</f>
        <v>SIGMA</v>
      </c>
      <c r="G940" s="27" t="str" cm="1">
        <f t="array" ref="G940">INDEX(Dest1!A:A,1+BIN2DEC(MID($B940,6,5)))</f>
        <v>TMPA</v>
      </c>
      <c r="H940" s="27" t="str" cm="1">
        <f t="array" ref="H940">INDEX(Source2!A:A,1+BIN2DEC(MID($B940,11,4)))</f>
        <v>--</v>
      </c>
      <c r="I940" s="23" cm="1">
        <f t="array" ref="I940">INDEX('D2'!A:A,1+BIN2DEC(MID($B940,16,2)))</f>
        <v>0</v>
      </c>
      <c r="J940" s="6">
        <f t="shared" si="94"/>
        <v>0</v>
      </c>
      <c r="K940" s="6">
        <f t="shared" si="90"/>
        <v>1</v>
      </c>
      <c r="L940" s="6">
        <f t="shared" si="91"/>
        <v>0</v>
      </c>
      <c r="M940" s="3" t="str" cm="1">
        <f t="array" ref="M940">INDEX(Types!A:A,1+BIN2DEC(MID($B940,20,2)))</f>
        <v>ALU</v>
      </c>
      <c r="N940" s="3" cm="1">
        <f t="array" ref="N940">IF(M940="ALU",INDEX(ALUOps!A:A,1+BIN2DEC(MID($B940,22,5))),"")</f>
        <v>9</v>
      </c>
      <c r="O940" s="3" cm="1">
        <f t="array" ref="O940">IF(M940="ALU",INDEX(TMP!A:A,1+BIN2DEC(MID($B940,27,2))),"")</f>
        <v>2</v>
      </c>
      <c r="P940" s="6">
        <f t="shared" si="92"/>
        <v>0</v>
      </c>
      <c r="Q940" t="str">
        <f t="shared" si="95"/>
        <v/>
      </c>
      <c r="R940" t="str">
        <f t="shared" si="96"/>
        <v/>
      </c>
      <c r="S940" t="str" cm="1">
        <f t="array" ref="S940">IF(M940="Control",INDEX(IC!A:A,1+BIN2DEC(MID($B940,21,4))),"")</f>
        <v/>
      </c>
      <c r="T940" t="str" cm="1">
        <f t="array" ref="T940">IF(M940="Control",INDEX(EC!A:A,1+BIN2DEC(MID($B940,25,3))),"")</f>
        <v/>
      </c>
      <c r="U940" t="str" cm="1">
        <f t="array" ref="U940">IF(M940="Control",INDEX(SR!A:A,1+BIN2DEC(MID($B940,28,2))),"")</f>
        <v/>
      </c>
    </row>
    <row r="941" spans="1:30" x14ac:dyDescent="0.25">
      <c r="A941" s="4" t="str">
        <f t="shared" si="93"/>
        <v>3AB</v>
      </c>
      <c r="B941" s="2" t="s">
        <v>866</v>
      </c>
      <c r="C941" s="3"/>
      <c r="D941" s="3"/>
      <c r="E941" s="3"/>
      <c r="F941" s="27" t="str" cm="1">
        <f t="array" ref="F941">INDEX(Sources!A:A, 1 + BIN2DEC(LEFT($B941,5)))</f>
        <v>SIGMA</v>
      </c>
      <c r="G941" s="27" t="str" cm="1">
        <f t="array" ref="G941">INDEX(Dest1!A:A,1+BIN2DEC(MID($B941,6,5)))</f>
        <v>UNK23</v>
      </c>
      <c r="H941" s="27" t="str" cm="1">
        <f t="array" ref="H941">INDEX(Source2!A:A,1+BIN2DEC(MID($B941,11,4)))</f>
        <v>--</v>
      </c>
      <c r="I941" s="23" cm="1">
        <f t="array" ref="I941">INDEX('D2'!A:A,1+BIN2DEC(MID($B941,16,2)))</f>
        <v>0</v>
      </c>
      <c r="J941" s="6">
        <f t="shared" si="94"/>
        <v>0</v>
      </c>
      <c r="K941" s="6">
        <f t="shared" si="90"/>
        <v>0</v>
      </c>
      <c r="L941" s="6">
        <f t="shared" si="91"/>
        <v>1</v>
      </c>
      <c r="M941" s="3" t="str" cm="1">
        <f t="array" ref="M941">INDEX(Types!A:A,1+BIN2DEC(MID($B941,20,2)))</f>
        <v>Control</v>
      </c>
      <c r="N941" s="3" t="str" cm="1">
        <f t="array" ref="N941">IF(M941="ALU",INDEX(ALUOps!A:A,1+BIN2DEC(MID($B941,22,5))),"")</f>
        <v/>
      </c>
      <c r="O941" s="3" t="str" cm="1">
        <f t="array" ref="O941">IF(M941="ALU",INDEX(TMP!A:A,1+BIN2DEC(MID($B941,27,2))),"")</f>
        <v/>
      </c>
      <c r="P941" s="6" t="str">
        <f t="shared" si="92"/>
        <v/>
      </c>
      <c r="Q941" t="str">
        <f t="shared" si="95"/>
        <v/>
      </c>
      <c r="R941" t="str">
        <f t="shared" si="96"/>
        <v/>
      </c>
      <c r="S941" cm="1">
        <f t="array" ref="S941">IF(M941="Control",INDEX(IC!A:A,1+BIN2DEC(MID($B941,21,4))),"")</f>
        <v>0</v>
      </c>
      <c r="T941" cm="1">
        <f t="array" ref="T941">IF(M941="Control",INDEX(EC!A:A,1+BIN2DEC(MID($B941,25,3))),"")</f>
        <v>0</v>
      </c>
      <c r="U941" cm="1">
        <f t="array" ref="U941">IF(M941="Control",INDEX(SR!A:A,1+BIN2DEC(MID($B941,28,2))),"")</f>
        <v>0</v>
      </c>
    </row>
    <row r="942" spans="1:30" x14ac:dyDescent="0.25">
      <c r="A942" s="4" t="str">
        <f t="shared" si="93"/>
        <v>3AC</v>
      </c>
      <c r="B942" s="2" t="s">
        <v>108</v>
      </c>
      <c r="C942" s="2" t="s">
        <v>865</v>
      </c>
      <c r="D942" s="2" t="s">
        <v>937</v>
      </c>
      <c r="E942" s="2" t="s">
        <v>462</v>
      </c>
      <c r="F942" s="27" t="str" cm="1">
        <f t="array" ref="F942">INDEX(Sources!A:A, 1 + BIN2DEC(LEFT($B942,5)))</f>
        <v>Q</v>
      </c>
      <c r="G942" s="27" t="str" cm="1">
        <f t="array" ref="G942">INDEX(Dest1!A:A,1+BIN2DEC(MID($B942,6,5)))</f>
        <v>UNK11</v>
      </c>
      <c r="H942" s="27" t="str" cm="1">
        <f t="array" ref="H942">INDEX(Source2!A:A,1+BIN2DEC(MID($B942,11,4)))</f>
        <v>--</v>
      </c>
      <c r="I942" s="23" cm="1">
        <f t="array" ref="I942">INDEX('D2'!A:A,1+BIN2DEC(MID($B942,16,2)))</f>
        <v>0</v>
      </c>
      <c r="J942" s="6">
        <f t="shared" si="94"/>
        <v>0</v>
      </c>
      <c r="K942" s="6">
        <f t="shared" si="90"/>
        <v>0</v>
      </c>
      <c r="L942" s="6">
        <f t="shared" si="91"/>
        <v>0</v>
      </c>
      <c r="M942" s="3" t="str" cm="1">
        <f t="array" ref="M942">INDEX(Types!A:A,1+BIN2DEC(MID($B942,20,2)))</f>
        <v>Control</v>
      </c>
      <c r="N942" s="3" t="str" cm="1">
        <f t="array" ref="N942">IF(M942="ALU",INDEX(ALUOps!A:A,1+BIN2DEC(MID($B942,22,5))),"")</f>
        <v/>
      </c>
      <c r="O942" s="3" t="str" cm="1">
        <f t="array" ref="O942">IF(M942="ALU",INDEX(TMP!A:A,1+BIN2DEC(MID($B942,27,2))),"")</f>
        <v/>
      </c>
      <c r="P942" s="6" t="str">
        <f t="shared" si="92"/>
        <v/>
      </c>
      <c r="Q942" t="str">
        <f t="shared" si="95"/>
        <v/>
      </c>
      <c r="R942" t="str">
        <f t="shared" si="96"/>
        <v/>
      </c>
      <c r="S942" cm="1">
        <f t="array" ref="S942">IF(M942="Control",INDEX(IC!A:A,1+BIN2DEC(MID($B942,21,4))),"")</f>
        <v>0</v>
      </c>
      <c r="T942" cm="1">
        <f t="array" ref="T942">IF(M942="Control",INDEX(EC!A:A,1+BIN2DEC(MID($B942,25,3))),"")</f>
        <v>0</v>
      </c>
      <c r="U942" cm="1">
        <f t="array" ref="U942">IF(M942="Control",INDEX(SR!A:A,1+BIN2DEC(MID($B942,28,2))),"")</f>
        <v>0</v>
      </c>
      <c r="W942">
        <v>8080</v>
      </c>
      <c r="X942" t="s">
        <v>1085</v>
      </c>
      <c r="AD942" s="1" t="s">
        <v>237</v>
      </c>
    </row>
    <row r="943" spans="1:30" x14ac:dyDescent="0.25">
      <c r="A943" s="4" t="str">
        <f t="shared" si="93"/>
        <v>3AD</v>
      </c>
      <c r="B943" s="2" t="s">
        <v>8</v>
      </c>
      <c r="C943" s="3"/>
      <c r="D943" s="3"/>
      <c r="E943" s="3"/>
      <c r="F943" s="27" t="str" cm="1">
        <f t="array" ref="F943">INDEX(Sources!A:A, 1 + BIN2DEC(LEFT($B943,5)))</f>
        <v>Q</v>
      </c>
      <c r="G943" s="27" t="str" cm="1">
        <f t="array" ref="G943">INDEX(Dest1!A:A,1+BIN2DEC(MID($B943,6,5)))</f>
        <v>UNK9</v>
      </c>
      <c r="H943" s="27" t="str" cm="1">
        <f t="array" ref="H943">INDEX(Source2!A:A,1+BIN2DEC(MID($B943,11,4)))</f>
        <v>--</v>
      </c>
      <c r="I943" s="23" cm="1">
        <f t="array" ref="I943">INDEX('D2'!A:A,1+BIN2DEC(MID($B943,16,2)))</f>
        <v>0</v>
      </c>
      <c r="J943" s="6">
        <f t="shared" si="94"/>
        <v>0</v>
      </c>
      <c r="K943" s="6">
        <f t="shared" si="90"/>
        <v>0</v>
      </c>
      <c r="L943" s="6">
        <f t="shared" si="91"/>
        <v>0</v>
      </c>
      <c r="M943" s="3" t="str" cm="1">
        <f t="array" ref="M943">INDEX(Types!A:A,1+BIN2DEC(MID($B943,20,2)))</f>
        <v>Control</v>
      </c>
      <c r="N943" s="3" t="str" cm="1">
        <f t="array" ref="N943">IF(M943="ALU",INDEX(ALUOps!A:A,1+BIN2DEC(MID($B943,22,5))),"")</f>
        <v/>
      </c>
      <c r="O943" s="3" t="str" cm="1">
        <f t="array" ref="O943">IF(M943="ALU",INDEX(TMP!A:A,1+BIN2DEC(MID($B943,27,2))),"")</f>
        <v/>
      </c>
      <c r="P943" s="6" t="str">
        <f t="shared" si="92"/>
        <v/>
      </c>
      <c r="Q943" t="str">
        <f t="shared" si="95"/>
        <v/>
      </c>
      <c r="R943" t="str">
        <f t="shared" si="96"/>
        <v/>
      </c>
      <c r="S943" cm="1">
        <f t="array" ref="S943">IF(M943="Control",INDEX(IC!A:A,1+BIN2DEC(MID($B943,21,4))),"")</f>
        <v>0</v>
      </c>
      <c r="T943" cm="1">
        <f t="array" ref="T943">IF(M943="Control",INDEX(EC!A:A,1+BIN2DEC(MID($B943,25,3))),"")</f>
        <v>0</v>
      </c>
      <c r="U943" cm="1">
        <f t="array" ref="U943">IF(M943="Control",INDEX(SR!A:A,1+BIN2DEC(MID($B943,28,2))),"")</f>
        <v>0</v>
      </c>
    </row>
    <row r="944" spans="1:30" x14ac:dyDescent="0.25">
      <c r="A944" s="4" t="str">
        <f t="shared" si="93"/>
        <v>3AE</v>
      </c>
      <c r="B944" s="2" t="s">
        <v>4</v>
      </c>
      <c r="C944" s="3"/>
      <c r="D944" s="3"/>
      <c r="E944" s="3"/>
      <c r="F944" s="27" t="str" cm="1">
        <f t="array" ref="F944">INDEX(Sources!A:A, 1 + BIN2DEC(LEFT($B944,5)))</f>
        <v>--</v>
      </c>
      <c r="G944" s="27" t="str" cm="1">
        <f t="array" ref="G944">INDEX(Dest1!A:A,1+BIN2DEC(MID($B944,6,5)))</f>
        <v>--</v>
      </c>
      <c r="H944" s="27" t="str" cm="1">
        <f t="array" ref="H944">INDEX(Source2!A:A,1+BIN2DEC(MID($B944,11,4)))</f>
        <v>--</v>
      </c>
      <c r="I944" s="23" cm="1">
        <f t="array" ref="I944">INDEX('D2'!A:A,1+BIN2DEC(MID($B944,16,2)))</f>
        <v>0</v>
      </c>
      <c r="J944" s="6">
        <f t="shared" si="94"/>
        <v>0</v>
      </c>
      <c r="K944" s="6">
        <f t="shared" si="90"/>
        <v>0</v>
      </c>
      <c r="L944" s="6">
        <f t="shared" si="91"/>
        <v>0</v>
      </c>
      <c r="M944" s="3" t="str" cm="1">
        <f t="array" ref="M944">INDEX(Types!A:A,1+BIN2DEC(MID($B944,20,2)))</f>
        <v>Control</v>
      </c>
      <c r="N944" s="3" t="str" cm="1">
        <f t="array" ref="N944">IF(M944="ALU",INDEX(ALUOps!A:A,1+BIN2DEC(MID($B944,22,5))),"")</f>
        <v/>
      </c>
      <c r="O944" s="3" t="str" cm="1">
        <f t="array" ref="O944">IF(M944="ALU",INDEX(TMP!A:A,1+BIN2DEC(MID($B944,27,2))),"")</f>
        <v/>
      </c>
      <c r="P944" s="6" t="str">
        <f t="shared" si="92"/>
        <v/>
      </c>
      <c r="Q944" t="str">
        <f t="shared" si="95"/>
        <v/>
      </c>
      <c r="R944" t="str">
        <f t="shared" si="96"/>
        <v/>
      </c>
      <c r="S944" cm="1">
        <f t="array" ref="S944">IF(M944="Control",INDEX(IC!A:A,1+BIN2DEC(MID($B944,21,4))),"")</f>
        <v>0</v>
      </c>
      <c r="T944" cm="1">
        <f t="array" ref="T944">IF(M944="Control",INDEX(EC!A:A,1+BIN2DEC(MID($B944,25,3))),"")</f>
        <v>0</v>
      </c>
      <c r="U944" cm="1">
        <f t="array" ref="U944">IF(M944="Control",INDEX(SR!A:A,1+BIN2DEC(MID($B944,28,2))),"")</f>
        <v>0</v>
      </c>
    </row>
    <row r="945" spans="1:30" x14ac:dyDescent="0.25">
      <c r="A945" s="4" t="str">
        <f t="shared" si="93"/>
        <v>3AF</v>
      </c>
      <c r="B945" s="2" t="s">
        <v>548</v>
      </c>
      <c r="C945" s="3"/>
      <c r="D945" s="3"/>
      <c r="E945" s="3"/>
      <c r="F945" s="27" t="str" cm="1">
        <f t="array" ref="F945">INDEX(Sources!A:A, 1 + BIN2DEC(LEFT($B945,5)))</f>
        <v>TMPB</v>
      </c>
      <c r="G945" s="27" t="str" cm="1">
        <f t="array" ref="G945">INDEX(Dest1!A:A,1+BIN2DEC(MID($B945,6,5)))</f>
        <v>PC</v>
      </c>
      <c r="H945" s="27" t="str" cm="1">
        <f t="array" ref="H945">INDEX(Source2!A:A,1+BIN2DEC(MID($B945,11,4)))</f>
        <v>--</v>
      </c>
      <c r="I945" s="23" cm="1">
        <f t="array" ref="I945">INDEX('D2'!A:A,1+BIN2DEC(MID($B945,16,2)))</f>
        <v>0</v>
      </c>
      <c r="J945" s="6">
        <f t="shared" si="94"/>
        <v>0</v>
      </c>
      <c r="K945" s="6">
        <f t="shared" si="90"/>
        <v>0</v>
      </c>
      <c r="L945" s="6">
        <f t="shared" si="91"/>
        <v>1</v>
      </c>
      <c r="M945" s="3" t="str" cm="1">
        <f t="array" ref="M945">INDEX(Types!A:A,1+BIN2DEC(MID($B945,20,2)))</f>
        <v>Control</v>
      </c>
      <c r="N945" s="3" t="str" cm="1">
        <f t="array" ref="N945">IF(M945="ALU",INDEX(ALUOps!A:A,1+BIN2DEC(MID($B945,22,5))),"")</f>
        <v/>
      </c>
      <c r="O945" s="3" t="str" cm="1">
        <f t="array" ref="O945">IF(M945="ALU",INDEX(TMP!A:A,1+BIN2DEC(MID($B945,27,2))),"")</f>
        <v/>
      </c>
      <c r="P945" s="6" t="str">
        <f t="shared" si="92"/>
        <v/>
      </c>
      <c r="Q945" t="str">
        <f t="shared" si="95"/>
        <v/>
      </c>
      <c r="R945" t="str">
        <f t="shared" si="96"/>
        <v/>
      </c>
      <c r="S945" cm="1">
        <f t="array" ref="S945">IF(M945="Control",INDEX(IC!A:A,1+BIN2DEC(MID($B945,21,4))),"")</f>
        <v>6</v>
      </c>
      <c r="T945" cm="1">
        <f t="array" ref="T945">IF(M945="Control",INDEX(EC!A:A,1+BIN2DEC(MID($B945,25,3))),"")</f>
        <v>0</v>
      </c>
      <c r="U945" cm="1">
        <f t="array" ref="U945">IF(M945="Control",INDEX(SR!A:A,1+BIN2DEC(MID($B945,28,2))),"")</f>
        <v>0</v>
      </c>
    </row>
    <row r="946" spans="1:30" x14ac:dyDescent="0.25">
      <c r="A946" s="4" t="str">
        <f t="shared" si="93"/>
        <v>3B0</v>
      </c>
      <c r="B946" s="2" t="s">
        <v>108</v>
      </c>
      <c r="C946" s="2" t="s">
        <v>867</v>
      </c>
      <c r="D946" s="2" t="s">
        <v>937</v>
      </c>
      <c r="E946" s="2" t="s">
        <v>462</v>
      </c>
      <c r="F946" s="27" t="str" cm="1">
        <f t="array" ref="F946">INDEX(Sources!A:A, 1 + BIN2DEC(LEFT($B946,5)))</f>
        <v>Q</v>
      </c>
      <c r="G946" s="27" t="str" cm="1">
        <f t="array" ref="G946">INDEX(Dest1!A:A,1+BIN2DEC(MID($B946,6,5)))</f>
        <v>UNK11</v>
      </c>
      <c r="H946" s="27" t="str" cm="1">
        <f t="array" ref="H946">INDEX(Source2!A:A,1+BIN2DEC(MID($B946,11,4)))</f>
        <v>--</v>
      </c>
      <c r="I946" s="23" cm="1">
        <f t="array" ref="I946">INDEX('D2'!A:A,1+BIN2DEC(MID($B946,16,2)))</f>
        <v>0</v>
      </c>
      <c r="J946" s="6">
        <f t="shared" si="94"/>
        <v>0</v>
      </c>
      <c r="K946" s="6">
        <f t="shared" si="90"/>
        <v>0</v>
      </c>
      <c r="L946" s="6">
        <f t="shared" si="91"/>
        <v>0</v>
      </c>
      <c r="M946" s="3" t="str" cm="1">
        <f t="array" ref="M946">INDEX(Types!A:A,1+BIN2DEC(MID($B946,20,2)))</f>
        <v>Control</v>
      </c>
      <c r="N946" s="3" t="str" cm="1">
        <f t="array" ref="N946">IF(M946="ALU",INDEX(ALUOps!A:A,1+BIN2DEC(MID($B946,22,5))),"")</f>
        <v/>
      </c>
      <c r="O946" s="3" t="str" cm="1">
        <f t="array" ref="O946">IF(M946="ALU",INDEX(TMP!A:A,1+BIN2DEC(MID($B946,27,2))),"")</f>
        <v/>
      </c>
      <c r="P946" s="6" t="str">
        <f t="shared" si="92"/>
        <v/>
      </c>
      <c r="Q946" t="str">
        <f t="shared" si="95"/>
        <v/>
      </c>
      <c r="R946" t="str">
        <f t="shared" si="96"/>
        <v/>
      </c>
      <c r="S946" cm="1">
        <f t="array" ref="S946">IF(M946="Control",INDEX(IC!A:A,1+BIN2DEC(MID($B946,21,4))),"")</f>
        <v>0</v>
      </c>
      <c r="T946" cm="1">
        <f t="array" ref="T946">IF(M946="Control",INDEX(EC!A:A,1+BIN2DEC(MID($B946,25,3))),"")</f>
        <v>0</v>
      </c>
      <c r="U946" cm="1">
        <f t="array" ref="U946">IF(M946="Control",INDEX(SR!A:A,1+BIN2DEC(MID($B946,28,2))),"")</f>
        <v>0</v>
      </c>
      <c r="W946">
        <v>8080</v>
      </c>
      <c r="X946" t="s">
        <v>1090</v>
      </c>
      <c r="AD946" s="1" t="s">
        <v>868</v>
      </c>
    </row>
    <row r="947" spans="1:30" x14ac:dyDescent="0.25">
      <c r="A947" s="4" t="str">
        <f t="shared" si="93"/>
        <v>3B1</v>
      </c>
      <c r="B947" s="2" t="s">
        <v>8</v>
      </c>
      <c r="C947" s="3"/>
      <c r="D947" s="3"/>
      <c r="E947" s="3"/>
      <c r="F947" s="27" t="str" cm="1">
        <f t="array" ref="F947">INDEX(Sources!A:A, 1 + BIN2DEC(LEFT($B947,5)))</f>
        <v>Q</v>
      </c>
      <c r="G947" s="27" t="str" cm="1">
        <f t="array" ref="G947">INDEX(Dest1!A:A,1+BIN2DEC(MID($B947,6,5)))</f>
        <v>UNK9</v>
      </c>
      <c r="H947" s="27" t="str" cm="1">
        <f t="array" ref="H947">INDEX(Source2!A:A,1+BIN2DEC(MID($B947,11,4)))</f>
        <v>--</v>
      </c>
      <c r="I947" s="23" cm="1">
        <f t="array" ref="I947">INDEX('D2'!A:A,1+BIN2DEC(MID($B947,16,2)))</f>
        <v>0</v>
      </c>
      <c r="J947" s="6">
        <f t="shared" si="94"/>
        <v>0</v>
      </c>
      <c r="K947" s="6">
        <f t="shared" si="90"/>
        <v>0</v>
      </c>
      <c r="L947" s="6">
        <f t="shared" si="91"/>
        <v>0</v>
      </c>
      <c r="M947" s="3" t="str" cm="1">
        <f t="array" ref="M947">INDEX(Types!A:A,1+BIN2DEC(MID($B947,20,2)))</f>
        <v>Control</v>
      </c>
      <c r="N947" s="3" t="str" cm="1">
        <f t="array" ref="N947">IF(M947="ALU",INDEX(ALUOps!A:A,1+BIN2DEC(MID($B947,22,5))),"")</f>
        <v/>
      </c>
      <c r="O947" s="3" t="str" cm="1">
        <f t="array" ref="O947">IF(M947="ALU",INDEX(TMP!A:A,1+BIN2DEC(MID($B947,27,2))),"")</f>
        <v/>
      </c>
      <c r="P947" s="6" t="str">
        <f t="shared" si="92"/>
        <v/>
      </c>
      <c r="Q947" t="str">
        <f t="shared" si="95"/>
        <v/>
      </c>
      <c r="R947" t="str">
        <f t="shared" si="96"/>
        <v/>
      </c>
      <c r="S947" cm="1">
        <f t="array" ref="S947">IF(M947="Control",INDEX(IC!A:A,1+BIN2DEC(MID($B947,21,4))),"")</f>
        <v>0</v>
      </c>
      <c r="T947" cm="1">
        <f t="array" ref="T947">IF(M947="Control",INDEX(EC!A:A,1+BIN2DEC(MID($B947,25,3))),"")</f>
        <v>0</v>
      </c>
      <c r="U947" cm="1">
        <f t="array" ref="U947">IF(M947="Control",INDEX(SR!A:A,1+BIN2DEC(MID($B947,28,2))),"")</f>
        <v>0</v>
      </c>
    </row>
    <row r="948" spans="1:30" x14ac:dyDescent="0.25">
      <c r="A948" s="4" t="str">
        <f t="shared" si="93"/>
        <v>3B2</v>
      </c>
      <c r="B948" s="2" t="s">
        <v>870</v>
      </c>
      <c r="C948" s="3"/>
      <c r="D948" s="3"/>
      <c r="E948" s="3"/>
      <c r="F948" s="27" t="str" cm="1">
        <f t="array" ref="F948">INDEX(Sources!A:A, 1 + BIN2DEC(LEFT($B948,5)))</f>
        <v>--</v>
      </c>
      <c r="G948" s="27" t="str" cm="1">
        <f t="array" ref="G948">INDEX(Dest1!A:A,1+BIN2DEC(MID($B948,6,5)))</f>
        <v>--</v>
      </c>
      <c r="H948" s="27" t="str" cm="1">
        <f t="array" ref="H948">INDEX(Source2!A:A,1+BIN2DEC(MID($B948,11,4)))</f>
        <v>--</v>
      </c>
      <c r="I948" s="23" cm="1">
        <f t="array" ref="I948">INDEX('D2'!A:A,1+BIN2DEC(MID($B948,16,2)))</f>
        <v>0</v>
      </c>
      <c r="J948" s="6">
        <f t="shared" si="94"/>
        <v>0</v>
      </c>
      <c r="K948" s="6">
        <f t="shared" si="90"/>
        <v>0</v>
      </c>
      <c r="L948" s="6">
        <f t="shared" si="91"/>
        <v>0</v>
      </c>
      <c r="M948" s="3" t="str" cm="1">
        <f t="array" ref="M948">INDEX(Types!A:A,1+BIN2DEC(MID($B948,20,2)))</f>
        <v>Jump</v>
      </c>
      <c r="N948" s="3" t="str" cm="1">
        <f t="array" ref="N948">IF(M948="ALU",INDEX(ALUOps!A:A,1+BIN2DEC(MID($B948,22,5))),"")</f>
        <v/>
      </c>
      <c r="O948" s="3" t="str" cm="1">
        <f t="array" ref="O948">IF(M948="ALU",INDEX(TMP!A:A,1+BIN2DEC(MID($B948,27,2))),"")</f>
        <v/>
      </c>
      <c r="P948" s="6" t="str">
        <f t="shared" si="92"/>
        <v/>
      </c>
      <c r="Q948">
        <f t="shared" si="95"/>
        <v>0</v>
      </c>
      <c r="R948">
        <f t="shared" si="96"/>
        <v>5</v>
      </c>
      <c r="S948" t="str" cm="1">
        <f t="array" ref="S948">IF(M948="Control",INDEX(IC!A:A,1+BIN2DEC(MID($B948,21,4))),"")</f>
        <v/>
      </c>
      <c r="T948" t="str" cm="1">
        <f t="array" ref="T948">IF(M948="Control",INDEX(EC!A:A,1+BIN2DEC(MID($B948,25,3))),"")</f>
        <v/>
      </c>
      <c r="U948" t="str" cm="1">
        <f t="array" ref="U948">IF(M948="Control",INDEX(SR!A:A,1+BIN2DEC(MID($B948,28,2))),"")</f>
        <v/>
      </c>
    </row>
    <row r="949" spans="1:30" x14ac:dyDescent="0.25">
      <c r="A949" s="4" t="str">
        <f t="shared" si="93"/>
        <v>3B3</v>
      </c>
      <c r="B949" s="2" t="s">
        <v>39</v>
      </c>
      <c r="C949" s="3"/>
      <c r="D949" s="3"/>
      <c r="E949" s="3"/>
      <c r="F949" s="27" t="str" cm="1">
        <f t="array" ref="F949">INDEX(Sources!A:A, 1 + BIN2DEC(LEFT($B949,5)))</f>
        <v>--</v>
      </c>
      <c r="G949" s="27" t="str" cm="1">
        <f t="array" ref="G949">INDEX(Dest1!A:A,1+BIN2DEC(MID($B949,6,5)))</f>
        <v>--</v>
      </c>
      <c r="H949" s="27" t="str" cm="1">
        <f t="array" ref="H949">INDEX(Source2!A:A,1+BIN2DEC(MID($B949,11,4)))</f>
        <v>--</v>
      </c>
      <c r="I949" s="23" cm="1">
        <f t="array" ref="I949">INDEX('D2'!A:A,1+BIN2DEC(MID($B949,16,2)))</f>
        <v>0</v>
      </c>
      <c r="J949" s="6">
        <f t="shared" si="94"/>
        <v>0</v>
      </c>
      <c r="K949" s="6">
        <f t="shared" si="90"/>
        <v>0</v>
      </c>
      <c r="L949" s="6">
        <f t="shared" si="91"/>
        <v>1</v>
      </c>
      <c r="M949" s="3" t="str" cm="1">
        <f t="array" ref="M949">INDEX(Types!A:A,1+BIN2DEC(MID($B949,20,2)))</f>
        <v>Control</v>
      </c>
      <c r="N949" s="3" t="str" cm="1">
        <f t="array" ref="N949">IF(M949="ALU",INDEX(ALUOps!A:A,1+BIN2DEC(MID($B949,22,5))),"")</f>
        <v/>
      </c>
      <c r="O949" s="3" t="str" cm="1">
        <f t="array" ref="O949">IF(M949="ALU",INDEX(TMP!A:A,1+BIN2DEC(MID($B949,27,2))),"")</f>
        <v/>
      </c>
      <c r="P949" s="6" t="str">
        <f t="shared" si="92"/>
        <v/>
      </c>
      <c r="Q949" t="str">
        <f t="shared" si="95"/>
        <v/>
      </c>
      <c r="R949" t="str">
        <f t="shared" si="96"/>
        <v/>
      </c>
      <c r="S949" cm="1">
        <f t="array" ref="S949">IF(M949="Control",INDEX(IC!A:A,1+BIN2DEC(MID($B949,21,4))),"")</f>
        <v>0</v>
      </c>
      <c r="T949" cm="1">
        <f t="array" ref="T949">IF(M949="Control",INDEX(EC!A:A,1+BIN2DEC(MID($B949,25,3))),"")</f>
        <v>0</v>
      </c>
      <c r="U949" cm="1">
        <f t="array" ref="U949">IF(M949="Control",INDEX(SR!A:A,1+BIN2DEC(MID($B949,28,2))),"")</f>
        <v>0</v>
      </c>
    </row>
    <row r="950" spans="1:30" x14ac:dyDescent="0.25">
      <c r="A950" s="4" t="str">
        <f t="shared" si="93"/>
        <v>3B4</v>
      </c>
      <c r="B950" s="2" t="s">
        <v>4</v>
      </c>
      <c r="C950" s="2" t="s">
        <v>869</v>
      </c>
      <c r="D950" s="2" t="s">
        <v>937</v>
      </c>
      <c r="E950" s="2" t="s">
        <v>929</v>
      </c>
      <c r="F950" s="27" t="str" cm="1">
        <f t="array" ref="F950">INDEX(Sources!A:A, 1 + BIN2DEC(LEFT($B950,5)))</f>
        <v>--</v>
      </c>
      <c r="G950" s="27" t="str" cm="1">
        <f t="array" ref="G950">INDEX(Dest1!A:A,1+BIN2DEC(MID($B950,6,5)))</f>
        <v>--</v>
      </c>
      <c r="H950" s="27" t="str" cm="1">
        <f t="array" ref="H950">INDEX(Source2!A:A,1+BIN2DEC(MID($B950,11,4)))</f>
        <v>--</v>
      </c>
      <c r="I950" s="23" cm="1">
        <f t="array" ref="I950">INDEX('D2'!A:A,1+BIN2DEC(MID($B950,16,2)))</f>
        <v>0</v>
      </c>
      <c r="J950" s="6">
        <f t="shared" si="94"/>
        <v>0</v>
      </c>
      <c r="K950" s="6">
        <f t="shared" si="90"/>
        <v>0</v>
      </c>
      <c r="L950" s="6">
        <f t="shared" si="91"/>
        <v>0</v>
      </c>
      <c r="M950" s="3" t="str" cm="1">
        <f t="array" ref="M950">INDEX(Types!A:A,1+BIN2DEC(MID($B950,20,2)))</f>
        <v>Control</v>
      </c>
      <c r="N950" s="3" t="str" cm="1">
        <f t="array" ref="N950">IF(M950="ALU",INDEX(ALUOps!A:A,1+BIN2DEC(MID($B950,22,5))),"")</f>
        <v/>
      </c>
      <c r="O950" s="3" t="str" cm="1">
        <f t="array" ref="O950">IF(M950="ALU",INDEX(TMP!A:A,1+BIN2DEC(MID($B950,27,2))),"")</f>
        <v/>
      </c>
      <c r="P950" s="6" t="str">
        <f t="shared" si="92"/>
        <v/>
      </c>
      <c r="Q950" t="str">
        <f t="shared" si="95"/>
        <v/>
      </c>
      <c r="R950" t="str">
        <f t="shared" si="96"/>
        <v/>
      </c>
      <c r="S950" cm="1">
        <f t="array" ref="S950">IF(M950="Control",INDEX(IC!A:A,1+BIN2DEC(MID($B950,21,4))),"")</f>
        <v>0</v>
      </c>
      <c r="T950" cm="1">
        <f t="array" ref="T950">IF(M950="Control",INDEX(EC!A:A,1+BIN2DEC(MID($B950,25,3))),"")</f>
        <v>0</v>
      </c>
      <c r="U950" cm="1">
        <f t="array" ref="U950">IF(M950="Control",INDEX(SR!A:A,1+BIN2DEC(MID($B950,28,2))),"")</f>
        <v>0</v>
      </c>
      <c r="AD950" s="1" t="s">
        <v>868</v>
      </c>
    </row>
    <row r="951" spans="1:30" x14ac:dyDescent="0.25">
      <c r="A951" s="4" t="str">
        <f t="shared" si="93"/>
        <v>3B5</v>
      </c>
      <c r="B951" s="2" t="s">
        <v>548</v>
      </c>
      <c r="C951" s="3"/>
      <c r="D951" s="3"/>
      <c r="E951" s="3"/>
      <c r="F951" s="27" t="str" cm="1">
        <f t="array" ref="F951">INDEX(Sources!A:A, 1 + BIN2DEC(LEFT($B951,5)))</f>
        <v>TMPB</v>
      </c>
      <c r="G951" s="27" t="str" cm="1">
        <f t="array" ref="G951">INDEX(Dest1!A:A,1+BIN2DEC(MID($B951,6,5)))</f>
        <v>PC</v>
      </c>
      <c r="H951" s="27" t="str" cm="1">
        <f t="array" ref="H951">INDEX(Source2!A:A,1+BIN2DEC(MID($B951,11,4)))</f>
        <v>--</v>
      </c>
      <c r="I951" s="23" cm="1">
        <f t="array" ref="I951">INDEX('D2'!A:A,1+BIN2DEC(MID($B951,16,2)))</f>
        <v>0</v>
      </c>
      <c r="J951" s="6">
        <f t="shared" si="94"/>
        <v>0</v>
      </c>
      <c r="K951" s="6">
        <f t="shared" si="90"/>
        <v>0</v>
      </c>
      <c r="L951" s="6">
        <f t="shared" si="91"/>
        <v>1</v>
      </c>
      <c r="M951" s="3" t="str" cm="1">
        <f t="array" ref="M951">INDEX(Types!A:A,1+BIN2DEC(MID($B951,20,2)))</f>
        <v>Control</v>
      </c>
      <c r="N951" s="3" t="str" cm="1">
        <f t="array" ref="N951">IF(M951="ALU",INDEX(ALUOps!A:A,1+BIN2DEC(MID($B951,22,5))),"")</f>
        <v/>
      </c>
      <c r="O951" s="3" t="str" cm="1">
        <f t="array" ref="O951">IF(M951="ALU",INDEX(TMP!A:A,1+BIN2DEC(MID($B951,27,2))),"")</f>
        <v/>
      </c>
      <c r="P951" s="6" t="str">
        <f t="shared" si="92"/>
        <v/>
      </c>
      <c r="Q951" t="str">
        <f t="shared" si="95"/>
        <v/>
      </c>
      <c r="R951" t="str">
        <f t="shared" si="96"/>
        <v/>
      </c>
      <c r="S951" cm="1">
        <f t="array" ref="S951">IF(M951="Control",INDEX(IC!A:A,1+BIN2DEC(MID($B951,21,4))),"")</f>
        <v>6</v>
      </c>
      <c r="T951" cm="1">
        <f t="array" ref="T951">IF(M951="Control",INDEX(EC!A:A,1+BIN2DEC(MID($B951,25,3))),"")</f>
        <v>0</v>
      </c>
      <c r="U951" cm="1">
        <f t="array" ref="U951">IF(M951="Control",INDEX(SR!A:A,1+BIN2DEC(MID($B951,28,2))),"")</f>
        <v>0</v>
      </c>
    </row>
    <row r="952" spans="1:30" x14ac:dyDescent="0.25">
      <c r="A952" s="4" t="str">
        <f t="shared" si="93"/>
        <v>3B6</v>
      </c>
      <c r="B952" s="2" t="s">
        <v>4</v>
      </c>
      <c r="C952" s="3"/>
      <c r="D952" s="3"/>
      <c r="E952" s="3"/>
      <c r="F952" s="27" t="str" cm="1">
        <f t="array" ref="F952">INDEX(Sources!A:A, 1 + BIN2DEC(LEFT($B952,5)))</f>
        <v>--</v>
      </c>
      <c r="G952" s="27" t="str" cm="1">
        <f t="array" ref="G952">INDEX(Dest1!A:A,1+BIN2DEC(MID($B952,6,5)))</f>
        <v>--</v>
      </c>
      <c r="H952" s="27" t="str" cm="1">
        <f t="array" ref="H952">INDEX(Source2!A:A,1+BIN2DEC(MID($B952,11,4)))</f>
        <v>--</v>
      </c>
      <c r="I952" s="23" cm="1">
        <f t="array" ref="I952">INDEX('D2'!A:A,1+BIN2DEC(MID($B952,16,2)))</f>
        <v>0</v>
      </c>
      <c r="J952" s="6">
        <f t="shared" si="94"/>
        <v>0</v>
      </c>
      <c r="K952" s="6">
        <f t="shared" si="90"/>
        <v>0</v>
      </c>
      <c r="L952" s="6">
        <f t="shared" si="91"/>
        <v>0</v>
      </c>
      <c r="M952" s="3" t="str" cm="1">
        <f t="array" ref="M952">INDEX(Types!A:A,1+BIN2DEC(MID($B952,20,2)))</f>
        <v>Control</v>
      </c>
      <c r="N952" s="3" t="str" cm="1">
        <f t="array" ref="N952">IF(M952="ALU",INDEX(ALUOps!A:A,1+BIN2DEC(MID($B952,22,5))),"")</f>
        <v/>
      </c>
      <c r="O952" s="3" t="str" cm="1">
        <f t="array" ref="O952">IF(M952="ALU",INDEX(TMP!A:A,1+BIN2DEC(MID($B952,27,2))),"")</f>
        <v/>
      </c>
      <c r="P952" s="6" t="str">
        <f t="shared" si="92"/>
        <v/>
      </c>
      <c r="Q952" t="str">
        <f t="shared" si="95"/>
        <v/>
      </c>
      <c r="R952" t="str">
        <f t="shared" si="96"/>
        <v/>
      </c>
      <c r="S952" cm="1">
        <f t="array" ref="S952">IF(M952="Control",INDEX(IC!A:A,1+BIN2DEC(MID($B952,21,4))),"")</f>
        <v>0</v>
      </c>
      <c r="T952" cm="1">
        <f t="array" ref="T952">IF(M952="Control",INDEX(EC!A:A,1+BIN2DEC(MID($B952,25,3))),"")</f>
        <v>0</v>
      </c>
      <c r="U952" cm="1">
        <f t="array" ref="U952">IF(M952="Control",INDEX(SR!A:A,1+BIN2DEC(MID($B952,28,2))),"")</f>
        <v>0</v>
      </c>
    </row>
    <row r="953" spans="1:30" x14ac:dyDescent="0.25">
      <c r="A953" s="4" t="str">
        <f t="shared" si="93"/>
        <v>3B7</v>
      </c>
      <c r="B953" s="2" t="s">
        <v>4</v>
      </c>
      <c r="C953" s="3"/>
      <c r="D953" s="3"/>
      <c r="E953" s="3"/>
      <c r="F953" s="27" t="str" cm="1">
        <f t="array" ref="F953">INDEX(Sources!A:A, 1 + BIN2DEC(LEFT($B953,5)))</f>
        <v>--</v>
      </c>
      <c r="G953" s="27" t="str" cm="1">
        <f t="array" ref="G953">INDEX(Dest1!A:A,1+BIN2DEC(MID($B953,6,5)))</f>
        <v>--</v>
      </c>
      <c r="H953" s="27" t="str" cm="1">
        <f t="array" ref="H953">INDEX(Source2!A:A,1+BIN2DEC(MID($B953,11,4)))</f>
        <v>--</v>
      </c>
      <c r="I953" s="23" cm="1">
        <f t="array" ref="I953">INDEX('D2'!A:A,1+BIN2DEC(MID($B953,16,2)))</f>
        <v>0</v>
      </c>
      <c r="J953" s="6">
        <f t="shared" si="94"/>
        <v>0</v>
      </c>
      <c r="K953" s="6">
        <f t="shared" si="90"/>
        <v>0</v>
      </c>
      <c r="L953" s="6">
        <f t="shared" si="91"/>
        <v>0</v>
      </c>
      <c r="M953" s="3" t="str" cm="1">
        <f t="array" ref="M953">INDEX(Types!A:A,1+BIN2DEC(MID($B953,20,2)))</f>
        <v>Control</v>
      </c>
      <c r="N953" s="3" t="str" cm="1">
        <f t="array" ref="N953">IF(M953="ALU",INDEX(ALUOps!A:A,1+BIN2DEC(MID($B953,22,5))),"")</f>
        <v/>
      </c>
      <c r="O953" s="3" t="str" cm="1">
        <f t="array" ref="O953">IF(M953="ALU",INDEX(TMP!A:A,1+BIN2DEC(MID($B953,27,2))),"")</f>
        <v/>
      </c>
      <c r="P953" s="6" t="str">
        <f t="shared" si="92"/>
        <v/>
      </c>
      <c r="Q953" t="str">
        <f t="shared" si="95"/>
        <v/>
      </c>
      <c r="R953" t="str">
        <f t="shared" si="96"/>
        <v/>
      </c>
      <c r="S953" cm="1">
        <f t="array" ref="S953">IF(M953="Control",INDEX(IC!A:A,1+BIN2DEC(MID($B953,21,4))),"")</f>
        <v>0</v>
      </c>
      <c r="T953" cm="1">
        <f t="array" ref="T953">IF(M953="Control",INDEX(EC!A:A,1+BIN2DEC(MID($B953,25,3))),"")</f>
        <v>0</v>
      </c>
      <c r="U953" cm="1">
        <f t="array" ref="U953">IF(M953="Control",INDEX(SR!A:A,1+BIN2DEC(MID($B953,28,2))),"")</f>
        <v>0</v>
      </c>
    </row>
    <row r="954" spans="1:30" x14ac:dyDescent="0.25">
      <c r="A954" s="4" t="str">
        <f t="shared" si="93"/>
        <v>3B8</v>
      </c>
      <c r="B954" s="2" t="s">
        <v>597</v>
      </c>
      <c r="C954" s="2" t="s">
        <v>871</v>
      </c>
      <c r="D954" s="2" t="s">
        <v>937</v>
      </c>
      <c r="E954" s="2" t="s">
        <v>462</v>
      </c>
      <c r="F954" s="27" t="str" cm="1">
        <f t="array" ref="F954">INDEX(Sources!A:A, 1 + BIN2DEC(LEFT($B954,5)))</f>
        <v>UNK2</v>
      </c>
      <c r="G954" s="27" t="str" cm="1">
        <f t="array" ref="G954">INDEX(Dest1!A:A,1+BIN2DEC(MID($B954,6,5)))</f>
        <v>TMPA</v>
      </c>
      <c r="H954" s="27" t="str" cm="1">
        <f t="array" ref="H954">INDEX(Source2!A:A,1+BIN2DEC(MID($B954,11,4)))</f>
        <v>--</v>
      </c>
      <c r="I954" s="23" cm="1">
        <f t="array" ref="I954">INDEX('D2'!A:A,1+BIN2DEC(MID($B954,16,2)))</f>
        <v>0</v>
      </c>
      <c r="J954" s="6">
        <f t="shared" si="94"/>
        <v>0</v>
      </c>
      <c r="K954" s="6">
        <f t="shared" si="90"/>
        <v>0</v>
      </c>
      <c r="L954" s="6">
        <f t="shared" si="91"/>
        <v>0</v>
      </c>
      <c r="M954" s="3" t="str" cm="1">
        <f t="array" ref="M954">INDEX(Types!A:A,1+BIN2DEC(MID($B954,20,2)))</f>
        <v>ALU</v>
      </c>
      <c r="N954" s="3" cm="1">
        <f t="array" ref="N954">IF(M954="ALU",INDEX(ALUOps!A:A,1+BIN2DEC(MID($B954,22,5))),"")</f>
        <v>2</v>
      </c>
      <c r="O954" s="3" cm="1">
        <f t="array" ref="O954">IF(M954="ALU",INDEX(TMP!A:A,1+BIN2DEC(MID($B954,27,2))),"")</f>
        <v>2</v>
      </c>
      <c r="P954" s="6">
        <f t="shared" si="92"/>
        <v>1</v>
      </c>
      <c r="Q954" t="str">
        <f t="shared" si="95"/>
        <v/>
      </c>
      <c r="R954" t="str">
        <f t="shared" si="96"/>
        <v/>
      </c>
      <c r="S954" t="str" cm="1">
        <f t="array" ref="S954">IF(M954="Control",INDEX(IC!A:A,1+BIN2DEC(MID($B954,21,4))),"")</f>
        <v/>
      </c>
      <c r="T954" t="str" cm="1">
        <f t="array" ref="T954">IF(M954="Control",INDEX(EC!A:A,1+BIN2DEC(MID($B954,25,3))),"")</f>
        <v/>
      </c>
      <c r="U954" t="str" cm="1">
        <f t="array" ref="U954">IF(M954="Control",INDEX(SR!A:A,1+BIN2DEC(MID($B954,28,2))),"")</f>
        <v/>
      </c>
      <c r="W954">
        <v>8080</v>
      </c>
      <c r="X954" t="s">
        <v>1086</v>
      </c>
      <c r="AD954" s="1" t="s">
        <v>872</v>
      </c>
    </row>
    <row r="955" spans="1:30" x14ac:dyDescent="0.25">
      <c r="A955" s="4" t="str">
        <f t="shared" si="93"/>
        <v>3B9</v>
      </c>
      <c r="B955" s="2" t="s">
        <v>874</v>
      </c>
      <c r="C955" s="3"/>
      <c r="D955" s="3"/>
      <c r="E955" s="3"/>
      <c r="F955" s="27" t="str" cm="1">
        <f t="array" ref="F955">INDEX(Sources!A:A, 1 + BIN2DEC(LEFT($B955,5)))</f>
        <v>SIGMA</v>
      </c>
      <c r="G955" s="27" t="str" cm="1">
        <f t="array" ref="G955">INDEX(Dest1!A:A,1+BIN2DEC(MID($B955,6,5)))</f>
        <v>UNK2</v>
      </c>
      <c r="H955" s="27" t="str" cm="1">
        <f t="array" ref="H955">INDEX(Source2!A:A,1+BIN2DEC(MID($B955,11,4)))</f>
        <v>11</v>
      </c>
      <c r="I955" s="23" t="str" cm="1">
        <f t="array" ref="I955">INDEX('D2'!A:A,1+BIN2DEC(MID($B955,16,2)))</f>
        <v>TMPB</v>
      </c>
      <c r="J955" s="6">
        <f t="shared" si="94"/>
        <v>0</v>
      </c>
      <c r="K955" s="6">
        <f t="shared" si="90"/>
        <v>0</v>
      </c>
      <c r="L955" s="6">
        <f t="shared" si="91"/>
        <v>0</v>
      </c>
      <c r="M955" s="3" t="str" cm="1">
        <f t="array" ref="M955">INDEX(Types!A:A,1+BIN2DEC(MID($B955,20,2)))</f>
        <v>Control</v>
      </c>
      <c r="N955" s="3" t="str" cm="1">
        <f t="array" ref="N955">IF(M955="ALU",INDEX(ALUOps!A:A,1+BIN2DEC(MID($B955,22,5))),"")</f>
        <v/>
      </c>
      <c r="O955" s="3" t="str" cm="1">
        <f t="array" ref="O955">IF(M955="ALU",INDEX(TMP!A:A,1+BIN2DEC(MID($B955,27,2))),"")</f>
        <v/>
      </c>
      <c r="P955" s="6" t="str">
        <f t="shared" si="92"/>
        <v/>
      </c>
      <c r="Q955" t="str">
        <f t="shared" si="95"/>
        <v/>
      </c>
      <c r="R955" t="str">
        <f t="shared" si="96"/>
        <v/>
      </c>
      <c r="S955" cm="1">
        <f t="array" ref="S955">IF(M955="Control",INDEX(IC!A:A,1+BIN2DEC(MID($B955,21,4))),"")</f>
        <v>7</v>
      </c>
      <c r="T955" cm="1">
        <f t="array" ref="T955">IF(M955="Control",INDEX(EC!A:A,1+BIN2DEC(MID($B955,25,3))),"")</f>
        <v>0</v>
      </c>
      <c r="U955" cm="1">
        <f t="array" ref="U955">IF(M955="Control",INDEX(SR!A:A,1+BIN2DEC(MID($B955,28,2))),"")</f>
        <v>0</v>
      </c>
    </row>
    <row r="956" spans="1:30" x14ac:dyDescent="0.25">
      <c r="A956" s="4" t="str">
        <f t="shared" si="93"/>
        <v>3BA</v>
      </c>
      <c r="B956" s="2" t="s">
        <v>875</v>
      </c>
      <c r="C956" s="3"/>
      <c r="D956" s="3"/>
      <c r="E956" s="3"/>
      <c r="F956" s="27" t="str" cm="1">
        <f t="array" ref="F956">INDEX(Sources!A:A, 1 + BIN2DEC(LEFT($B956,5)))</f>
        <v>UNK27</v>
      </c>
      <c r="G956" s="27" t="str" cm="1">
        <f t="array" ref="G956">INDEX(Dest1!A:A,1+BIN2DEC(MID($B956,6,5)))</f>
        <v>OUT</v>
      </c>
      <c r="H956" s="27" t="str" cm="1">
        <f t="array" ref="H956">INDEX(Source2!A:A,1+BIN2DEC(MID($B956,11,4)))</f>
        <v>--</v>
      </c>
      <c r="I956" s="23" cm="1">
        <f t="array" ref="I956">INDEX('D2'!A:A,1+BIN2DEC(MID($B956,16,2)))</f>
        <v>0</v>
      </c>
      <c r="J956" s="6">
        <f t="shared" si="94"/>
        <v>0</v>
      </c>
      <c r="K956" s="6">
        <f t="shared" si="90"/>
        <v>0</v>
      </c>
      <c r="L956" s="6">
        <f t="shared" si="91"/>
        <v>0</v>
      </c>
      <c r="M956" s="3" t="str" cm="1">
        <f t="array" ref="M956">INDEX(Types!A:A,1+BIN2DEC(MID($B956,20,2)))</f>
        <v>Control</v>
      </c>
      <c r="N956" s="3" t="str" cm="1">
        <f t="array" ref="N956">IF(M956="ALU",INDEX(ALUOps!A:A,1+BIN2DEC(MID($B956,22,5))),"")</f>
        <v/>
      </c>
      <c r="O956" s="3" t="str" cm="1">
        <f t="array" ref="O956">IF(M956="ALU",INDEX(TMP!A:A,1+BIN2DEC(MID($B956,27,2))),"")</f>
        <v/>
      </c>
      <c r="P956" s="6" t="str">
        <f t="shared" si="92"/>
        <v/>
      </c>
      <c r="Q956" t="str">
        <f t="shared" si="95"/>
        <v/>
      </c>
      <c r="R956" t="str">
        <f t="shared" si="96"/>
        <v/>
      </c>
      <c r="S956" cm="1">
        <f t="array" ref="S956">IF(M956="Control",INDEX(IC!A:A,1+BIN2DEC(MID($B956,21,4))),"")</f>
        <v>0</v>
      </c>
      <c r="T956" cm="1">
        <f t="array" ref="T956">IF(M956="Control",INDEX(EC!A:A,1+BIN2DEC(MID($B956,25,3))),"")</f>
        <v>5</v>
      </c>
      <c r="U956" cm="1">
        <f t="array" ref="U956">IF(M956="Control",INDEX(SR!A:A,1+BIN2DEC(MID($B956,28,2))),"")</f>
        <v>0</v>
      </c>
    </row>
    <row r="957" spans="1:30" x14ac:dyDescent="0.25">
      <c r="A957" s="4" t="str">
        <f t="shared" si="93"/>
        <v>3BB</v>
      </c>
      <c r="B957" s="2" t="s">
        <v>876</v>
      </c>
      <c r="C957" s="3"/>
      <c r="D957" s="3"/>
      <c r="E957" s="3"/>
      <c r="F957" s="27" t="str" cm="1">
        <f t="array" ref="F957">INDEX(Sources!A:A, 1 + BIN2DEC(LEFT($B957,5)))</f>
        <v>UNK9</v>
      </c>
      <c r="G957" s="27" t="str" cm="1">
        <f t="array" ref="G957">INDEX(Dest1!A:A,1+BIN2DEC(MID($B957,6,5)))</f>
        <v>PC</v>
      </c>
      <c r="H957" s="27" t="str" cm="1">
        <f t="array" ref="H957">INDEX(Source2!A:A,1+BIN2DEC(MID($B957,11,4)))</f>
        <v>--</v>
      </c>
      <c r="I957" s="23" cm="1">
        <f t="array" ref="I957">INDEX('D2'!A:A,1+BIN2DEC(MID($B957,16,2)))</f>
        <v>0</v>
      </c>
      <c r="J957" s="6">
        <f t="shared" si="94"/>
        <v>0</v>
      </c>
      <c r="K957" s="6">
        <f t="shared" si="90"/>
        <v>0</v>
      </c>
      <c r="L957" s="6">
        <f t="shared" si="91"/>
        <v>1</v>
      </c>
      <c r="M957" s="3" t="str" cm="1">
        <f t="array" ref="M957">INDEX(Types!A:A,1+BIN2DEC(MID($B957,20,2)))</f>
        <v>Control</v>
      </c>
      <c r="N957" s="3" t="str" cm="1">
        <f t="array" ref="N957">IF(M957="ALU",INDEX(ALUOps!A:A,1+BIN2DEC(MID($B957,22,5))),"")</f>
        <v/>
      </c>
      <c r="O957" s="3" t="str" cm="1">
        <f t="array" ref="O957">IF(M957="ALU",INDEX(TMP!A:A,1+BIN2DEC(MID($B957,27,2))),"")</f>
        <v/>
      </c>
      <c r="P957" s="6" t="str">
        <f t="shared" si="92"/>
        <v/>
      </c>
      <c r="Q957" t="str">
        <f t="shared" si="95"/>
        <v/>
      </c>
      <c r="R957" t="str">
        <f t="shared" si="96"/>
        <v/>
      </c>
      <c r="S957" cm="1">
        <f t="array" ref="S957">IF(M957="Control",INDEX(IC!A:A,1+BIN2DEC(MID($B957,21,4))),"")</f>
        <v>6</v>
      </c>
      <c r="T957" cm="1">
        <f t="array" ref="T957">IF(M957="Control",INDEX(EC!A:A,1+BIN2DEC(MID($B957,25,3))),"")</f>
        <v>0</v>
      </c>
      <c r="U957" cm="1">
        <f t="array" ref="U957">IF(M957="Control",INDEX(SR!A:A,1+BIN2DEC(MID($B957,28,2))),"")</f>
        <v>0</v>
      </c>
    </row>
    <row r="958" spans="1:30" x14ac:dyDescent="0.25">
      <c r="A958" s="4" t="str">
        <f t="shared" si="93"/>
        <v>3BC</v>
      </c>
      <c r="B958" s="2" t="s">
        <v>877</v>
      </c>
      <c r="C958" s="2" t="s">
        <v>873</v>
      </c>
      <c r="D958" s="2" t="s">
        <v>937</v>
      </c>
      <c r="E958" s="2" t="s">
        <v>462</v>
      </c>
      <c r="F958" s="27" t="str" cm="1">
        <f t="array" ref="F958">INDEX(Sources!A:A, 1 + BIN2DEC(LEFT($B958,5)))</f>
        <v>Q</v>
      </c>
      <c r="G958" s="27" t="str" cm="1">
        <f t="array" ref="G958">INDEX(Dest1!A:A,1+BIN2DEC(MID($B958,6,5)))</f>
        <v>UNK11</v>
      </c>
      <c r="H958" s="27" t="str" cm="1">
        <f t="array" ref="H958">INDEX(Source2!A:A,1+BIN2DEC(MID($B958,11,4)))</f>
        <v>2</v>
      </c>
      <c r="I958" s="23" cm="1">
        <f t="array" ref="I958">INDEX('D2'!A:A,1+BIN2DEC(MID($B958,16,2)))</f>
        <v>0</v>
      </c>
      <c r="J958" s="6">
        <f t="shared" si="94"/>
        <v>0</v>
      </c>
      <c r="K958" s="6">
        <f t="shared" si="90"/>
        <v>0</v>
      </c>
      <c r="L958" s="6">
        <f t="shared" si="91"/>
        <v>0</v>
      </c>
      <c r="M958" s="3" t="str" cm="1">
        <f t="array" ref="M958">INDEX(Types!A:A,1+BIN2DEC(MID($B958,20,2)))</f>
        <v>ALU</v>
      </c>
      <c r="N958" s="3" cm="1">
        <f t="array" ref="N958">IF(M958="ALU",INDEX(ALUOps!A:A,1+BIN2DEC(MID($B958,22,5))),"")</f>
        <v>2</v>
      </c>
      <c r="O958" s="3" cm="1">
        <f t="array" ref="O958">IF(M958="ALU",INDEX(TMP!A:A,1+BIN2DEC(MID($B958,27,2))),"")</f>
        <v>2</v>
      </c>
      <c r="P958" s="6">
        <f t="shared" si="92"/>
        <v>1</v>
      </c>
      <c r="Q958" t="str">
        <f t="shared" si="95"/>
        <v/>
      </c>
      <c r="R958" t="str">
        <f t="shared" si="96"/>
        <v/>
      </c>
      <c r="S958" t="str" cm="1">
        <f t="array" ref="S958">IF(M958="Control",INDEX(IC!A:A,1+BIN2DEC(MID($B958,21,4))),"")</f>
        <v/>
      </c>
      <c r="T958" t="str" cm="1">
        <f t="array" ref="T958">IF(M958="Control",INDEX(EC!A:A,1+BIN2DEC(MID($B958,25,3))),"")</f>
        <v/>
      </c>
      <c r="U958" t="str" cm="1">
        <f t="array" ref="U958">IF(M958="Control",INDEX(SR!A:A,1+BIN2DEC(MID($B958,28,2))),"")</f>
        <v/>
      </c>
      <c r="W958">
        <v>8080</v>
      </c>
      <c r="X958" t="s">
        <v>1030</v>
      </c>
      <c r="AD958" s="1" t="s">
        <v>259</v>
      </c>
    </row>
    <row r="959" spans="1:30" x14ac:dyDescent="0.25">
      <c r="A959" s="4" t="str">
        <f t="shared" si="93"/>
        <v>3BD</v>
      </c>
      <c r="B959" s="2" t="s">
        <v>8</v>
      </c>
      <c r="C959" s="3"/>
      <c r="D959" s="3"/>
      <c r="E959" s="3"/>
      <c r="F959" s="27" t="str" cm="1">
        <f t="array" ref="F959">INDEX(Sources!A:A, 1 + BIN2DEC(LEFT($B959,5)))</f>
        <v>Q</v>
      </c>
      <c r="G959" s="27" t="str" cm="1">
        <f t="array" ref="G959">INDEX(Dest1!A:A,1+BIN2DEC(MID($B959,6,5)))</f>
        <v>UNK9</v>
      </c>
      <c r="H959" s="27" t="str" cm="1">
        <f t="array" ref="H959">INDEX(Source2!A:A,1+BIN2DEC(MID($B959,11,4)))</f>
        <v>--</v>
      </c>
      <c r="I959" s="23" cm="1">
        <f t="array" ref="I959">INDEX('D2'!A:A,1+BIN2DEC(MID($B959,16,2)))</f>
        <v>0</v>
      </c>
      <c r="J959" s="6">
        <f t="shared" si="94"/>
        <v>0</v>
      </c>
      <c r="K959" s="6">
        <f t="shared" si="90"/>
        <v>0</v>
      </c>
      <c r="L959" s="6">
        <f t="shared" si="91"/>
        <v>0</v>
      </c>
      <c r="M959" s="3" t="str" cm="1">
        <f t="array" ref="M959">INDEX(Types!A:A,1+BIN2DEC(MID($B959,20,2)))</f>
        <v>Control</v>
      </c>
      <c r="N959" s="3" t="str" cm="1">
        <f t="array" ref="N959">IF(M959="ALU",INDEX(ALUOps!A:A,1+BIN2DEC(MID($B959,22,5))),"")</f>
        <v/>
      </c>
      <c r="O959" s="3" t="str" cm="1">
        <f t="array" ref="O959">IF(M959="ALU",INDEX(TMP!A:A,1+BIN2DEC(MID($B959,27,2))),"")</f>
        <v/>
      </c>
      <c r="P959" s="6" t="str">
        <f t="shared" si="92"/>
        <v/>
      </c>
      <c r="Q959" t="str">
        <f t="shared" si="95"/>
        <v/>
      </c>
      <c r="R959" t="str">
        <f t="shared" si="96"/>
        <v/>
      </c>
      <c r="S959" cm="1">
        <f t="array" ref="S959">IF(M959="Control",INDEX(IC!A:A,1+BIN2DEC(MID($B959,21,4))),"")</f>
        <v>0</v>
      </c>
      <c r="T959" cm="1">
        <f t="array" ref="T959">IF(M959="Control",INDEX(EC!A:A,1+BIN2DEC(MID($B959,25,3))),"")</f>
        <v>0</v>
      </c>
      <c r="U959" cm="1">
        <f t="array" ref="U959">IF(M959="Control",INDEX(SR!A:A,1+BIN2DEC(MID($B959,28,2))),"")</f>
        <v>0</v>
      </c>
    </row>
    <row r="960" spans="1:30" x14ac:dyDescent="0.25">
      <c r="A960" s="4" t="str">
        <f t="shared" si="93"/>
        <v>3BE</v>
      </c>
      <c r="B960" s="2" t="s">
        <v>874</v>
      </c>
      <c r="C960" s="3"/>
      <c r="D960" s="3"/>
      <c r="E960" s="3"/>
      <c r="F960" s="27" t="str" cm="1">
        <f t="array" ref="F960">INDEX(Sources!A:A, 1 + BIN2DEC(LEFT($B960,5)))</f>
        <v>SIGMA</v>
      </c>
      <c r="G960" s="27" t="str" cm="1">
        <f t="array" ref="G960">INDEX(Dest1!A:A,1+BIN2DEC(MID($B960,6,5)))</f>
        <v>UNK2</v>
      </c>
      <c r="H960" s="27" t="str" cm="1">
        <f t="array" ref="H960">INDEX(Source2!A:A,1+BIN2DEC(MID($B960,11,4)))</f>
        <v>11</v>
      </c>
      <c r="I960" s="23" t="str" cm="1">
        <f t="array" ref="I960">INDEX('D2'!A:A,1+BIN2DEC(MID($B960,16,2)))</f>
        <v>TMPB</v>
      </c>
      <c r="J960" s="6">
        <f t="shared" si="94"/>
        <v>0</v>
      </c>
      <c r="K960" s="6">
        <f t="shared" si="90"/>
        <v>0</v>
      </c>
      <c r="L960" s="6">
        <f t="shared" si="91"/>
        <v>0</v>
      </c>
      <c r="M960" s="3" t="str" cm="1">
        <f t="array" ref="M960">INDEX(Types!A:A,1+BIN2DEC(MID($B960,20,2)))</f>
        <v>Control</v>
      </c>
      <c r="N960" s="3" t="str" cm="1">
        <f t="array" ref="N960">IF(M960="ALU",INDEX(ALUOps!A:A,1+BIN2DEC(MID($B960,22,5))),"")</f>
        <v/>
      </c>
      <c r="O960" s="3" t="str" cm="1">
        <f t="array" ref="O960">IF(M960="ALU",INDEX(TMP!A:A,1+BIN2DEC(MID($B960,27,2))),"")</f>
        <v/>
      </c>
      <c r="P960" s="6" t="str">
        <f t="shared" si="92"/>
        <v/>
      </c>
      <c r="Q960" t="str">
        <f t="shared" si="95"/>
        <v/>
      </c>
      <c r="R960" t="str">
        <f t="shared" si="96"/>
        <v/>
      </c>
      <c r="S960" cm="1">
        <f t="array" ref="S960">IF(M960="Control",INDEX(IC!A:A,1+BIN2DEC(MID($B960,21,4))),"")</f>
        <v>7</v>
      </c>
      <c r="T960" cm="1">
        <f t="array" ref="T960">IF(M960="Control",INDEX(EC!A:A,1+BIN2DEC(MID($B960,25,3))),"")</f>
        <v>0</v>
      </c>
      <c r="U960" cm="1">
        <f t="array" ref="U960">IF(M960="Control",INDEX(SR!A:A,1+BIN2DEC(MID($B960,28,2))),"")</f>
        <v>0</v>
      </c>
    </row>
    <row r="961" spans="1:30" x14ac:dyDescent="0.25">
      <c r="A961" s="4" t="str">
        <f t="shared" si="93"/>
        <v>3BF</v>
      </c>
      <c r="B961" s="2" t="s">
        <v>875</v>
      </c>
      <c r="C961" s="3"/>
      <c r="D961" s="3"/>
      <c r="E961" s="3"/>
      <c r="F961" s="27" t="str" cm="1">
        <f t="array" ref="F961">INDEX(Sources!A:A, 1 + BIN2DEC(LEFT($B961,5)))</f>
        <v>UNK27</v>
      </c>
      <c r="G961" s="27" t="str" cm="1">
        <f t="array" ref="G961">INDEX(Dest1!A:A,1+BIN2DEC(MID($B961,6,5)))</f>
        <v>OUT</v>
      </c>
      <c r="H961" s="27" t="str" cm="1">
        <f t="array" ref="H961">INDEX(Source2!A:A,1+BIN2DEC(MID($B961,11,4)))</f>
        <v>--</v>
      </c>
      <c r="I961" s="23" cm="1">
        <f t="array" ref="I961">INDEX('D2'!A:A,1+BIN2DEC(MID($B961,16,2)))</f>
        <v>0</v>
      </c>
      <c r="J961" s="6">
        <f t="shared" si="94"/>
        <v>0</v>
      </c>
      <c r="K961" s="6">
        <f t="shared" si="90"/>
        <v>0</v>
      </c>
      <c r="L961" s="6">
        <f t="shared" si="91"/>
        <v>0</v>
      </c>
      <c r="M961" s="3" t="str" cm="1">
        <f t="array" ref="M961">INDEX(Types!A:A,1+BIN2DEC(MID($B961,20,2)))</f>
        <v>Control</v>
      </c>
      <c r="N961" s="3" t="str" cm="1">
        <f t="array" ref="N961">IF(M961="ALU",INDEX(ALUOps!A:A,1+BIN2DEC(MID($B961,22,5))),"")</f>
        <v/>
      </c>
      <c r="O961" s="3" t="str" cm="1">
        <f t="array" ref="O961">IF(M961="ALU",INDEX(TMP!A:A,1+BIN2DEC(MID($B961,27,2))),"")</f>
        <v/>
      </c>
      <c r="P961" s="6" t="str">
        <f t="shared" si="92"/>
        <v/>
      </c>
      <c r="Q961" t="str">
        <f t="shared" si="95"/>
        <v/>
      </c>
      <c r="R961" t="str">
        <f t="shared" si="96"/>
        <v/>
      </c>
      <c r="S961" cm="1">
        <f t="array" ref="S961">IF(M961="Control",INDEX(IC!A:A,1+BIN2DEC(MID($B961,21,4))),"")</f>
        <v>0</v>
      </c>
      <c r="T961" cm="1">
        <f t="array" ref="T961">IF(M961="Control",INDEX(EC!A:A,1+BIN2DEC(MID($B961,25,3))),"")</f>
        <v>5</v>
      </c>
      <c r="U961" cm="1">
        <f t="array" ref="U961">IF(M961="Control",INDEX(SR!A:A,1+BIN2DEC(MID($B961,28,2))),"")</f>
        <v>0</v>
      </c>
    </row>
    <row r="962" spans="1:30" x14ac:dyDescent="0.25">
      <c r="A962" s="4" t="str">
        <f t="shared" si="93"/>
        <v>3C0</v>
      </c>
      <c r="B962" s="2" t="s">
        <v>548</v>
      </c>
      <c r="C962" s="2" t="s">
        <v>878</v>
      </c>
      <c r="D962" s="2" t="s">
        <v>937</v>
      </c>
      <c r="E962" s="2" t="s">
        <v>929</v>
      </c>
      <c r="F962" s="27" t="str" cm="1">
        <f t="array" ref="F962">INDEX(Sources!A:A, 1 + BIN2DEC(LEFT($B962,5)))</f>
        <v>TMPB</v>
      </c>
      <c r="G962" s="27" t="str" cm="1">
        <f t="array" ref="G962">INDEX(Dest1!A:A,1+BIN2DEC(MID($B962,6,5)))</f>
        <v>PC</v>
      </c>
      <c r="H962" s="27" t="str" cm="1">
        <f t="array" ref="H962">INDEX(Source2!A:A,1+BIN2DEC(MID($B962,11,4)))</f>
        <v>--</v>
      </c>
      <c r="I962" s="23" cm="1">
        <f t="array" ref="I962">INDEX('D2'!A:A,1+BIN2DEC(MID($B962,16,2)))</f>
        <v>0</v>
      </c>
      <c r="J962" s="6">
        <f t="shared" si="94"/>
        <v>0</v>
      </c>
      <c r="K962" s="6">
        <f t="shared" ref="K962:K1025" si="97">BIN2DEC(MID($B962,18,1))</f>
        <v>0</v>
      </c>
      <c r="L962" s="6">
        <f t="shared" ref="L962:L1025" si="98">BIN2DEC(MID($B962,19,1))</f>
        <v>1</v>
      </c>
      <c r="M962" s="3" t="str" cm="1">
        <f t="array" ref="M962">INDEX(Types!A:A,1+BIN2DEC(MID($B962,20,2)))</f>
        <v>Control</v>
      </c>
      <c r="N962" s="3" t="str" cm="1">
        <f t="array" ref="N962">IF(M962="ALU",INDEX(ALUOps!A:A,1+BIN2DEC(MID($B962,22,5))),"")</f>
        <v/>
      </c>
      <c r="O962" s="3" t="str" cm="1">
        <f t="array" ref="O962">IF(M962="ALU",INDEX(TMP!A:A,1+BIN2DEC(MID($B962,27,2))),"")</f>
        <v/>
      </c>
      <c r="P962" s="6" t="str">
        <f t="shared" ref="P962:P1025" si="99">IF(M962="ALU",BIN2DEC(MID($B962,29,1)),"")</f>
        <v/>
      </c>
      <c r="Q962" t="str">
        <f t="shared" si="95"/>
        <v/>
      </c>
      <c r="R962" t="str">
        <f t="shared" si="96"/>
        <v/>
      </c>
      <c r="S962" cm="1">
        <f t="array" ref="S962">IF(M962="Control",INDEX(IC!A:A,1+BIN2DEC(MID($B962,21,4))),"")</f>
        <v>6</v>
      </c>
      <c r="T962" cm="1">
        <f t="array" ref="T962">IF(M962="Control",INDEX(EC!A:A,1+BIN2DEC(MID($B962,25,3))),"")</f>
        <v>0</v>
      </c>
      <c r="U962" cm="1">
        <f t="array" ref="U962">IF(M962="Control",INDEX(SR!A:A,1+BIN2DEC(MID($B962,28,2))),"")</f>
        <v>0</v>
      </c>
      <c r="AD962" s="1" t="s">
        <v>259</v>
      </c>
    </row>
    <row r="963" spans="1:30" x14ac:dyDescent="0.25">
      <c r="A963" s="4" t="str">
        <f t="shared" ref="A963:A1026" si="100">DEC2HEX(ROW(A962)-ROW($A$1),3)</f>
        <v>3C1</v>
      </c>
      <c r="B963" s="2" t="s">
        <v>4</v>
      </c>
      <c r="C963" s="3"/>
      <c r="D963" s="3"/>
      <c r="E963" s="3"/>
      <c r="F963" s="27" t="str" cm="1">
        <f t="array" ref="F963">INDEX(Sources!A:A, 1 + BIN2DEC(LEFT($B963,5)))</f>
        <v>--</v>
      </c>
      <c r="G963" s="27" t="str" cm="1">
        <f t="array" ref="G963">INDEX(Dest1!A:A,1+BIN2DEC(MID($B963,6,5)))</f>
        <v>--</v>
      </c>
      <c r="H963" s="27" t="str" cm="1">
        <f t="array" ref="H963">INDEX(Source2!A:A,1+BIN2DEC(MID($B963,11,4)))</f>
        <v>--</v>
      </c>
      <c r="I963" s="23" cm="1">
        <f t="array" ref="I963">INDEX('D2'!A:A,1+BIN2DEC(MID($B963,16,2)))</f>
        <v>0</v>
      </c>
      <c r="J963" s="6">
        <f t="shared" ref="J963:J1026" si="101">BIN2DEC(MID($B963,17,1))</f>
        <v>0</v>
      </c>
      <c r="K963" s="6">
        <f t="shared" si="97"/>
        <v>0</v>
      </c>
      <c r="L963" s="6">
        <f t="shared" si="98"/>
        <v>0</v>
      </c>
      <c r="M963" s="3" t="str" cm="1">
        <f t="array" ref="M963">INDEX(Types!A:A,1+BIN2DEC(MID($B963,20,2)))</f>
        <v>Control</v>
      </c>
      <c r="N963" s="3" t="str" cm="1">
        <f t="array" ref="N963">IF(M963="ALU",INDEX(ALUOps!A:A,1+BIN2DEC(MID($B963,22,5))),"")</f>
        <v/>
      </c>
      <c r="O963" s="3" t="str" cm="1">
        <f t="array" ref="O963">IF(M963="ALU",INDEX(TMP!A:A,1+BIN2DEC(MID($B963,27,2))),"")</f>
        <v/>
      </c>
      <c r="P963" s="6" t="str">
        <f t="shared" si="99"/>
        <v/>
      </c>
      <c r="Q963" t="str">
        <f t="shared" ref="Q963:Q1026" si="102">IF(M963="Jump",BIN2DEC(MID($B963,22,4)),"")</f>
        <v/>
      </c>
      <c r="R963" t="str">
        <f t="shared" si="96"/>
        <v/>
      </c>
      <c r="S963" cm="1">
        <f t="array" ref="S963">IF(M963="Control",INDEX(IC!A:A,1+BIN2DEC(MID($B963,21,4))),"")</f>
        <v>0</v>
      </c>
      <c r="T963" cm="1">
        <f t="array" ref="T963">IF(M963="Control",INDEX(EC!A:A,1+BIN2DEC(MID($B963,25,3))),"")</f>
        <v>0</v>
      </c>
      <c r="U963" cm="1">
        <f t="array" ref="U963">IF(M963="Control",INDEX(SR!A:A,1+BIN2DEC(MID($B963,28,2))),"")</f>
        <v>0</v>
      </c>
    </row>
    <row r="964" spans="1:30" x14ac:dyDescent="0.25">
      <c r="A964" s="4" t="str">
        <f t="shared" si="100"/>
        <v>3C2</v>
      </c>
      <c r="B964" s="2" t="s">
        <v>4</v>
      </c>
      <c r="C964" s="3"/>
      <c r="D964" s="3"/>
      <c r="E964" s="3"/>
      <c r="F964" s="27" t="str" cm="1">
        <f t="array" ref="F964">INDEX(Sources!A:A, 1 + BIN2DEC(LEFT($B964,5)))</f>
        <v>--</v>
      </c>
      <c r="G964" s="27" t="str" cm="1">
        <f t="array" ref="G964">INDEX(Dest1!A:A,1+BIN2DEC(MID($B964,6,5)))</f>
        <v>--</v>
      </c>
      <c r="H964" s="27" t="str" cm="1">
        <f t="array" ref="H964">INDEX(Source2!A:A,1+BIN2DEC(MID($B964,11,4)))</f>
        <v>--</v>
      </c>
      <c r="I964" s="23" cm="1">
        <f t="array" ref="I964">INDEX('D2'!A:A,1+BIN2DEC(MID($B964,16,2)))</f>
        <v>0</v>
      </c>
      <c r="J964" s="6">
        <f t="shared" si="101"/>
        <v>0</v>
      </c>
      <c r="K964" s="6">
        <f t="shared" si="97"/>
        <v>0</v>
      </c>
      <c r="L964" s="6">
        <f t="shared" si="98"/>
        <v>0</v>
      </c>
      <c r="M964" s="3" t="str" cm="1">
        <f t="array" ref="M964">INDEX(Types!A:A,1+BIN2DEC(MID($B964,20,2)))</f>
        <v>Control</v>
      </c>
      <c r="N964" s="3" t="str" cm="1">
        <f t="array" ref="N964">IF(M964="ALU",INDEX(ALUOps!A:A,1+BIN2DEC(MID($B964,22,5))),"")</f>
        <v/>
      </c>
      <c r="O964" s="3" t="str" cm="1">
        <f t="array" ref="O964">IF(M964="ALU",INDEX(TMP!A:A,1+BIN2DEC(MID($B964,27,2))),"")</f>
        <v/>
      </c>
      <c r="P964" s="6" t="str">
        <f t="shared" si="99"/>
        <v/>
      </c>
      <c r="Q964" t="str">
        <f t="shared" si="102"/>
        <v/>
      </c>
      <c r="R964" t="str">
        <f t="shared" si="96"/>
        <v/>
      </c>
      <c r="S964" cm="1">
        <f t="array" ref="S964">IF(M964="Control",INDEX(IC!A:A,1+BIN2DEC(MID($B964,21,4))),"")</f>
        <v>0</v>
      </c>
      <c r="T964" cm="1">
        <f t="array" ref="T964">IF(M964="Control",INDEX(EC!A:A,1+BIN2DEC(MID($B964,25,3))),"")</f>
        <v>0</v>
      </c>
      <c r="U964" cm="1">
        <f t="array" ref="U964">IF(M964="Control",INDEX(SR!A:A,1+BIN2DEC(MID($B964,28,2))),"")</f>
        <v>0</v>
      </c>
    </row>
    <row r="965" spans="1:30" x14ac:dyDescent="0.25">
      <c r="A965" s="4" t="str">
        <f t="shared" si="100"/>
        <v>3C3</v>
      </c>
      <c r="B965" s="2" t="s">
        <v>4</v>
      </c>
      <c r="C965" s="3"/>
      <c r="D965" s="3"/>
      <c r="E965" s="3"/>
      <c r="F965" s="27" t="str" cm="1">
        <f t="array" ref="F965">INDEX(Sources!A:A, 1 + BIN2DEC(LEFT($B965,5)))</f>
        <v>--</v>
      </c>
      <c r="G965" s="27" t="str" cm="1">
        <f t="array" ref="G965">INDEX(Dest1!A:A,1+BIN2DEC(MID($B965,6,5)))</f>
        <v>--</v>
      </c>
      <c r="H965" s="27" t="str" cm="1">
        <f t="array" ref="H965">INDEX(Source2!A:A,1+BIN2DEC(MID($B965,11,4)))</f>
        <v>--</v>
      </c>
      <c r="I965" s="23" cm="1">
        <f t="array" ref="I965">INDEX('D2'!A:A,1+BIN2DEC(MID($B965,16,2)))</f>
        <v>0</v>
      </c>
      <c r="J965" s="6">
        <f t="shared" si="101"/>
        <v>0</v>
      </c>
      <c r="K965" s="6">
        <f t="shared" si="97"/>
        <v>0</v>
      </c>
      <c r="L965" s="6">
        <f t="shared" si="98"/>
        <v>0</v>
      </c>
      <c r="M965" s="3" t="str" cm="1">
        <f t="array" ref="M965">INDEX(Types!A:A,1+BIN2DEC(MID($B965,20,2)))</f>
        <v>Control</v>
      </c>
      <c r="N965" s="3" t="str" cm="1">
        <f t="array" ref="N965">IF(M965="ALU",INDEX(ALUOps!A:A,1+BIN2DEC(MID($B965,22,5))),"")</f>
        <v/>
      </c>
      <c r="O965" s="3" t="str" cm="1">
        <f t="array" ref="O965">IF(M965="ALU",INDEX(TMP!A:A,1+BIN2DEC(MID($B965,27,2))),"")</f>
        <v/>
      </c>
      <c r="P965" s="6" t="str">
        <f t="shared" si="99"/>
        <v/>
      </c>
      <c r="Q965" t="str">
        <f t="shared" si="102"/>
        <v/>
      </c>
      <c r="R965" t="str">
        <f t="shared" si="96"/>
        <v/>
      </c>
      <c r="S965" cm="1">
        <f t="array" ref="S965">IF(M965="Control",INDEX(IC!A:A,1+BIN2DEC(MID($B965,21,4))),"")</f>
        <v>0</v>
      </c>
      <c r="T965" cm="1">
        <f t="array" ref="T965">IF(M965="Control",INDEX(EC!A:A,1+BIN2DEC(MID($B965,25,3))),"")</f>
        <v>0</v>
      </c>
      <c r="U965" cm="1">
        <f t="array" ref="U965">IF(M965="Control",INDEX(SR!A:A,1+BIN2DEC(MID($B965,28,2))),"")</f>
        <v>0</v>
      </c>
    </row>
    <row r="966" spans="1:30" x14ac:dyDescent="0.25">
      <c r="A966" s="4" t="str">
        <f t="shared" si="100"/>
        <v>3C4</v>
      </c>
      <c r="B966" s="2" t="s">
        <v>877</v>
      </c>
      <c r="C966" s="2" t="s">
        <v>879</v>
      </c>
      <c r="D966" s="2" t="s">
        <v>937</v>
      </c>
      <c r="E966" s="2" t="s">
        <v>462</v>
      </c>
      <c r="F966" s="27" t="str" cm="1">
        <f t="array" ref="F966">INDEX(Sources!A:A, 1 + BIN2DEC(LEFT($B966,5)))</f>
        <v>Q</v>
      </c>
      <c r="G966" s="27" t="str" cm="1">
        <f t="array" ref="G966">INDEX(Dest1!A:A,1+BIN2DEC(MID($B966,6,5)))</f>
        <v>UNK11</v>
      </c>
      <c r="H966" s="27" t="str" cm="1">
        <f t="array" ref="H966">INDEX(Source2!A:A,1+BIN2DEC(MID($B966,11,4)))</f>
        <v>2</v>
      </c>
      <c r="I966" s="23" cm="1">
        <f t="array" ref="I966">INDEX('D2'!A:A,1+BIN2DEC(MID($B966,16,2)))</f>
        <v>0</v>
      </c>
      <c r="J966" s="6">
        <f t="shared" si="101"/>
        <v>0</v>
      </c>
      <c r="K966" s="6">
        <f t="shared" si="97"/>
        <v>0</v>
      </c>
      <c r="L966" s="6">
        <f t="shared" si="98"/>
        <v>0</v>
      </c>
      <c r="M966" s="3" t="str" cm="1">
        <f t="array" ref="M966">INDEX(Types!A:A,1+BIN2DEC(MID($B966,20,2)))</f>
        <v>ALU</v>
      </c>
      <c r="N966" s="3" cm="1">
        <f t="array" ref="N966">IF(M966="ALU",INDEX(ALUOps!A:A,1+BIN2DEC(MID($B966,22,5))),"")</f>
        <v>2</v>
      </c>
      <c r="O966" s="3" cm="1">
        <f t="array" ref="O966">IF(M966="ALU",INDEX(TMP!A:A,1+BIN2DEC(MID($B966,27,2))),"")</f>
        <v>2</v>
      </c>
      <c r="P966" s="6">
        <f t="shared" si="99"/>
        <v>1</v>
      </c>
      <c r="Q966" t="str">
        <f t="shared" si="102"/>
        <v/>
      </c>
      <c r="R966" t="str">
        <f t="shared" si="96"/>
        <v/>
      </c>
      <c r="S966" t="str" cm="1">
        <f t="array" ref="S966">IF(M966="Control",INDEX(IC!A:A,1+BIN2DEC(MID($B966,21,4))),"")</f>
        <v/>
      </c>
      <c r="T966" t="str" cm="1">
        <f t="array" ref="T966">IF(M966="Control",INDEX(EC!A:A,1+BIN2DEC(MID($B966,25,3))),"")</f>
        <v/>
      </c>
      <c r="U966" t="str" cm="1">
        <f t="array" ref="U966">IF(M966="Control",INDEX(SR!A:A,1+BIN2DEC(MID($B966,28,2))),"")</f>
        <v/>
      </c>
      <c r="W966">
        <v>8080</v>
      </c>
      <c r="X966" t="s">
        <v>1087</v>
      </c>
      <c r="AD966" s="1" t="s">
        <v>880</v>
      </c>
    </row>
    <row r="967" spans="1:30" x14ac:dyDescent="0.25">
      <c r="A967" s="4" t="str">
        <f t="shared" si="100"/>
        <v>3C5</v>
      </c>
      <c r="B967" s="2" t="s">
        <v>8</v>
      </c>
      <c r="C967" s="3"/>
      <c r="D967" s="3"/>
      <c r="E967" s="3"/>
      <c r="F967" s="27" t="str" cm="1">
        <f t="array" ref="F967">INDEX(Sources!A:A, 1 + BIN2DEC(LEFT($B967,5)))</f>
        <v>Q</v>
      </c>
      <c r="G967" s="27" t="str" cm="1">
        <f t="array" ref="G967">INDEX(Dest1!A:A,1+BIN2DEC(MID($B967,6,5)))</f>
        <v>UNK9</v>
      </c>
      <c r="H967" s="27" t="str" cm="1">
        <f t="array" ref="H967">INDEX(Source2!A:A,1+BIN2DEC(MID($B967,11,4)))</f>
        <v>--</v>
      </c>
      <c r="I967" s="23" cm="1">
        <f t="array" ref="I967">INDEX('D2'!A:A,1+BIN2DEC(MID($B967,16,2)))</f>
        <v>0</v>
      </c>
      <c r="J967" s="6">
        <f t="shared" si="101"/>
        <v>0</v>
      </c>
      <c r="K967" s="6">
        <f t="shared" si="97"/>
        <v>0</v>
      </c>
      <c r="L967" s="6">
        <f t="shared" si="98"/>
        <v>0</v>
      </c>
      <c r="M967" s="3" t="str" cm="1">
        <f t="array" ref="M967">INDEX(Types!A:A,1+BIN2DEC(MID($B967,20,2)))</f>
        <v>Control</v>
      </c>
      <c r="N967" s="3" t="str" cm="1">
        <f t="array" ref="N967">IF(M967="ALU",INDEX(ALUOps!A:A,1+BIN2DEC(MID($B967,22,5))),"")</f>
        <v/>
      </c>
      <c r="O967" s="3" t="str" cm="1">
        <f t="array" ref="O967">IF(M967="ALU",INDEX(TMP!A:A,1+BIN2DEC(MID($B967,27,2))),"")</f>
        <v/>
      </c>
      <c r="P967" s="6" t="str">
        <f t="shared" si="99"/>
        <v/>
      </c>
      <c r="Q967" t="str">
        <f t="shared" si="102"/>
        <v/>
      </c>
      <c r="R967" t="str">
        <f t="shared" ref="R967:R1029" si="103">IF(M967="Jump",15-BIN2DEC(MID($B967,26,4)),"")</f>
        <v/>
      </c>
      <c r="S967" cm="1">
        <f t="array" ref="S967">IF(M967="Control",INDEX(IC!A:A,1+BIN2DEC(MID($B967,21,4))),"")</f>
        <v>0</v>
      </c>
      <c r="T967" cm="1">
        <f t="array" ref="T967">IF(M967="Control",INDEX(EC!A:A,1+BIN2DEC(MID($B967,25,3))),"")</f>
        <v>0</v>
      </c>
      <c r="U967" cm="1">
        <f t="array" ref="U967">IF(M967="Control",INDEX(SR!A:A,1+BIN2DEC(MID($B967,28,2))),"")</f>
        <v>0</v>
      </c>
    </row>
    <row r="968" spans="1:30" x14ac:dyDescent="0.25">
      <c r="A968" s="4" t="str">
        <f t="shared" si="100"/>
        <v>3C6</v>
      </c>
      <c r="B968" s="2" t="s">
        <v>870</v>
      </c>
      <c r="C968" s="3"/>
      <c r="D968" s="3"/>
      <c r="E968" s="3"/>
      <c r="F968" s="27" t="str" cm="1">
        <f t="array" ref="F968">INDEX(Sources!A:A, 1 + BIN2DEC(LEFT($B968,5)))</f>
        <v>--</v>
      </c>
      <c r="G968" s="27" t="str" cm="1">
        <f t="array" ref="G968">INDEX(Dest1!A:A,1+BIN2DEC(MID($B968,6,5)))</f>
        <v>--</v>
      </c>
      <c r="H968" s="27" t="str" cm="1">
        <f t="array" ref="H968">INDEX(Source2!A:A,1+BIN2DEC(MID($B968,11,4)))</f>
        <v>--</v>
      </c>
      <c r="I968" s="23" cm="1">
        <f t="array" ref="I968">INDEX('D2'!A:A,1+BIN2DEC(MID($B968,16,2)))</f>
        <v>0</v>
      </c>
      <c r="J968" s="6">
        <f t="shared" si="101"/>
        <v>0</v>
      </c>
      <c r="K968" s="6">
        <f t="shared" si="97"/>
        <v>0</v>
      </c>
      <c r="L968" s="6">
        <f t="shared" si="98"/>
        <v>0</v>
      </c>
      <c r="M968" s="3" t="str" cm="1">
        <f t="array" ref="M968">INDEX(Types!A:A,1+BIN2DEC(MID($B968,20,2)))</f>
        <v>Jump</v>
      </c>
      <c r="N968" s="3" t="str" cm="1">
        <f t="array" ref="N968">IF(M968="ALU",INDEX(ALUOps!A:A,1+BIN2DEC(MID($B968,22,5))),"")</f>
        <v/>
      </c>
      <c r="O968" s="3" t="str" cm="1">
        <f t="array" ref="O968">IF(M968="ALU",INDEX(TMP!A:A,1+BIN2DEC(MID($B968,27,2))),"")</f>
        <v/>
      </c>
      <c r="P968" s="6" t="str">
        <f t="shared" si="99"/>
        <v/>
      </c>
      <c r="Q968">
        <f t="shared" si="102"/>
        <v>0</v>
      </c>
      <c r="R968">
        <f t="shared" si="103"/>
        <v>5</v>
      </c>
      <c r="S968" t="str" cm="1">
        <f t="array" ref="S968">IF(M968="Control",INDEX(IC!A:A,1+BIN2DEC(MID($B968,21,4))),"")</f>
        <v/>
      </c>
      <c r="T968" t="str" cm="1">
        <f t="array" ref="T968">IF(M968="Control",INDEX(EC!A:A,1+BIN2DEC(MID($B968,25,3))),"")</f>
        <v/>
      </c>
      <c r="U968" t="str" cm="1">
        <f t="array" ref="U968">IF(M968="Control",INDEX(SR!A:A,1+BIN2DEC(MID($B968,28,2))),"")</f>
        <v/>
      </c>
    </row>
    <row r="969" spans="1:30" x14ac:dyDescent="0.25">
      <c r="A969" s="4" t="str">
        <f t="shared" si="100"/>
        <v>3C7</v>
      </c>
      <c r="B969" s="2" t="s">
        <v>39</v>
      </c>
      <c r="C969" s="3"/>
      <c r="D969" s="3"/>
      <c r="E969" s="3"/>
      <c r="F969" s="27" t="str" cm="1">
        <f t="array" ref="F969">INDEX(Sources!A:A, 1 + BIN2DEC(LEFT($B969,5)))</f>
        <v>--</v>
      </c>
      <c r="G969" s="27" t="str" cm="1">
        <f t="array" ref="G969">INDEX(Dest1!A:A,1+BIN2DEC(MID($B969,6,5)))</f>
        <v>--</v>
      </c>
      <c r="H969" s="27" t="str" cm="1">
        <f t="array" ref="H969">INDEX(Source2!A:A,1+BIN2DEC(MID($B969,11,4)))</f>
        <v>--</v>
      </c>
      <c r="I969" s="23" cm="1">
        <f t="array" ref="I969">INDEX('D2'!A:A,1+BIN2DEC(MID($B969,16,2)))</f>
        <v>0</v>
      </c>
      <c r="J969" s="6">
        <f t="shared" si="101"/>
        <v>0</v>
      </c>
      <c r="K969" s="6">
        <f t="shared" si="97"/>
        <v>0</v>
      </c>
      <c r="L969" s="6">
        <f t="shared" si="98"/>
        <v>1</v>
      </c>
      <c r="M969" s="3" t="str" cm="1">
        <f t="array" ref="M969">INDEX(Types!A:A,1+BIN2DEC(MID($B969,20,2)))</f>
        <v>Control</v>
      </c>
      <c r="N969" s="3" t="str" cm="1">
        <f t="array" ref="N969">IF(M969="ALU",INDEX(ALUOps!A:A,1+BIN2DEC(MID($B969,22,5))),"")</f>
        <v/>
      </c>
      <c r="O969" s="3" t="str" cm="1">
        <f t="array" ref="O969">IF(M969="ALU",INDEX(TMP!A:A,1+BIN2DEC(MID($B969,27,2))),"")</f>
        <v/>
      </c>
      <c r="P969" s="6" t="str">
        <f t="shared" si="99"/>
        <v/>
      </c>
      <c r="Q969" t="str">
        <f t="shared" si="102"/>
        <v/>
      </c>
      <c r="R969" t="str">
        <f t="shared" si="103"/>
        <v/>
      </c>
      <c r="S969" cm="1">
        <f t="array" ref="S969">IF(M969="Control",INDEX(IC!A:A,1+BIN2DEC(MID($B969,21,4))),"")</f>
        <v>0</v>
      </c>
      <c r="T969" cm="1">
        <f t="array" ref="T969">IF(M969="Control",INDEX(EC!A:A,1+BIN2DEC(MID($B969,25,3))),"")</f>
        <v>0</v>
      </c>
      <c r="U969" cm="1">
        <f t="array" ref="U969">IF(M969="Control",INDEX(SR!A:A,1+BIN2DEC(MID($B969,28,2))),"")</f>
        <v>0</v>
      </c>
    </row>
    <row r="970" spans="1:30" x14ac:dyDescent="0.25">
      <c r="A970" s="4" t="str">
        <f t="shared" si="100"/>
        <v>3C8</v>
      </c>
      <c r="B970" s="2" t="s">
        <v>4</v>
      </c>
      <c r="C970" s="2" t="s">
        <v>881</v>
      </c>
      <c r="D970" s="2" t="s">
        <v>937</v>
      </c>
      <c r="E970" s="2" t="s">
        <v>929</v>
      </c>
      <c r="F970" s="27" t="str" cm="1">
        <f t="array" ref="F970">INDEX(Sources!A:A, 1 + BIN2DEC(LEFT($B970,5)))</f>
        <v>--</v>
      </c>
      <c r="G970" s="27" t="str" cm="1">
        <f t="array" ref="G970">INDEX(Dest1!A:A,1+BIN2DEC(MID($B970,6,5)))</f>
        <v>--</v>
      </c>
      <c r="H970" s="27" t="str" cm="1">
        <f t="array" ref="H970">INDEX(Source2!A:A,1+BIN2DEC(MID($B970,11,4)))</f>
        <v>--</v>
      </c>
      <c r="I970" s="23" cm="1">
        <f t="array" ref="I970">INDEX('D2'!A:A,1+BIN2DEC(MID($B970,16,2)))</f>
        <v>0</v>
      </c>
      <c r="J970" s="6">
        <f t="shared" si="101"/>
        <v>0</v>
      </c>
      <c r="K970" s="6">
        <f t="shared" si="97"/>
        <v>0</v>
      </c>
      <c r="L970" s="6">
        <f t="shared" si="98"/>
        <v>0</v>
      </c>
      <c r="M970" s="3" t="str" cm="1">
        <f t="array" ref="M970">INDEX(Types!A:A,1+BIN2DEC(MID($B970,20,2)))</f>
        <v>Control</v>
      </c>
      <c r="N970" s="3" t="str" cm="1">
        <f t="array" ref="N970">IF(M970="ALU",INDEX(ALUOps!A:A,1+BIN2DEC(MID($B970,22,5))),"")</f>
        <v/>
      </c>
      <c r="O970" s="3" t="str" cm="1">
        <f t="array" ref="O970">IF(M970="ALU",INDEX(TMP!A:A,1+BIN2DEC(MID($B970,27,2))),"")</f>
        <v/>
      </c>
      <c r="P970" s="6" t="str">
        <f t="shared" si="99"/>
        <v/>
      </c>
      <c r="Q970" t="str">
        <f t="shared" si="102"/>
        <v/>
      </c>
      <c r="R970" t="str">
        <f t="shared" si="103"/>
        <v/>
      </c>
      <c r="S970" cm="1">
        <f t="array" ref="S970">IF(M970="Control",INDEX(IC!A:A,1+BIN2DEC(MID($B970,21,4))),"")</f>
        <v>0</v>
      </c>
      <c r="T970" cm="1">
        <f t="array" ref="T970">IF(M970="Control",INDEX(EC!A:A,1+BIN2DEC(MID($B970,25,3))),"")</f>
        <v>0</v>
      </c>
      <c r="U970" cm="1">
        <f t="array" ref="U970">IF(M970="Control",INDEX(SR!A:A,1+BIN2DEC(MID($B970,28,2))),"")</f>
        <v>0</v>
      </c>
      <c r="AD970" s="1" t="s">
        <v>880</v>
      </c>
    </row>
    <row r="971" spans="1:30" x14ac:dyDescent="0.25">
      <c r="A971" s="4" t="str">
        <f t="shared" si="100"/>
        <v>3C9</v>
      </c>
      <c r="B971" s="2" t="s">
        <v>874</v>
      </c>
      <c r="C971" s="3"/>
      <c r="D971" s="3"/>
      <c r="E971" s="3"/>
      <c r="F971" s="27" t="str" cm="1">
        <f t="array" ref="F971">INDEX(Sources!A:A, 1 + BIN2DEC(LEFT($B971,5)))</f>
        <v>SIGMA</v>
      </c>
      <c r="G971" s="27" t="str" cm="1">
        <f t="array" ref="G971">INDEX(Dest1!A:A,1+BIN2DEC(MID($B971,6,5)))</f>
        <v>UNK2</v>
      </c>
      <c r="H971" s="27" t="str" cm="1">
        <f t="array" ref="H971">INDEX(Source2!A:A,1+BIN2DEC(MID($B971,11,4)))</f>
        <v>11</v>
      </c>
      <c r="I971" s="23" t="str" cm="1">
        <f t="array" ref="I971">INDEX('D2'!A:A,1+BIN2DEC(MID($B971,16,2)))</f>
        <v>TMPB</v>
      </c>
      <c r="J971" s="6">
        <f t="shared" si="101"/>
        <v>0</v>
      </c>
      <c r="K971" s="6">
        <f t="shared" si="97"/>
        <v>0</v>
      </c>
      <c r="L971" s="6">
        <f t="shared" si="98"/>
        <v>0</v>
      </c>
      <c r="M971" s="3" t="str" cm="1">
        <f t="array" ref="M971">INDEX(Types!A:A,1+BIN2DEC(MID($B971,20,2)))</f>
        <v>Control</v>
      </c>
      <c r="N971" s="3" t="str" cm="1">
        <f t="array" ref="N971">IF(M971="ALU",INDEX(ALUOps!A:A,1+BIN2DEC(MID($B971,22,5))),"")</f>
        <v/>
      </c>
      <c r="O971" s="3" t="str" cm="1">
        <f t="array" ref="O971">IF(M971="ALU",INDEX(TMP!A:A,1+BIN2DEC(MID($B971,27,2))),"")</f>
        <v/>
      </c>
      <c r="P971" s="6" t="str">
        <f t="shared" si="99"/>
        <v/>
      </c>
      <c r="Q971" t="str">
        <f t="shared" si="102"/>
        <v/>
      </c>
      <c r="R971" t="str">
        <f t="shared" si="103"/>
        <v/>
      </c>
      <c r="S971" cm="1">
        <f t="array" ref="S971">IF(M971="Control",INDEX(IC!A:A,1+BIN2DEC(MID($B971,21,4))),"")</f>
        <v>7</v>
      </c>
      <c r="T971" cm="1">
        <f t="array" ref="T971">IF(M971="Control",INDEX(EC!A:A,1+BIN2DEC(MID($B971,25,3))),"")</f>
        <v>0</v>
      </c>
      <c r="U971" cm="1">
        <f t="array" ref="U971">IF(M971="Control",INDEX(SR!A:A,1+BIN2DEC(MID($B971,28,2))),"")</f>
        <v>0</v>
      </c>
    </row>
    <row r="972" spans="1:30" x14ac:dyDescent="0.25">
      <c r="A972" s="4" t="str">
        <f t="shared" si="100"/>
        <v>3CA</v>
      </c>
      <c r="B972" s="2" t="s">
        <v>875</v>
      </c>
      <c r="C972" s="3"/>
      <c r="D972" s="3"/>
      <c r="E972" s="3"/>
      <c r="F972" s="27" t="str" cm="1">
        <f t="array" ref="F972">INDEX(Sources!A:A, 1 + BIN2DEC(LEFT($B972,5)))</f>
        <v>UNK27</v>
      </c>
      <c r="G972" s="27" t="str" cm="1">
        <f t="array" ref="G972">INDEX(Dest1!A:A,1+BIN2DEC(MID($B972,6,5)))</f>
        <v>OUT</v>
      </c>
      <c r="H972" s="27" t="str" cm="1">
        <f t="array" ref="H972">INDEX(Source2!A:A,1+BIN2DEC(MID($B972,11,4)))</f>
        <v>--</v>
      </c>
      <c r="I972" s="23" cm="1">
        <f t="array" ref="I972">INDEX('D2'!A:A,1+BIN2DEC(MID($B972,16,2)))</f>
        <v>0</v>
      </c>
      <c r="J972" s="6">
        <f t="shared" si="101"/>
        <v>0</v>
      </c>
      <c r="K972" s="6">
        <f t="shared" si="97"/>
        <v>0</v>
      </c>
      <c r="L972" s="6">
        <f t="shared" si="98"/>
        <v>0</v>
      </c>
      <c r="M972" s="3" t="str" cm="1">
        <f t="array" ref="M972">INDEX(Types!A:A,1+BIN2DEC(MID($B972,20,2)))</f>
        <v>Control</v>
      </c>
      <c r="N972" s="3" t="str" cm="1">
        <f t="array" ref="N972">IF(M972="ALU",INDEX(ALUOps!A:A,1+BIN2DEC(MID($B972,22,5))),"")</f>
        <v/>
      </c>
      <c r="O972" s="3" t="str" cm="1">
        <f t="array" ref="O972">IF(M972="ALU",INDEX(TMP!A:A,1+BIN2DEC(MID($B972,27,2))),"")</f>
        <v/>
      </c>
      <c r="P972" s="6" t="str">
        <f t="shared" si="99"/>
        <v/>
      </c>
      <c r="Q972" t="str">
        <f t="shared" si="102"/>
        <v/>
      </c>
      <c r="R972" t="str">
        <f t="shared" si="103"/>
        <v/>
      </c>
      <c r="S972" cm="1">
        <f t="array" ref="S972">IF(M972="Control",INDEX(IC!A:A,1+BIN2DEC(MID($B972,21,4))),"")</f>
        <v>0</v>
      </c>
      <c r="T972" cm="1">
        <f t="array" ref="T972">IF(M972="Control",INDEX(EC!A:A,1+BIN2DEC(MID($B972,25,3))),"")</f>
        <v>5</v>
      </c>
      <c r="U972" cm="1">
        <f t="array" ref="U972">IF(M972="Control",INDEX(SR!A:A,1+BIN2DEC(MID($B972,28,2))),"")</f>
        <v>0</v>
      </c>
    </row>
    <row r="973" spans="1:30" x14ac:dyDescent="0.25">
      <c r="A973" s="4" t="str">
        <f t="shared" si="100"/>
        <v>3CB</v>
      </c>
      <c r="B973" s="2" t="s">
        <v>548</v>
      </c>
      <c r="C973" s="3"/>
      <c r="D973" s="3"/>
      <c r="E973" s="3"/>
      <c r="F973" s="27" t="str" cm="1">
        <f t="array" ref="F973">INDEX(Sources!A:A, 1 + BIN2DEC(LEFT($B973,5)))</f>
        <v>TMPB</v>
      </c>
      <c r="G973" s="27" t="str" cm="1">
        <f t="array" ref="G973">INDEX(Dest1!A:A,1+BIN2DEC(MID($B973,6,5)))</f>
        <v>PC</v>
      </c>
      <c r="H973" s="27" t="str" cm="1">
        <f t="array" ref="H973">INDEX(Source2!A:A,1+BIN2DEC(MID($B973,11,4)))</f>
        <v>--</v>
      </c>
      <c r="I973" s="23" cm="1">
        <f t="array" ref="I973">INDEX('D2'!A:A,1+BIN2DEC(MID($B973,16,2)))</f>
        <v>0</v>
      </c>
      <c r="J973" s="6">
        <f t="shared" si="101"/>
        <v>0</v>
      </c>
      <c r="K973" s="6">
        <f t="shared" si="97"/>
        <v>0</v>
      </c>
      <c r="L973" s="6">
        <f t="shared" si="98"/>
        <v>1</v>
      </c>
      <c r="M973" s="3" t="str" cm="1">
        <f t="array" ref="M973">INDEX(Types!A:A,1+BIN2DEC(MID($B973,20,2)))</f>
        <v>Control</v>
      </c>
      <c r="N973" s="3" t="str" cm="1">
        <f t="array" ref="N973">IF(M973="ALU",INDEX(ALUOps!A:A,1+BIN2DEC(MID($B973,22,5))),"")</f>
        <v/>
      </c>
      <c r="O973" s="3" t="str" cm="1">
        <f t="array" ref="O973">IF(M973="ALU",INDEX(TMP!A:A,1+BIN2DEC(MID($B973,27,2))),"")</f>
        <v/>
      </c>
      <c r="P973" s="6" t="str">
        <f t="shared" si="99"/>
        <v/>
      </c>
      <c r="Q973" t="str">
        <f t="shared" si="102"/>
        <v/>
      </c>
      <c r="R973" t="str">
        <f t="shared" si="103"/>
        <v/>
      </c>
      <c r="S973" cm="1">
        <f t="array" ref="S973">IF(M973="Control",INDEX(IC!A:A,1+BIN2DEC(MID($B973,21,4))),"")</f>
        <v>6</v>
      </c>
      <c r="T973" cm="1">
        <f t="array" ref="T973">IF(M973="Control",INDEX(EC!A:A,1+BIN2DEC(MID($B973,25,3))),"")</f>
        <v>0</v>
      </c>
      <c r="U973" cm="1">
        <f t="array" ref="U973">IF(M973="Control",INDEX(SR!A:A,1+BIN2DEC(MID($B973,28,2))),"")</f>
        <v>0</v>
      </c>
    </row>
    <row r="974" spans="1:30" x14ac:dyDescent="0.25">
      <c r="A974" s="4" t="str">
        <f t="shared" si="100"/>
        <v>3CC</v>
      </c>
      <c r="B974" s="2" t="s">
        <v>883</v>
      </c>
      <c r="C974" s="2" t="s">
        <v>882</v>
      </c>
      <c r="D974" s="2" t="s">
        <v>937</v>
      </c>
      <c r="E974" s="2" t="s">
        <v>462</v>
      </c>
      <c r="F974" s="27" t="str" cm="1">
        <f t="array" ref="F974">INDEX(Sources!A:A, 1 + BIN2DEC(LEFT($B974,5)))</f>
        <v>UNK2</v>
      </c>
      <c r="G974" s="27" t="str" cm="1">
        <f t="array" ref="G974">INDEX(Dest1!A:A,1+BIN2DEC(MID($B974,6,5)))</f>
        <v>UNK26</v>
      </c>
      <c r="H974" s="27" t="str" cm="1">
        <f t="array" ref="H974">INDEX(Source2!A:A,1+BIN2DEC(MID($B974,11,4)))</f>
        <v>--</v>
      </c>
      <c r="I974" s="23" cm="1">
        <f t="array" ref="I974">INDEX('D2'!A:A,1+BIN2DEC(MID($B974,16,2)))</f>
        <v>0</v>
      </c>
      <c r="J974" s="6">
        <f t="shared" si="101"/>
        <v>0</v>
      </c>
      <c r="K974" s="6">
        <f t="shared" si="97"/>
        <v>0</v>
      </c>
      <c r="L974" s="6">
        <f t="shared" si="98"/>
        <v>0</v>
      </c>
      <c r="M974" s="3" t="str" cm="1">
        <f t="array" ref="M974">INDEX(Types!A:A,1+BIN2DEC(MID($B974,20,2)))</f>
        <v>Control</v>
      </c>
      <c r="N974" s="3" t="str" cm="1">
        <f t="array" ref="N974">IF(M974="ALU",INDEX(ALUOps!A:A,1+BIN2DEC(MID($B974,22,5))),"")</f>
        <v/>
      </c>
      <c r="O974" s="3" t="str" cm="1">
        <f t="array" ref="O974">IF(M974="ALU",INDEX(TMP!A:A,1+BIN2DEC(MID($B974,27,2))),"")</f>
        <v/>
      </c>
      <c r="P974" s="6" t="str">
        <f t="shared" si="99"/>
        <v/>
      </c>
      <c r="Q974" t="str">
        <f t="shared" si="102"/>
        <v/>
      </c>
      <c r="R974" t="str">
        <f t="shared" si="103"/>
        <v/>
      </c>
      <c r="S974" cm="1">
        <f t="array" ref="S974">IF(M974="Control",INDEX(IC!A:A,1+BIN2DEC(MID($B974,21,4))),"")</f>
        <v>7</v>
      </c>
      <c r="T974" cm="1">
        <f t="array" ref="T974">IF(M974="Control",INDEX(EC!A:A,1+BIN2DEC(MID($B974,25,3))),"")</f>
        <v>6</v>
      </c>
      <c r="U974" cm="1">
        <f t="array" ref="U974">IF(M974="Control",INDEX(SR!A:A,1+BIN2DEC(MID($B974,28,2))),"")</f>
        <v>0</v>
      </c>
      <c r="W974">
        <v>8080</v>
      </c>
      <c r="X974" t="s">
        <v>1088</v>
      </c>
      <c r="AD974" s="1" t="s">
        <v>604</v>
      </c>
    </row>
    <row r="975" spans="1:30" x14ac:dyDescent="0.25">
      <c r="A975" s="4" t="str">
        <f t="shared" si="100"/>
        <v>3CD</v>
      </c>
      <c r="B975" s="2" t="s">
        <v>886</v>
      </c>
      <c r="C975" s="3"/>
      <c r="D975" s="3"/>
      <c r="E975" s="3"/>
      <c r="F975" s="27" t="str" cm="1">
        <f t="array" ref="F975">INDEX(Sources!A:A, 1 + BIN2DEC(LEFT($B975,5)))</f>
        <v>UNK2</v>
      </c>
      <c r="G975" s="27" t="str" cm="1">
        <f t="array" ref="G975">INDEX(Dest1!A:A,1+BIN2DEC(MID($B975,6,5)))</f>
        <v>TMPB</v>
      </c>
      <c r="H975" s="27" t="str" cm="1">
        <f t="array" ref="H975">INDEX(Source2!A:A,1+BIN2DEC(MID($B975,11,4)))</f>
        <v>--</v>
      </c>
      <c r="I975" s="23" cm="1">
        <f t="array" ref="I975">INDEX('D2'!A:A,1+BIN2DEC(MID($B975,16,2)))</f>
        <v>0</v>
      </c>
      <c r="J975" s="6">
        <f t="shared" si="101"/>
        <v>0</v>
      </c>
      <c r="K975" s="6">
        <f t="shared" si="97"/>
        <v>0</v>
      </c>
      <c r="L975" s="6">
        <f t="shared" si="98"/>
        <v>0</v>
      </c>
      <c r="M975" s="3" t="str" cm="1">
        <f t="array" ref="M975">INDEX(Types!A:A,1+BIN2DEC(MID($B975,20,2)))</f>
        <v>ALU</v>
      </c>
      <c r="N975" s="3" cm="1">
        <f t="array" ref="N975">IF(M975="ALU",INDEX(ALUOps!A:A,1+BIN2DEC(MID($B975,22,5))),"")</f>
        <v>3</v>
      </c>
      <c r="O975" s="3" cm="1">
        <f t="array" ref="O975">IF(M975="ALU",INDEX(TMP!A:A,1+BIN2DEC(MID($B975,27,2))),"")</f>
        <v>3</v>
      </c>
      <c r="P975" s="6">
        <f t="shared" si="99"/>
        <v>1</v>
      </c>
      <c r="Q975" t="str">
        <f t="shared" si="102"/>
        <v/>
      </c>
      <c r="R975" t="str">
        <f t="shared" si="103"/>
        <v/>
      </c>
      <c r="S975" t="str" cm="1">
        <f t="array" ref="S975">IF(M975="Control",INDEX(IC!A:A,1+BIN2DEC(MID($B975,21,4))),"")</f>
        <v/>
      </c>
      <c r="T975" t="str" cm="1">
        <f t="array" ref="T975">IF(M975="Control",INDEX(EC!A:A,1+BIN2DEC(MID($B975,25,3))),"")</f>
        <v/>
      </c>
      <c r="U975" t="str" cm="1">
        <f t="array" ref="U975">IF(M975="Control",INDEX(SR!A:A,1+BIN2DEC(MID($B975,28,2))),"")</f>
        <v/>
      </c>
    </row>
    <row r="976" spans="1:30" x14ac:dyDescent="0.25">
      <c r="A976" s="4" t="str">
        <f t="shared" si="100"/>
        <v>3CE</v>
      </c>
      <c r="B976" s="2" t="s">
        <v>887</v>
      </c>
      <c r="C976" s="3"/>
      <c r="D976" s="3"/>
      <c r="E976" s="3"/>
      <c r="F976" s="27" t="str" cm="1">
        <f t="array" ref="F976">INDEX(Sources!A:A, 1 + BIN2DEC(LEFT($B976,5)))</f>
        <v>SIGMA</v>
      </c>
      <c r="G976" s="27" t="str" cm="1">
        <f t="array" ref="G976">INDEX(Dest1!A:A,1+BIN2DEC(MID($B976,6,5)))</f>
        <v>UNK2</v>
      </c>
      <c r="H976" s="27" t="str" cm="1">
        <f t="array" ref="H976">INDEX(Source2!A:A,1+BIN2DEC(MID($B976,11,4)))</f>
        <v>--</v>
      </c>
      <c r="I976" s="23" cm="1">
        <f t="array" ref="I976">INDEX('D2'!A:A,1+BIN2DEC(MID($B976,16,2)))</f>
        <v>0</v>
      </c>
      <c r="J976" s="6">
        <f t="shared" si="101"/>
        <v>0</v>
      </c>
      <c r="K976" s="6">
        <f t="shared" si="97"/>
        <v>0</v>
      </c>
      <c r="L976" s="6">
        <f t="shared" si="98"/>
        <v>0</v>
      </c>
      <c r="M976" s="3" t="str" cm="1">
        <f t="array" ref="M976">INDEX(Types!A:A,1+BIN2DEC(MID($B976,20,2)))</f>
        <v>Control</v>
      </c>
      <c r="N976" s="3" t="str" cm="1">
        <f t="array" ref="N976">IF(M976="ALU",INDEX(ALUOps!A:A,1+BIN2DEC(MID($B976,22,5))),"")</f>
        <v/>
      </c>
      <c r="O976" s="3" t="str" cm="1">
        <f t="array" ref="O976">IF(M976="ALU",INDEX(TMP!A:A,1+BIN2DEC(MID($B976,27,2))),"")</f>
        <v/>
      </c>
      <c r="P976" s="6" t="str">
        <f t="shared" si="99"/>
        <v/>
      </c>
      <c r="Q976" t="str">
        <f t="shared" si="102"/>
        <v/>
      </c>
      <c r="R976" t="str">
        <f t="shared" si="103"/>
        <v/>
      </c>
      <c r="S976" cm="1">
        <f t="array" ref="S976">IF(M976="Control",INDEX(IC!A:A,1+BIN2DEC(MID($B976,21,4))),"")</f>
        <v>0</v>
      </c>
      <c r="T976" cm="1">
        <f t="array" ref="T976">IF(M976="Control",INDEX(EC!A:A,1+BIN2DEC(MID($B976,25,3))),"")</f>
        <v>0</v>
      </c>
      <c r="U976" cm="1">
        <f t="array" ref="U976">IF(M976="Control",INDEX(SR!A:A,1+BIN2DEC(MID($B976,28,2))),"")</f>
        <v>0</v>
      </c>
    </row>
    <row r="977" spans="1:30" x14ac:dyDescent="0.25">
      <c r="A977" s="4" t="str">
        <f t="shared" si="100"/>
        <v>3CF</v>
      </c>
      <c r="B977" s="2" t="s">
        <v>231</v>
      </c>
      <c r="C977" s="3"/>
      <c r="D977" s="3"/>
      <c r="E977" s="3"/>
      <c r="F977" s="27" t="str" cm="1">
        <f t="array" ref="F977">INDEX(Sources!A:A, 1 + BIN2DEC(LEFT($B977,5)))</f>
        <v>OUT</v>
      </c>
      <c r="G977" s="27" t="str" cm="1">
        <f t="array" ref="G977">INDEX(Dest1!A:A,1+BIN2DEC(MID($B977,6,5)))</f>
        <v>PC</v>
      </c>
      <c r="H977" s="27" t="str" cm="1">
        <f t="array" ref="H977">INDEX(Source2!A:A,1+BIN2DEC(MID($B977,11,4)))</f>
        <v>--</v>
      </c>
      <c r="I977" s="23" cm="1">
        <f t="array" ref="I977">INDEX('D2'!A:A,1+BIN2DEC(MID($B977,16,2)))</f>
        <v>1</v>
      </c>
      <c r="J977" s="6">
        <f t="shared" si="101"/>
        <v>1</v>
      </c>
      <c r="K977" s="6">
        <f t="shared" si="97"/>
        <v>0</v>
      </c>
      <c r="L977" s="6">
        <f t="shared" si="98"/>
        <v>1</v>
      </c>
      <c r="M977" s="3" t="str" cm="1">
        <f t="array" ref="M977">INDEX(Types!A:A,1+BIN2DEC(MID($B977,20,2)))</f>
        <v>Control</v>
      </c>
      <c r="N977" s="3" t="str" cm="1">
        <f t="array" ref="N977">IF(M977="ALU",INDEX(ALUOps!A:A,1+BIN2DEC(MID($B977,22,5))),"")</f>
        <v/>
      </c>
      <c r="O977" s="3" t="str" cm="1">
        <f t="array" ref="O977">IF(M977="ALU",INDEX(TMP!A:A,1+BIN2DEC(MID($B977,27,2))),"")</f>
        <v/>
      </c>
      <c r="P977" s="6" t="str">
        <f t="shared" si="99"/>
        <v/>
      </c>
      <c r="Q977" t="str">
        <f t="shared" si="102"/>
        <v/>
      </c>
      <c r="R977" t="str">
        <f t="shared" si="103"/>
        <v/>
      </c>
      <c r="S977" cm="1">
        <f t="array" ref="S977">IF(M977="Control",INDEX(IC!A:A,1+BIN2DEC(MID($B977,21,4))),"")</f>
        <v>6</v>
      </c>
      <c r="T977" cm="1">
        <f t="array" ref="T977">IF(M977="Control",INDEX(EC!A:A,1+BIN2DEC(MID($B977,25,3))),"")</f>
        <v>0</v>
      </c>
      <c r="U977" cm="1">
        <f t="array" ref="U977">IF(M977="Control",INDEX(SR!A:A,1+BIN2DEC(MID($B977,28,2))),"")</f>
        <v>0</v>
      </c>
    </row>
    <row r="978" spans="1:30" x14ac:dyDescent="0.25">
      <c r="A978" s="4" t="str">
        <f t="shared" si="100"/>
        <v>3D0</v>
      </c>
      <c r="B978" s="2" t="s">
        <v>4</v>
      </c>
      <c r="C978" s="2" t="s">
        <v>884</v>
      </c>
      <c r="D978" s="2" t="s">
        <v>937</v>
      </c>
      <c r="E978" s="2" t="s">
        <v>462</v>
      </c>
      <c r="F978" s="27" t="str" cm="1">
        <f t="array" ref="F978">INDEX(Sources!A:A, 1 + BIN2DEC(LEFT($B978,5)))</f>
        <v>--</v>
      </c>
      <c r="G978" s="27" t="str" cm="1">
        <f t="array" ref="G978">INDEX(Dest1!A:A,1+BIN2DEC(MID($B978,6,5)))</f>
        <v>--</v>
      </c>
      <c r="H978" s="27" t="str" cm="1">
        <f t="array" ref="H978">INDEX(Source2!A:A,1+BIN2DEC(MID($B978,11,4)))</f>
        <v>--</v>
      </c>
      <c r="I978" s="23" cm="1">
        <f t="array" ref="I978">INDEX('D2'!A:A,1+BIN2DEC(MID($B978,16,2)))</f>
        <v>0</v>
      </c>
      <c r="J978" s="6">
        <f t="shared" si="101"/>
        <v>0</v>
      </c>
      <c r="K978" s="6">
        <f t="shared" si="97"/>
        <v>0</v>
      </c>
      <c r="L978" s="6">
        <f t="shared" si="98"/>
        <v>0</v>
      </c>
      <c r="M978" s="3" t="str" cm="1">
        <f t="array" ref="M978">INDEX(Types!A:A,1+BIN2DEC(MID($B978,20,2)))</f>
        <v>Control</v>
      </c>
      <c r="N978" s="3" t="str" cm="1">
        <f t="array" ref="N978">IF(M978="ALU",INDEX(ALUOps!A:A,1+BIN2DEC(MID($B978,22,5))),"")</f>
        <v/>
      </c>
      <c r="O978" s="3" t="str" cm="1">
        <f t="array" ref="O978">IF(M978="ALU",INDEX(TMP!A:A,1+BIN2DEC(MID($B978,27,2))),"")</f>
        <v/>
      </c>
      <c r="P978" s="6" t="str">
        <f t="shared" si="99"/>
        <v/>
      </c>
      <c r="Q978" t="str">
        <f t="shared" si="102"/>
        <v/>
      </c>
      <c r="R978" t="str">
        <f t="shared" si="103"/>
        <v/>
      </c>
      <c r="S978" cm="1">
        <f t="array" ref="S978">IF(M978="Control",INDEX(IC!A:A,1+BIN2DEC(MID($B978,21,4))),"")</f>
        <v>0</v>
      </c>
      <c r="T978" cm="1">
        <f t="array" ref="T978">IF(M978="Control",INDEX(EC!A:A,1+BIN2DEC(MID($B978,25,3))),"")</f>
        <v>0</v>
      </c>
      <c r="U978" cm="1">
        <f t="array" ref="U978">IF(M978="Control",INDEX(SR!A:A,1+BIN2DEC(MID($B978,28,2))),"")</f>
        <v>0</v>
      </c>
      <c r="W978">
        <v>8080</v>
      </c>
      <c r="X978" t="s">
        <v>1089</v>
      </c>
      <c r="AD978" s="1" t="s">
        <v>885</v>
      </c>
    </row>
    <row r="979" spans="1:30" x14ac:dyDescent="0.25">
      <c r="A979" s="4" t="str">
        <f t="shared" si="100"/>
        <v>3D1</v>
      </c>
      <c r="B979" s="2" t="s">
        <v>59</v>
      </c>
      <c r="C979" s="3"/>
      <c r="D979" s="3"/>
      <c r="E979" s="3"/>
      <c r="F979" s="27" t="str" cm="1">
        <f t="array" ref="F979">INDEX(Sources!A:A, 1 + BIN2DEC(LEFT($B979,5)))</f>
        <v>--</v>
      </c>
      <c r="G979" s="27" t="str" cm="1">
        <f t="array" ref="G979">INDEX(Dest1!A:A,1+BIN2DEC(MID($B979,6,5)))</f>
        <v>--</v>
      </c>
      <c r="H979" s="27" t="str" cm="1">
        <f t="array" ref="H979">INDEX(Source2!A:A,1+BIN2DEC(MID($B979,11,4)))</f>
        <v>--</v>
      </c>
      <c r="I979" s="23" cm="1">
        <f t="array" ref="I979">INDEX('D2'!A:A,1+BIN2DEC(MID($B979,16,2)))</f>
        <v>0</v>
      </c>
      <c r="J979" s="6">
        <f t="shared" si="101"/>
        <v>0</v>
      </c>
      <c r="K979" s="6">
        <f t="shared" si="97"/>
        <v>0</v>
      </c>
      <c r="L979" s="6">
        <f t="shared" si="98"/>
        <v>0</v>
      </c>
      <c r="M979" s="3" t="str" cm="1">
        <f t="array" ref="M979">INDEX(Types!A:A,1+BIN2DEC(MID($B979,20,2)))</f>
        <v>Jump</v>
      </c>
      <c r="N979" s="3" t="str" cm="1">
        <f t="array" ref="N979">IF(M979="ALU",INDEX(ALUOps!A:A,1+BIN2DEC(MID($B979,22,5))),"")</f>
        <v/>
      </c>
      <c r="O979" s="3" t="str" cm="1">
        <f t="array" ref="O979">IF(M979="ALU",INDEX(TMP!A:A,1+BIN2DEC(MID($B979,27,2))),"")</f>
        <v/>
      </c>
      <c r="P979" s="6" t="str">
        <f t="shared" si="99"/>
        <v/>
      </c>
      <c r="Q979">
        <f t="shared" si="102"/>
        <v>0</v>
      </c>
      <c r="R979">
        <f t="shared" si="103"/>
        <v>4</v>
      </c>
      <c r="S979" t="str" cm="1">
        <f t="array" ref="S979">IF(M979="Control",INDEX(IC!A:A,1+BIN2DEC(MID($B979,21,4))),"")</f>
        <v/>
      </c>
      <c r="T979" t="str" cm="1">
        <f t="array" ref="T979">IF(M979="Control",INDEX(EC!A:A,1+BIN2DEC(MID($B979,25,3))),"")</f>
        <v/>
      </c>
      <c r="U979" t="str" cm="1">
        <f t="array" ref="U979">IF(M979="Control",INDEX(SR!A:A,1+BIN2DEC(MID($B979,28,2))),"")</f>
        <v/>
      </c>
    </row>
    <row r="980" spans="1:30" x14ac:dyDescent="0.25">
      <c r="A980" s="4" t="str">
        <f t="shared" si="100"/>
        <v>3D2</v>
      </c>
      <c r="B980" s="2" t="s">
        <v>39</v>
      </c>
      <c r="C980" s="3"/>
      <c r="D980" s="3"/>
      <c r="E980" s="3"/>
      <c r="F980" s="27" t="str" cm="1">
        <f t="array" ref="F980">INDEX(Sources!A:A, 1 + BIN2DEC(LEFT($B980,5)))</f>
        <v>--</v>
      </c>
      <c r="G980" s="27" t="str" cm="1">
        <f t="array" ref="G980">INDEX(Dest1!A:A,1+BIN2DEC(MID($B980,6,5)))</f>
        <v>--</v>
      </c>
      <c r="H980" s="27" t="str" cm="1">
        <f t="array" ref="H980">INDEX(Source2!A:A,1+BIN2DEC(MID($B980,11,4)))</f>
        <v>--</v>
      </c>
      <c r="I980" s="23" cm="1">
        <f t="array" ref="I980">INDEX('D2'!A:A,1+BIN2DEC(MID($B980,16,2)))</f>
        <v>0</v>
      </c>
      <c r="J980" s="6">
        <f t="shared" si="101"/>
        <v>0</v>
      </c>
      <c r="K980" s="6">
        <f t="shared" si="97"/>
        <v>0</v>
      </c>
      <c r="L980" s="6">
        <f t="shared" si="98"/>
        <v>1</v>
      </c>
      <c r="M980" s="3" t="str" cm="1">
        <f t="array" ref="M980">INDEX(Types!A:A,1+BIN2DEC(MID($B980,20,2)))</f>
        <v>Control</v>
      </c>
      <c r="N980" s="3" t="str" cm="1">
        <f t="array" ref="N980">IF(M980="ALU",INDEX(ALUOps!A:A,1+BIN2DEC(MID($B980,22,5))),"")</f>
        <v/>
      </c>
      <c r="O980" s="3" t="str" cm="1">
        <f t="array" ref="O980">IF(M980="ALU",INDEX(TMP!A:A,1+BIN2DEC(MID($B980,27,2))),"")</f>
        <v/>
      </c>
      <c r="P980" s="6" t="str">
        <f t="shared" si="99"/>
        <v/>
      </c>
      <c r="Q980" t="str">
        <f t="shared" si="102"/>
        <v/>
      </c>
      <c r="R980" t="str">
        <f t="shared" si="103"/>
        <v/>
      </c>
      <c r="S980" cm="1">
        <f t="array" ref="S980">IF(M980="Control",INDEX(IC!A:A,1+BIN2DEC(MID($B980,21,4))),"")</f>
        <v>0</v>
      </c>
      <c r="T980" cm="1">
        <f t="array" ref="T980">IF(M980="Control",INDEX(EC!A:A,1+BIN2DEC(MID($B980,25,3))),"")</f>
        <v>0</v>
      </c>
      <c r="U980" cm="1">
        <f t="array" ref="U980">IF(M980="Control",INDEX(SR!A:A,1+BIN2DEC(MID($B980,28,2))),"")</f>
        <v>0</v>
      </c>
    </row>
    <row r="981" spans="1:30" x14ac:dyDescent="0.25">
      <c r="A981" s="4" t="str">
        <f t="shared" si="100"/>
        <v>3D3</v>
      </c>
      <c r="B981" s="2" t="s">
        <v>4</v>
      </c>
      <c r="C981" s="3"/>
      <c r="D981" s="3"/>
      <c r="E981" s="3"/>
      <c r="F981" s="27" t="str" cm="1">
        <f t="array" ref="F981">INDEX(Sources!A:A, 1 + BIN2DEC(LEFT($B981,5)))</f>
        <v>--</v>
      </c>
      <c r="G981" s="27" t="str" cm="1">
        <f t="array" ref="G981">INDEX(Dest1!A:A,1+BIN2DEC(MID($B981,6,5)))</f>
        <v>--</v>
      </c>
      <c r="H981" s="27" t="str" cm="1">
        <f t="array" ref="H981">INDEX(Source2!A:A,1+BIN2DEC(MID($B981,11,4)))</f>
        <v>--</v>
      </c>
      <c r="I981" s="23" cm="1">
        <f t="array" ref="I981">INDEX('D2'!A:A,1+BIN2DEC(MID($B981,16,2)))</f>
        <v>0</v>
      </c>
      <c r="J981" s="6">
        <f t="shared" si="101"/>
        <v>0</v>
      </c>
      <c r="K981" s="6">
        <f t="shared" si="97"/>
        <v>0</v>
      </c>
      <c r="L981" s="6">
        <f t="shared" si="98"/>
        <v>0</v>
      </c>
      <c r="M981" s="3" t="str" cm="1">
        <f t="array" ref="M981">INDEX(Types!A:A,1+BIN2DEC(MID($B981,20,2)))</f>
        <v>Control</v>
      </c>
      <c r="N981" s="3" t="str" cm="1">
        <f t="array" ref="N981">IF(M981="ALU",INDEX(ALUOps!A:A,1+BIN2DEC(MID($B981,22,5))),"")</f>
        <v/>
      </c>
      <c r="O981" s="3" t="str" cm="1">
        <f t="array" ref="O981">IF(M981="ALU",INDEX(TMP!A:A,1+BIN2DEC(MID($B981,27,2))),"")</f>
        <v/>
      </c>
      <c r="P981" s="6" t="str">
        <f t="shared" si="99"/>
        <v/>
      </c>
      <c r="Q981" t="str">
        <f t="shared" si="102"/>
        <v/>
      </c>
      <c r="R981" t="str">
        <f t="shared" si="103"/>
        <v/>
      </c>
      <c r="S981" cm="1">
        <f t="array" ref="S981">IF(M981="Control",INDEX(IC!A:A,1+BIN2DEC(MID($B981,21,4))),"")</f>
        <v>0</v>
      </c>
      <c r="T981" cm="1">
        <f t="array" ref="T981">IF(M981="Control",INDEX(EC!A:A,1+BIN2DEC(MID($B981,25,3))),"")</f>
        <v>0</v>
      </c>
      <c r="U981" cm="1">
        <f t="array" ref="U981">IF(M981="Control",INDEX(SR!A:A,1+BIN2DEC(MID($B981,28,2))),"")</f>
        <v>0</v>
      </c>
    </row>
    <row r="982" spans="1:30" x14ac:dyDescent="0.25">
      <c r="A982" s="4" t="str">
        <f t="shared" si="100"/>
        <v>3D4</v>
      </c>
      <c r="B982" s="2" t="s">
        <v>883</v>
      </c>
      <c r="C982" s="2" t="s">
        <v>888</v>
      </c>
      <c r="D982" s="2" t="s">
        <v>937</v>
      </c>
      <c r="E982" s="2" t="s">
        <v>929</v>
      </c>
      <c r="F982" s="27" t="str" cm="1">
        <f t="array" ref="F982">INDEX(Sources!A:A, 1 + BIN2DEC(LEFT($B982,5)))</f>
        <v>UNK2</v>
      </c>
      <c r="G982" s="27" t="str" cm="1">
        <f t="array" ref="G982">INDEX(Dest1!A:A,1+BIN2DEC(MID($B982,6,5)))</f>
        <v>UNK26</v>
      </c>
      <c r="H982" s="27" t="str" cm="1">
        <f t="array" ref="H982">INDEX(Source2!A:A,1+BIN2DEC(MID($B982,11,4)))</f>
        <v>--</v>
      </c>
      <c r="I982" s="23" cm="1">
        <f t="array" ref="I982">INDEX('D2'!A:A,1+BIN2DEC(MID($B982,16,2)))</f>
        <v>0</v>
      </c>
      <c r="J982" s="6">
        <f t="shared" si="101"/>
        <v>0</v>
      </c>
      <c r="K982" s="6">
        <f t="shared" si="97"/>
        <v>0</v>
      </c>
      <c r="L982" s="6">
        <f t="shared" si="98"/>
        <v>0</v>
      </c>
      <c r="M982" s="3" t="str" cm="1">
        <f t="array" ref="M982">INDEX(Types!A:A,1+BIN2DEC(MID($B982,20,2)))</f>
        <v>Control</v>
      </c>
      <c r="N982" s="3" t="str" cm="1">
        <f t="array" ref="N982">IF(M982="ALU",INDEX(ALUOps!A:A,1+BIN2DEC(MID($B982,22,5))),"")</f>
        <v/>
      </c>
      <c r="O982" s="3" t="str" cm="1">
        <f t="array" ref="O982">IF(M982="ALU",INDEX(TMP!A:A,1+BIN2DEC(MID($B982,27,2))),"")</f>
        <v/>
      </c>
      <c r="P982" s="6" t="str">
        <f t="shared" si="99"/>
        <v/>
      </c>
      <c r="Q982" t="str">
        <f t="shared" si="102"/>
        <v/>
      </c>
      <c r="R982" t="str">
        <f t="shared" si="103"/>
        <v/>
      </c>
      <c r="S982" cm="1">
        <f t="array" ref="S982">IF(M982="Control",INDEX(IC!A:A,1+BIN2DEC(MID($B982,21,4))),"")</f>
        <v>7</v>
      </c>
      <c r="T982" cm="1">
        <f t="array" ref="T982">IF(M982="Control",INDEX(EC!A:A,1+BIN2DEC(MID($B982,25,3))),"")</f>
        <v>6</v>
      </c>
      <c r="U982" cm="1">
        <f t="array" ref="U982">IF(M982="Control",INDEX(SR!A:A,1+BIN2DEC(MID($B982,28,2))),"")</f>
        <v>0</v>
      </c>
      <c r="AD982" s="1" t="s">
        <v>885</v>
      </c>
    </row>
    <row r="983" spans="1:30" x14ac:dyDescent="0.25">
      <c r="A983" s="4" t="str">
        <f t="shared" si="100"/>
        <v>3D5</v>
      </c>
      <c r="B983" s="2" t="s">
        <v>886</v>
      </c>
      <c r="C983" s="3"/>
      <c r="D983" s="3"/>
      <c r="E983" s="3"/>
      <c r="F983" s="27" t="str" cm="1">
        <f t="array" ref="F983">INDEX(Sources!A:A, 1 + BIN2DEC(LEFT($B983,5)))</f>
        <v>UNK2</v>
      </c>
      <c r="G983" s="27" t="str" cm="1">
        <f t="array" ref="G983">INDEX(Dest1!A:A,1+BIN2DEC(MID($B983,6,5)))</f>
        <v>TMPB</v>
      </c>
      <c r="H983" s="27" t="str" cm="1">
        <f t="array" ref="H983">INDEX(Source2!A:A,1+BIN2DEC(MID($B983,11,4)))</f>
        <v>--</v>
      </c>
      <c r="I983" s="23" cm="1">
        <f t="array" ref="I983">INDEX('D2'!A:A,1+BIN2DEC(MID($B983,16,2)))</f>
        <v>0</v>
      </c>
      <c r="J983" s="6">
        <f t="shared" si="101"/>
        <v>0</v>
      </c>
      <c r="K983" s="6">
        <f t="shared" si="97"/>
        <v>0</v>
      </c>
      <c r="L983" s="6">
        <f t="shared" si="98"/>
        <v>0</v>
      </c>
      <c r="M983" s="3" t="str" cm="1">
        <f t="array" ref="M983">INDEX(Types!A:A,1+BIN2DEC(MID($B983,20,2)))</f>
        <v>ALU</v>
      </c>
      <c r="N983" s="3" cm="1">
        <f t="array" ref="N983">IF(M983="ALU",INDEX(ALUOps!A:A,1+BIN2DEC(MID($B983,22,5))),"")</f>
        <v>3</v>
      </c>
      <c r="O983" s="3" cm="1">
        <f t="array" ref="O983">IF(M983="ALU",INDEX(TMP!A:A,1+BIN2DEC(MID($B983,27,2))),"")</f>
        <v>3</v>
      </c>
      <c r="P983" s="6">
        <f t="shared" si="99"/>
        <v>1</v>
      </c>
      <c r="Q983" t="str">
        <f t="shared" si="102"/>
        <v/>
      </c>
      <c r="R983" t="str">
        <f t="shared" si="103"/>
        <v/>
      </c>
      <c r="S983" t="str" cm="1">
        <f t="array" ref="S983">IF(M983="Control",INDEX(IC!A:A,1+BIN2DEC(MID($B983,21,4))),"")</f>
        <v/>
      </c>
      <c r="T983" t="str" cm="1">
        <f t="array" ref="T983">IF(M983="Control",INDEX(EC!A:A,1+BIN2DEC(MID($B983,25,3))),"")</f>
        <v/>
      </c>
      <c r="U983" t="str" cm="1">
        <f t="array" ref="U983">IF(M983="Control",INDEX(SR!A:A,1+BIN2DEC(MID($B983,28,2))),"")</f>
        <v/>
      </c>
    </row>
    <row r="984" spans="1:30" x14ac:dyDescent="0.25">
      <c r="A984" s="4" t="str">
        <f t="shared" si="100"/>
        <v>3D6</v>
      </c>
      <c r="B984" s="2" t="s">
        <v>887</v>
      </c>
      <c r="C984" s="3"/>
      <c r="D984" s="3"/>
      <c r="E984" s="3"/>
      <c r="F984" s="27" t="str" cm="1">
        <f t="array" ref="F984">INDEX(Sources!A:A, 1 + BIN2DEC(LEFT($B984,5)))</f>
        <v>SIGMA</v>
      </c>
      <c r="G984" s="27" t="str" cm="1">
        <f t="array" ref="G984">INDEX(Dest1!A:A,1+BIN2DEC(MID($B984,6,5)))</f>
        <v>UNK2</v>
      </c>
      <c r="H984" s="27" t="str" cm="1">
        <f t="array" ref="H984">INDEX(Source2!A:A,1+BIN2DEC(MID($B984,11,4)))</f>
        <v>--</v>
      </c>
      <c r="I984" s="23" cm="1">
        <f t="array" ref="I984">INDEX('D2'!A:A,1+BIN2DEC(MID($B984,16,2)))</f>
        <v>0</v>
      </c>
      <c r="J984" s="6">
        <f t="shared" si="101"/>
        <v>0</v>
      </c>
      <c r="K984" s="6">
        <f t="shared" si="97"/>
        <v>0</v>
      </c>
      <c r="L984" s="6">
        <f t="shared" si="98"/>
        <v>0</v>
      </c>
      <c r="M984" s="3" t="str" cm="1">
        <f t="array" ref="M984">INDEX(Types!A:A,1+BIN2DEC(MID($B984,20,2)))</f>
        <v>Control</v>
      </c>
      <c r="N984" s="3" t="str" cm="1">
        <f t="array" ref="N984">IF(M984="ALU",INDEX(ALUOps!A:A,1+BIN2DEC(MID($B984,22,5))),"")</f>
        <v/>
      </c>
      <c r="O984" s="3" t="str" cm="1">
        <f t="array" ref="O984">IF(M984="ALU",INDEX(TMP!A:A,1+BIN2DEC(MID($B984,27,2))),"")</f>
        <v/>
      </c>
      <c r="P984" s="6" t="str">
        <f t="shared" si="99"/>
        <v/>
      </c>
      <c r="Q984" t="str">
        <f t="shared" si="102"/>
        <v/>
      </c>
      <c r="R984" t="str">
        <f t="shared" si="103"/>
        <v/>
      </c>
      <c r="S984" cm="1">
        <f t="array" ref="S984">IF(M984="Control",INDEX(IC!A:A,1+BIN2DEC(MID($B984,21,4))),"")</f>
        <v>0</v>
      </c>
      <c r="T984" cm="1">
        <f t="array" ref="T984">IF(M984="Control",INDEX(EC!A:A,1+BIN2DEC(MID($B984,25,3))),"")</f>
        <v>0</v>
      </c>
      <c r="U984" cm="1">
        <f t="array" ref="U984">IF(M984="Control",INDEX(SR!A:A,1+BIN2DEC(MID($B984,28,2))),"")</f>
        <v>0</v>
      </c>
    </row>
    <row r="985" spans="1:30" x14ac:dyDescent="0.25">
      <c r="A985" s="4" t="str">
        <f t="shared" si="100"/>
        <v>3D7</v>
      </c>
      <c r="B985" s="2" t="s">
        <v>231</v>
      </c>
      <c r="C985" s="3"/>
      <c r="D985" s="3"/>
      <c r="E985" s="3"/>
      <c r="F985" s="27" t="str" cm="1">
        <f t="array" ref="F985">INDEX(Sources!A:A, 1 + BIN2DEC(LEFT($B985,5)))</f>
        <v>OUT</v>
      </c>
      <c r="G985" s="27" t="str" cm="1">
        <f t="array" ref="G985">INDEX(Dest1!A:A,1+BIN2DEC(MID($B985,6,5)))</f>
        <v>PC</v>
      </c>
      <c r="H985" s="27" t="str" cm="1">
        <f t="array" ref="H985">INDEX(Source2!A:A,1+BIN2DEC(MID($B985,11,4)))</f>
        <v>--</v>
      </c>
      <c r="I985" s="23" cm="1">
        <f t="array" ref="I985">INDEX('D2'!A:A,1+BIN2DEC(MID($B985,16,2)))</f>
        <v>1</v>
      </c>
      <c r="J985" s="6">
        <f t="shared" si="101"/>
        <v>1</v>
      </c>
      <c r="K985" s="6">
        <f t="shared" si="97"/>
        <v>0</v>
      </c>
      <c r="L985" s="6">
        <f t="shared" si="98"/>
        <v>1</v>
      </c>
      <c r="M985" s="3" t="str" cm="1">
        <f t="array" ref="M985">INDEX(Types!A:A,1+BIN2DEC(MID($B985,20,2)))</f>
        <v>Control</v>
      </c>
      <c r="N985" s="3" t="str" cm="1">
        <f t="array" ref="N985">IF(M985="ALU",INDEX(ALUOps!A:A,1+BIN2DEC(MID($B985,22,5))),"")</f>
        <v/>
      </c>
      <c r="O985" s="3" t="str" cm="1">
        <f t="array" ref="O985">IF(M985="ALU",INDEX(TMP!A:A,1+BIN2DEC(MID($B985,27,2))),"")</f>
        <v/>
      </c>
      <c r="P985" s="6" t="str">
        <f t="shared" si="99"/>
        <v/>
      </c>
      <c r="Q985" t="str">
        <f t="shared" si="102"/>
        <v/>
      </c>
      <c r="R985" t="str">
        <f t="shared" si="103"/>
        <v/>
      </c>
      <c r="S985" cm="1">
        <f t="array" ref="S985">IF(M985="Control",INDEX(IC!A:A,1+BIN2DEC(MID($B985,21,4))),"")</f>
        <v>6</v>
      </c>
      <c r="T985" cm="1">
        <f t="array" ref="T985">IF(M985="Control",INDEX(EC!A:A,1+BIN2DEC(MID($B985,25,3))),"")</f>
        <v>0</v>
      </c>
      <c r="U985" cm="1">
        <f t="array" ref="U985">IF(M985="Control",INDEX(SR!A:A,1+BIN2DEC(MID($B985,28,2))),"")</f>
        <v>0</v>
      </c>
    </row>
    <row r="986" spans="1:30" x14ac:dyDescent="0.25">
      <c r="A986" s="4" t="str">
        <f t="shared" si="100"/>
        <v>3D8</v>
      </c>
      <c r="B986" s="2" t="s">
        <v>597</v>
      </c>
      <c r="C986" s="2" t="s">
        <v>889</v>
      </c>
      <c r="D986" s="2" t="s">
        <v>937</v>
      </c>
      <c r="E986" s="2" t="s">
        <v>462</v>
      </c>
      <c r="F986" s="27" t="str" cm="1">
        <f t="array" ref="F986">INDEX(Sources!A:A, 1 + BIN2DEC(LEFT($B986,5)))</f>
        <v>UNK2</v>
      </c>
      <c r="G986" s="27" t="str" cm="1">
        <f t="array" ref="G986">INDEX(Dest1!A:A,1+BIN2DEC(MID($B986,6,5)))</f>
        <v>TMPA</v>
      </c>
      <c r="H986" s="27" t="str" cm="1">
        <f t="array" ref="H986">INDEX(Source2!A:A,1+BIN2DEC(MID($B986,11,4)))</f>
        <v>--</v>
      </c>
      <c r="I986" s="23" cm="1">
        <f t="array" ref="I986">INDEX('D2'!A:A,1+BIN2DEC(MID($B986,16,2)))</f>
        <v>0</v>
      </c>
      <c r="J986" s="6">
        <f t="shared" si="101"/>
        <v>0</v>
      </c>
      <c r="K986" s="6">
        <f t="shared" si="97"/>
        <v>0</v>
      </c>
      <c r="L986" s="6">
        <f t="shared" si="98"/>
        <v>0</v>
      </c>
      <c r="M986" s="3" t="str" cm="1">
        <f t="array" ref="M986">INDEX(Types!A:A,1+BIN2DEC(MID($B986,20,2)))</f>
        <v>ALU</v>
      </c>
      <c r="N986" s="3" cm="1">
        <f t="array" ref="N986">IF(M986="ALU",INDEX(ALUOps!A:A,1+BIN2DEC(MID($B986,22,5))),"")</f>
        <v>2</v>
      </c>
      <c r="O986" s="3" cm="1">
        <f t="array" ref="O986">IF(M986="ALU",INDEX(TMP!A:A,1+BIN2DEC(MID($B986,27,2))),"")</f>
        <v>2</v>
      </c>
      <c r="P986" s="6">
        <f t="shared" si="99"/>
        <v>1</v>
      </c>
      <c r="Q986" t="str">
        <f t="shared" si="102"/>
        <v/>
      </c>
      <c r="R986" t="str">
        <f t="shared" si="103"/>
        <v/>
      </c>
      <c r="S986" t="str" cm="1">
        <f t="array" ref="S986">IF(M986="Control",INDEX(IC!A:A,1+BIN2DEC(MID($B986,21,4))),"")</f>
        <v/>
      </c>
      <c r="T986" t="str" cm="1">
        <f t="array" ref="T986">IF(M986="Control",INDEX(EC!A:A,1+BIN2DEC(MID($B986,25,3))),"")</f>
        <v/>
      </c>
      <c r="U986" t="str" cm="1">
        <f t="array" ref="U986">IF(M986="Control",INDEX(SR!A:A,1+BIN2DEC(MID($B986,28,2))),"")</f>
        <v/>
      </c>
      <c r="W986">
        <v>8080</v>
      </c>
      <c r="X986" t="s">
        <v>1091</v>
      </c>
      <c r="AD986" s="1" t="s">
        <v>890</v>
      </c>
    </row>
    <row r="987" spans="1:30" x14ac:dyDescent="0.25">
      <c r="A987" s="4" t="str">
        <f t="shared" si="100"/>
        <v>3D9</v>
      </c>
      <c r="B987" s="2" t="s">
        <v>893</v>
      </c>
      <c r="C987" s="3"/>
      <c r="D987" s="3"/>
      <c r="E987" s="3"/>
      <c r="F987" s="27" t="str" cm="1">
        <f t="array" ref="F987">INDEX(Sources!A:A, 1 + BIN2DEC(LEFT($B987,5)))</f>
        <v>SIGMA</v>
      </c>
      <c r="G987" s="27" t="str" cm="1">
        <f t="array" ref="G987">INDEX(Dest1!A:A,1+BIN2DEC(MID($B987,6,5)))</f>
        <v>UNK2</v>
      </c>
      <c r="H987" s="27" t="str" cm="1">
        <f t="array" ref="H987">INDEX(Source2!A:A,1+BIN2DEC(MID($B987,11,4)))</f>
        <v>11</v>
      </c>
      <c r="I987" s="23" t="str" cm="1">
        <f t="array" ref="I987">INDEX('D2'!A:A,1+BIN2DEC(MID($B987,16,2)))</f>
        <v>TMPB</v>
      </c>
      <c r="J987" s="6">
        <f t="shared" si="101"/>
        <v>0</v>
      </c>
      <c r="K987" s="6">
        <f t="shared" si="97"/>
        <v>0</v>
      </c>
      <c r="L987" s="6">
        <f t="shared" si="98"/>
        <v>0</v>
      </c>
      <c r="M987" s="3" t="str" cm="1">
        <f t="array" ref="M987">INDEX(Types!A:A,1+BIN2DEC(MID($B987,20,2)))</f>
        <v>Control</v>
      </c>
      <c r="N987" s="3" t="str" cm="1">
        <f t="array" ref="N987">IF(M987="ALU",INDEX(ALUOps!A:A,1+BIN2DEC(MID($B987,22,5))),"")</f>
        <v/>
      </c>
      <c r="O987" s="3" t="str" cm="1">
        <f t="array" ref="O987">IF(M987="ALU",INDEX(TMP!A:A,1+BIN2DEC(MID($B987,27,2))),"")</f>
        <v/>
      </c>
      <c r="P987" s="6" t="str">
        <f t="shared" si="99"/>
        <v/>
      </c>
      <c r="Q987" t="str">
        <f t="shared" si="102"/>
        <v/>
      </c>
      <c r="R987" t="str">
        <f t="shared" si="103"/>
        <v/>
      </c>
      <c r="S987" cm="1">
        <f t="array" ref="S987">IF(M987="Control",INDEX(IC!A:A,1+BIN2DEC(MID($B987,21,4))),"")</f>
        <v>0</v>
      </c>
      <c r="T987" cm="1">
        <f t="array" ref="T987">IF(M987="Control",INDEX(EC!A:A,1+BIN2DEC(MID($B987,25,3))),"")</f>
        <v>0</v>
      </c>
      <c r="U987" cm="1">
        <f t="array" ref="U987">IF(M987="Control",INDEX(SR!A:A,1+BIN2DEC(MID($B987,28,2))),"")</f>
        <v>0</v>
      </c>
    </row>
    <row r="988" spans="1:30" x14ac:dyDescent="0.25">
      <c r="A988" s="4" t="str">
        <f t="shared" si="100"/>
        <v>3DA</v>
      </c>
      <c r="B988" s="2" t="s">
        <v>894</v>
      </c>
      <c r="C988" s="3"/>
      <c r="D988" s="3"/>
      <c r="E988" s="3"/>
      <c r="F988" s="27" t="str" cm="1">
        <f t="array" ref="F988">INDEX(Sources!A:A, 1 + BIN2DEC(LEFT($B988,5)))</f>
        <v>REG</v>
      </c>
      <c r="G988" s="27" t="str" cm="1">
        <f t="array" ref="G988">INDEX(Dest1!A:A,1+BIN2DEC(MID($B988,6,5)))</f>
        <v>OUT</v>
      </c>
      <c r="H988" s="27" t="str" cm="1">
        <f t="array" ref="H988">INDEX(Source2!A:A,1+BIN2DEC(MID($B988,11,4)))</f>
        <v>--</v>
      </c>
      <c r="I988" s="23" cm="1">
        <f t="array" ref="I988">INDEX('D2'!A:A,1+BIN2DEC(MID($B988,16,2)))</f>
        <v>0</v>
      </c>
      <c r="J988" s="6">
        <f t="shared" si="101"/>
        <v>0</v>
      </c>
      <c r="K988" s="6">
        <f t="shared" si="97"/>
        <v>0</v>
      </c>
      <c r="L988" s="6">
        <f t="shared" si="98"/>
        <v>1</v>
      </c>
      <c r="M988" s="3" t="str" cm="1">
        <f t="array" ref="M988">INDEX(Types!A:A,1+BIN2DEC(MID($B988,20,2)))</f>
        <v>Control</v>
      </c>
      <c r="N988" s="3" t="str" cm="1">
        <f t="array" ref="N988">IF(M988="ALU",INDEX(ALUOps!A:A,1+BIN2DEC(MID($B988,22,5))),"")</f>
        <v/>
      </c>
      <c r="O988" s="3" t="str" cm="1">
        <f t="array" ref="O988">IF(M988="ALU",INDEX(TMP!A:A,1+BIN2DEC(MID($B988,27,2))),"")</f>
        <v/>
      </c>
      <c r="P988" s="6" t="str">
        <f t="shared" si="99"/>
        <v/>
      </c>
      <c r="Q988" t="str">
        <f t="shared" si="102"/>
        <v/>
      </c>
      <c r="R988" t="str">
        <f t="shared" si="103"/>
        <v/>
      </c>
      <c r="S988" cm="1">
        <f t="array" ref="S988">IF(M988="Control",INDEX(IC!A:A,1+BIN2DEC(MID($B988,21,4))),"")</f>
        <v>0</v>
      </c>
      <c r="T988" cm="1">
        <f t="array" ref="T988">IF(M988="Control",INDEX(EC!A:A,1+BIN2DEC(MID($B988,25,3))),"")</f>
        <v>5</v>
      </c>
      <c r="U988" cm="1">
        <f t="array" ref="U988">IF(M988="Control",INDEX(SR!A:A,1+BIN2DEC(MID($B988,28,2))),"")</f>
        <v>0</v>
      </c>
    </row>
    <row r="989" spans="1:30" x14ac:dyDescent="0.25">
      <c r="A989" s="4" t="str">
        <f t="shared" si="100"/>
        <v>3DB</v>
      </c>
      <c r="B989" s="2" t="s">
        <v>799</v>
      </c>
      <c r="C989" s="3"/>
      <c r="D989" s="3"/>
      <c r="E989" s="3"/>
      <c r="F989" s="27" t="str" cm="1">
        <f t="array" ref="F989">INDEX(Sources!A:A, 1 + BIN2DEC(LEFT($B989,5)))</f>
        <v>UNK27</v>
      </c>
      <c r="G989" s="27" t="str" cm="1">
        <f t="array" ref="G989">INDEX(Dest1!A:A,1+BIN2DEC(MID($B989,6,5)))</f>
        <v>UNK24</v>
      </c>
      <c r="H989" s="27" t="str" cm="1">
        <f t="array" ref="H989">INDEX(Source2!A:A,1+BIN2DEC(MID($B989,11,4)))</f>
        <v>--</v>
      </c>
      <c r="I989" s="23" cm="1">
        <f t="array" ref="I989">INDEX('D2'!A:A,1+BIN2DEC(MID($B989,16,2)))</f>
        <v>0</v>
      </c>
      <c r="J989" s="6">
        <f t="shared" si="101"/>
        <v>0</v>
      </c>
      <c r="K989" s="6">
        <f t="shared" si="97"/>
        <v>0</v>
      </c>
      <c r="L989" s="6">
        <f t="shared" si="98"/>
        <v>0</v>
      </c>
      <c r="M989" s="3" t="str" cm="1">
        <f t="array" ref="M989">INDEX(Types!A:A,1+BIN2DEC(MID($B989,20,2)))</f>
        <v>Control</v>
      </c>
      <c r="N989" s="3" t="str" cm="1">
        <f t="array" ref="N989">IF(M989="ALU",INDEX(ALUOps!A:A,1+BIN2DEC(MID($B989,22,5))),"")</f>
        <v/>
      </c>
      <c r="O989" s="3" t="str" cm="1">
        <f t="array" ref="O989">IF(M989="ALU",INDEX(TMP!A:A,1+BIN2DEC(MID($B989,27,2))),"")</f>
        <v/>
      </c>
      <c r="P989" s="6" t="str">
        <f t="shared" si="99"/>
        <v/>
      </c>
      <c r="Q989" t="str">
        <f t="shared" si="102"/>
        <v/>
      </c>
      <c r="R989" t="str">
        <f t="shared" si="103"/>
        <v/>
      </c>
      <c r="S989" cm="1">
        <f t="array" ref="S989">IF(M989="Control",INDEX(IC!A:A,1+BIN2DEC(MID($B989,21,4))),"")</f>
        <v>0</v>
      </c>
      <c r="T989" cm="1">
        <f t="array" ref="T989">IF(M989="Control",INDEX(EC!A:A,1+BIN2DEC(MID($B989,25,3))),"")</f>
        <v>0</v>
      </c>
      <c r="U989" cm="1">
        <f t="array" ref="U989">IF(M989="Control",INDEX(SR!A:A,1+BIN2DEC(MID($B989,28,2))),"")</f>
        <v>0</v>
      </c>
    </row>
    <row r="990" spans="1:30" x14ac:dyDescent="0.25">
      <c r="A990" s="4" t="str">
        <f t="shared" si="100"/>
        <v>3DC</v>
      </c>
      <c r="B990" s="2" t="s">
        <v>597</v>
      </c>
      <c r="C990" s="2" t="s">
        <v>891</v>
      </c>
      <c r="D990" s="2" t="s">
        <v>937</v>
      </c>
      <c r="E990" s="2" t="s">
        <v>462</v>
      </c>
      <c r="F990" s="27" t="str" cm="1">
        <f t="array" ref="F990">INDEX(Sources!A:A, 1 + BIN2DEC(LEFT($B990,5)))</f>
        <v>UNK2</v>
      </c>
      <c r="G990" s="27" t="str" cm="1">
        <f t="array" ref="G990">INDEX(Dest1!A:A,1+BIN2DEC(MID($B990,6,5)))</f>
        <v>TMPA</v>
      </c>
      <c r="H990" s="27" t="str" cm="1">
        <f t="array" ref="H990">INDEX(Source2!A:A,1+BIN2DEC(MID($B990,11,4)))</f>
        <v>--</v>
      </c>
      <c r="I990" s="23" cm="1">
        <f t="array" ref="I990">INDEX('D2'!A:A,1+BIN2DEC(MID($B990,16,2)))</f>
        <v>0</v>
      </c>
      <c r="J990" s="6">
        <f t="shared" si="101"/>
        <v>0</v>
      </c>
      <c r="K990" s="6">
        <f t="shared" si="97"/>
        <v>0</v>
      </c>
      <c r="L990" s="6">
        <f t="shared" si="98"/>
        <v>0</v>
      </c>
      <c r="M990" s="3" t="str" cm="1">
        <f t="array" ref="M990">INDEX(Types!A:A,1+BIN2DEC(MID($B990,20,2)))</f>
        <v>ALU</v>
      </c>
      <c r="N990" s="3" cm="1">
        <f t="array" ref="N990">IF(M990="ALU",INDEX(ALUOps!A:A,1+BIN2DEC(MID($B990,22,5))),"")</f>
        <v>2</v>
      </c>
      <c r="O990" s="3" cm="1">
        <f t="array" ref="O990">IF(M990="ALU",INDEX(TMP!A:A,1+BIN2DEC(MID($B990,27,2))),"")</f>
        <v>2</v>
      </c>
      <c r="P990" s="6">
        <f t="shared" si="99"/>
        <v>1</v>
      </c>
      <c r="Q990" t="str">
        <f t="shared" si="102"/>
        <v/>
      </c>
      <c r="R990" t="str">
        <f t="shared" si="103"/>
        <v/>
      </c>
      <c r="S990" t="str" cm="1">
        <f t="array" ref="S990">IF(M990="Control",INDEX(IC!A:A,1+BIN2DEC(MID($B990,21,4))),"")</f>
        <v/>
      </c>
      <c r="T990" t="str" cm="1">
        <f t="array" ref="T990">IF(M990="Control",INDEX(EC!A:A,1+BIN2DEC(MID($B990,25,3))),"")</f>
        <v/>
      </c>
      <c r="U990" t="str" cm="1">
        <f t="array" ref="U990">IF(M990="Control",INDEX(SR!A:A,1+BIN2DEC(MID($B990,28,2))),"")</f>
        <v/>
      </c>
      <c r="W990">
        <v>8080</v>
      </c>
      <c r="X990" t="s">
        <v>1092</v>
      </c>
      <c r="AD990" s="1" t="s">
        <v>892</v>
      </c>
    </row>
    <row r="991" spans="1:30" x14ac:dyDescent="0.25">
      <c r="A991" s="4" t="str">
        <f t="shared" si="100"/>
        <v>3DD</v>
      </c>
      <c r="B991" s="2" t="s">
        <v>893</v>
      </c>
      <c r="C991" s="3"/>
      <c r="D991" s="3"/>
      <c r="E991" s="3"/>
      <c r="F991" s="27" t="str" cm="1">
        <f t="array" ref="F991">INDEX(Sources!A:A, 1 + BIN2DEC(LEFT($B991,5)))</f>
        <v>SIGMA</v>
      </c>
      <c r="G991" s="27" t="str" cm="1">
        <f t="array" ref="G991">INDEX(Dest1!A:A,1+BIN2DEC(MID($B991,6,5)))</f>
        <v>UNK2</v>
      </c>
      <c r="H991" s="27" t="str" cm="1">
        <f t="array" ref="H991">INDEX(Source2!A:A,1+BIN2DEC(MID($B991,11,4)))</f>
        <v>11</v>
      </c>
      <c r="I991" s="23" t="str" cm="1">
        <f t="array" ref="I991">INDEX('D2'!A:A,1+BIN2DEC(MID($B991,16,2)))</f>
        <v>TMPB</v>
      </c>
      <c r="J991" s="6">
        <f t="shared" si="101"/>
        <v>0</v>
      </c>
      <c r="K991" s="6">
        <f t="shared" si="97"/>
        <v>0</v>
      </c>
      <c r="L991" s="6">
        <f t="shared" si="98"/>
        <v>0</v>
      </c>
      <c r="M991" s="3" t="str" cm="1">
        <f t="array" ref="M991">INDEX(Types!A:A,1+BIN2DEC(MID($B991,20,2)))</f>
        <v>Control</v>
      </c>
      <c r="N991" s="3" t="str" cm="1">
        <f t="array" ref="N991">IF(M991="ALU",INDEX(ALUOps!A:A,1+BIN2DEC(MID($B991,22,5))),"")</f>
        <v/>
      </c>
      <c r="O991" s="3" t="str" cm="1">
        <f t="array" ref="O991">IF(M991="ALU",INDEX(TMP!A:A,1+BIN2DEC(MID($B991,27,2))),"")</f>
        <v/>
      </c>
      <c r="P991" s="6" t="str">
        <f t="shared" si="99"/>
        <v/>
      </c>
      <c r="Q991" t="str">
        <f t="shared" si="102"/>
        <v/>
      </c>
      <c r="R991" t="str">
        <f t="shared" si="103"/>
        <v/>
      </c>
      <c r="S991" cm="1">
        <f t="array" ref="S991">IF(M991="Control",INDEX(IC!A:A,1+BIN2DEC(MID($B991,21,4))),"")</f>
        <v>0</v>
      </c>
      <c r="T991" cm="1">
        <f t="array" ref="T991">IF(M991="Control",INDEX(EC!A:A,1+BIN2DEC(MID($B991,25,3))),"")</f>
        <v>0</v>
      </c>
      <c r="U991" cm="1">
        <f t="array" ref="U991">IF(M991="Control",INDEX(SR!A:A,1+BIN2DEC(MID($B991,28,2))),"")</f>
        <v>0</v>
      </c>
    </row>
    <row r="992" spans="1:30" x14ac:dyDescent="0.25">
      <c r="A992" s="4" t="str">
        <f t="shared" si="100"/>
        <v>3DE</v>
      </c>
      <c r="B992" s="2" t="s">
        <v>894</v>
      </c>
      <c r="C992" s="3"/>
      <c r="D992" s="3"/>
      <c r="E992" s="3"/>
      <c r="F992" s="27" t="str" cm="1">
        <f t="array" ref="F992">INDEX(Sources!A:A, 1 + BIN2DEC(LEFT($B992,5)))</f>
        <v>REG</v>
      </c>
      <c r="G992" s="27" t="str" cm="1">
        <f t="array" ref="G992">INDEX(Dest1!A:A,1+BIN2DEC(MID($B992,6,5)))</f>
        <v>OUT</v>
      </c>
      <c r="H992" s="27" t="str" cm="1">
        <f t="array" ref="H992">INDEX(Source2!A:A,1+BIN2DEC(MID($B992,11,4)))</f>
        <v>--</v>
      </c>
      <c r="I992" s="23" cm="1">
        <f t="array" ref="I992">INDEX('D2'!A:A,1+BIN2DEC(MID($B992,16,2)))</f>
        <v>0</v>
      </c>
      <c r="J992" s="6">
        <f t="shared" si="101"/>
        <v>0</v>
      </c>
      <c r="K992" s="6">
        <f t="shared" si="97"/>
        <v>0</v>
      </c>
      <c r="L992" s="6">
        <f t="shared" si="98"/>
        <v>1</v>
      </c>
      <c r="M992" s="3" t="str" cm="1">
        <f t="array" ref="M992">INDEX(Types!A:A,1+BIN2DEC(MID($B992,20,2)))</f>
        <v>Control</v>
      </c>
      <c r="N992" s="3" t="str" cm="1">
        <f t="array" ref="N992">IF(M992="ALU",INDEX(ALUOps!A:A,1+BIN2DEC(MID($B992,22,5))),"")</f>
        <v/>
      </c>
      <c r="O992" s="3" t="str" cm="1">
        <f t="array" ref="O992">IF(M992="ALU",INDEX(TMP!A:A,1+BIN2DEC(MID($B992,27,2))),"")</f>
        <v/>
      </c>
      <c r="P992" s="6" t="str">
        <f t="shared" si="99"/>
        <v/>
      </c>
      <c r="Q992" t="str">
        <f t="shared" si="102"/>
        <v/>
      </c>
      <c r="R992" t="str">
        <f t="shared" si="103"/>
        <v/>
      </c>
      <c r="S992" cm="1">
        <f t="array" ref="S992">IF(M992="Control",INDEX(IC!A:A,1+BIN2DEC(MID($B992,21,4))),"")</f>
        <v>0</v>
      </c>
      <c r="T992" cm="1">
        <f t="array" ref="T992">IF(M992="Control",INDEX(EC!A:A,1+BIN2DEC(MID($B992,25,3))),"")</f>
        <v>5</v>
      </c>
      <c r="U992" cm="1">
        <f t="array" ref="U992">IF(M992="Control",INDEX(SR!A:A,1+BIN2DEC(MID($B992,28,2))),"")</f>
        <v>0</v>
      </c>
    </row>
    <row r="993" spans="1:30" x14ac:dyDescent="0.25">
      <c r="A993" s="4" t="str">
        <f t="shared" si="100"/>
        <v>3DF</v>
      </c>
      <c r="B993" s="2" t="s">
        <v>799</v>
      </c>
      <c r="C993" s="3"/>
      <c r="D993" s="3"/>
      <c r="E993" s="3"/>
      <c r="F993" s="27" t="str" cm="1">
        <f t="array" ref="F993">INDEX(Sources!A:A, 1 + BIN2DEC(LEFT($B993,5)))</f>
        <v>UNK27</v>
      </c>
      <c r="G993" s="27" t="str" cm="1">
        <f t="array" ref="G993">INDEX(Dest1!A:A,1+BIN2DEC(MID($B993,6,5)))</f>
        <v>UNK24</v>
      </c>
      <c r="H993" s="27" t="str" cm="1">
        <f t="array" ref="H993">INDEX(Source2!A:A,1+BIN2DEC(MID($B993,11,4)))</f>
        <v>--</v>
      </c>
      <c r="I993" s="23" cm="1">
        <f t="array" ref="I993">INDEX('D2'!A:A,1+BIN2DEC(MID($B993,16,2)))</f>
        <v>0</v>
      </c>
      <c r="J993" s="6">
        <f t="shared" si="101"/>
        <v>0</v>
      </c>
      <c r="K993" s="6">
        <f t="shared" si="97"/>
        <v>0</v>
      </c>
      <c r="L993" s="6">
        <f t="shared" si="98"/>
        <v>0</v>
      </c>
      <c r="M993" s="3" t="str" cm="1">
        <f t="array" ref="M993">INDEX(Types!A:A,1+BIN2DEC(MID($B993,20,2)))</f>
        <v>Control</v>
      </c>
      <c r="N993" s="3" t="str" cm="1">
        <f t="array" ref="N993">IF(M993="ALU",INDEX(ALUOps!A:A,1+BIN2DEC(MID($B993,22,5))),"")</f>
        <v/>
      </c>
      <c r="O993" s="3" t="str" cm="1">
        <f t="array" ref="O993">IF(M993="ALU",INDEX(TMP!A:A,1+BIN2DEC(MID($B993,27,2))),"")</f>
        <v/>
      </c>
      <c r="P993" s="6" t="str">
        <f t="shared" si="99"/>
        <v/>
      </c>
      <c r="Q993" t="str">
        <f t="shared" si="102"/>
        <v/>
      </c>
      <c r="R993" t="str">
        <f t="shared" si="103"/>
        <v/>
      </c>
      <c r="S993" cm="1">
        <f t="array" ref="S993">IF(M993="Control",INDEX(IC!A:A,1+BIN2DEC(MID($B993,21,4))),"")</f>
        <v>0</v>
      </c>
      <c r="T993" cm="1">
        <f t="array" ref="T993">IF(M993="Control",INDEX(EC!A:A,1+BIN2DEC(MID($B993,25,3))),"")</f>
        <v>0</v>
      </c>
      <c r="U993" cm="1">
        <f t="array" ref="U993">IF(M993="Control",INDEX(SR!A:A,1+BIN2DEC(MID($B993,28,2))),"")</f>
        <v>0</v>
      </c>
    </row>
    <row r="994" spans="1:30" x14ac:dyDescent="0.25">
      <c r="A994" s="4" t="str">
        <f t="shared" si="100"/>
        <v>3E0</v>
      </c>
      <c r="B994" s="2" t="s">
        <v>897</v>
      </c>
      <c r="C994" s="2" t="s">
        <v>895</v>
      </c>
      <c r="D994" s="2" t="s">
        <v>937</v>
      </c>
      <c r="E994" s="2" t="s">
        <v>462</v>
      </c>
      <c r="F994" s="27" t="str" cm="1">
        <f t="array" ref="F994">INDEX(Sources!A:A, 1 + BIN2DEC(LEFT($B994,5)))</f>
        <v>FLAGS</v>
      </c>
      <c r="G994" s="27" t="str" cm="1">
        <f t="array" ref="G994">INDEX(Dest1!A:A,1+BIN2DEC(MID($B994,6,5)))</f>
        <v>UNK11</v>
      </c>
      <c r="H994" s="27" t="str" cm="1">
        <f t="array" ref="H994">INDEX(Source2!A:A,1+BIN2DEC(MID($B994,11,4)))</f>
        <v>2</v>
      </c>
      <c r="I994" s="23" cm="1">
        <f t="array" ref="I994">INDEX('D2'!A:A,1+BIN2DEC(MID($B994,16,2)))</f>
        <v>0</v>
      </c>
      <c r="J994" s="6">
        <f t="shared" si="101"/>
        <v>0</v>
      </c>
      <c r="K994" s="6">
        <f t="shared" si="97"/>
        <v>0</v>
      </c>
      <c r="L994" s="6">
        <f t="shared" si="98"/>
        <v>0</v>
      </c>
      <c r="M994" s="3" t="str" cm="1">
        <f t="array" ref="M994">INDEX(Types!A:A,1+BIN2DEC(MID($B994,20,2)))</f>
        <v>ALU</v>
      </c>
      <c r="N994" s="3" cm="1">
        <f t="array" ref="N994">IF(M994="ALU",INDEX(ALUOps!A:A,1+BIN2DEC(MID($B994,22,5))),"")</f>
        <v>2</v>
      </c>
      <c r="O994" s="3" cm="1">
        <f t="array" ref="O994">IF(M994="ALU",INDEX(TMP!A:A,1+BIN2DEC(MID($B994,27,2))),"")</f>
        <v>2</v>
      </c>
      <c r="P994" s="6">
        <f t="shared" si="99"/>
        <v>1</v>
      </c>
      <c r="Q994" t="str">
        <f t="shared" si="102"/>
        <v/>
      </c>
      <c r="R994" t="str">
        <f t="shared" si="103"/>
        <v/>
      </c>
      <c r="S994" t="str" cm="1">
        <f t="array" ref="S994">IF(M994="Control",INDEX(IC!A:A,1+BIN2DEC(MID($B994,21,4))),"")</f>
        <v/>
      </c>
      <c r="T994" t="str" cm="1">
        <f t="array" ref="T994">IF(M994="Control",INDEX(EC!A:A,1+BIN2DEC(MID($B994,25,3))),"")</f>
        <v/>
      </c>
      <c r="U994" t="str" cm="1">
        <f t="array" ref="U994">IF(M994="Control",INDEX(SR!A:A,1+BIN2DEC(MID($B994,28,2))),"")</f>
        <v/>
      </c>
      <c r="W994">
        <v>8080</v>
      </c>
      <c r="X994" t="s">
        <v>1093</v>
      </c>
      <c r="AD994" s="1" t="s">
        <v>896</v>
      </c>
    </row>
    <row r="995" spans="1:30" x14ac:dyDescent="0.25">
      <c r="A995" s="4" t="str">
        <f t="shared" si="100"/>
        <v>3E1</v>
      </c>
      <c r="B995" s="2" t="s">
        <v>900</v>
      </c>
      <c r="C995" s="3"/>
      <c r="D995" s="3"/>
      <c r="E995" s="3"/>
      <c r="F995" s="27" t="str" cm="1">
        <f t="array" ref="F995">INDEX(Sources!A:A, 1 + BIN2DEC(LEFT($B995,5)))</f>
        <v>AH</v>
      </c>
      <c r="G995" s="27" t="str" cm="1">
        <f t="array" ref="G995">INDEX(Dest1!A:A,1+BIN2DEC(MID($B995,6,5)))</f>
        <v>UNK9</v>
      </c>
      <c r="H995" s="27" t="str" cm="1">
        <f t="array" ref="H995">INDEX(Source2!A:A,1+BIN2DEC(MID($B995,11,4)))</f>
        <v>11</v>
      </c>
      <c r="I995" s="23" t="str" cm="1">
        <f t="array" ref="I995">INDEX('D2'!A:A,1+BIN2DEC(MID($B995,16,2)))</f>
        <v>TMPB</v>
      </c>
      <c r="J995" s="6">
        <f t="shared" si="101"/>
        <v>0</v>
      </c>
      <c r="K995" s="6">
        <f t="shared" si="97"/>
        <v>0</v>
      </c>
      <c r="L995" s="6">
        <f t="shared" si="98"/>
        <v>0</v>
      </c>
      <c r="M995" s="3" t="str" cm="1">
        <f t="array" ref="M995">INDEX(Types!A:A,1+BIN2DEC(MID($B995,20,2)))</f>
        <v>Control</v>
      </c>
      <c r="N995" s="3" t="str" cm="1">
        <f t="array" ref="N995">IF(M995="ALU",INDEX(ALUOps!A:A,1+BIN2DEC(MID($B995,22,5))),"")</f>
        <v/>
      </c>
      <c r="O995" s="3" t="str" cm="1">
        <f t="array" ref="O995">IF(M995="ALU",INDEX(TMP!A:A,1+BIN2DEC(MID($B995,27,2))),"")</f>
        <v/>
      </c>
      <c r="P995" s="6" t="str">
        <f t="shared" si="99"/>
        <v/>
      </c>
      <c r="Q995" t="str">
        <f t="shared" si="102"/>
        <v/>
      </c>
      <c r="R995" t="str">
        <f t="shared" si="103"/>
        <v/>
      </c>
      <c r="S995" cm="1">
        <f t="array" ref="S995">IF(M995="Control",INDEX(IC!A:A,1+BIN2DEC(MID($B995,21,4))),"")</f>
        <v>0</v>
      </c>
      <c r="T995" cm="1">
        <f t="array" ref="T995">IF(M995="Control",INDEX(EC!A:A,1+BIN2DEC(MID($B995,25,3))),"")</f>
        <v>0</v>
      </c>
      <c r="U995" cm="1">
        <f t="array" ref="U995">IF(M995="Control",INDEX(SR!A:A,1+BIN2DEC(MID($B995,28,2))),"")</f>
        <v>0</v>
      </c>
    </row>
    <row r="996" spans="1:30" x14ac:dyDescent="0.25">
      <c r="A996" s="4" t="str">
        <f t="shared" si="100"/>
        <v>3E2</v>
      </c>
      <c r="B996" s="2" t="s">
        <v>901</v>
      </c>
      <c r="C996" s="3"/>
      <c r="D996" s="3"/>
      <c r="E996" s="3"/>
      <c r="F996" s="27" t="str" cm="1">
        <f t="array" ref="F996">INDEX(Sources!A:A, 1 + BIN2DEC(LEFT($B996,5)))</f>
        <v>TMPB</v>
      </c>
      <c r="G996" s="27" t="str" cm="1">
        <f t="array" ref="G996">INDEX(Dest1!A:A,1+BIN2DEC(MID($B996,6,5)))</f>
        <v>OUT</v>
      </c>
      <c r="H996" s="27" t="str" cm="1">
        <f t="array" ref="H996">INDEX(Source2!A:A,1+BIN2DEC(MID($B996,11,4)))</f>
        <v>--</v>
      </c>
      <c r="I996" s="23" cm="1">
        <f t="array" ref="I996">INDEX('D2'!A:A,1+BIN2DEC(MID($B996,16,2)))</f>
        <v>0</v>
      </c>
      <c r="J996" s="6">
        <f t="shared" si="101"/>
        <v>0</v>
      </c>
      <c r="K996" s="6">
        <f t="shared" si="97"/>
        <v>0</v>
      </c>
      <c r="L996" s="6">
        <f t="shared" si="98"/>
        <v>1</v>
      </c>
      <c r="M996" s="3" t="str" cm="1">
        <f t="array" ref="M996">INDEX(Types!A:A,1+BIN2DEC(MID($B996,20,2)))</f>
        <v>Control</v>
      </c>
      <c r="N996" s="3" t="str" cm="1">
        <f t="array" ref="N996">IF(M996="ALU",INDEX(ALUOps!A:A,1+BIN2DEC(MID($B996,22,5))),"")</f>
        <v/>
      </c>
      <c r="O996" s="3" t="str" cm="1">
        <f t="array" ref="O996">IF(M996="ALU",INDEX(TMP!A:A,1+BIN2DEC(MID($B996,27,2))),"")</f>
        <v/>
      </c>
      <c r="P996" s="6" t="str">
        <f t="shared" si="99"/>
        <v/>
      </c>
      <c r="Q996" t="str">
        <f t="shared" si="102"/>
        <v/>
      </c>
      <c r="R996" t="str">
        <f t="shared" si="103"/>
        <v/>
      </c>
      <c r="S996" cm="1">
        <f t="array" ref="S996">IF(M996="Control",INDEX(IC!A:A,1+BIN2DEC(MID($B996,21,4))),"")</f>
        <v>0</v>
      </c>
      <c r="T996" cm="1">
        <f t="array" ref="T996">IF(M996="Control",INDEX(EC!A:A,1+BIN2DEC(MID($B996,25,3))),"")</f>
        <v>5</v>
      </c>
      <c r="U996" cm="1">
        <f t="array" ref="U996">IF(M996="Control",INDEX(SR!A:A,1+BIN2DEC(MID($B996,28,2))),"")</f>
        <v>0</v>
      </c>
    </row>
    <row r="997" spans="1:30" x14ac:dyDescent="0.25">
      <c r="A997" s="4" t="str">
        <f t="shared" si="100"/>
        <v>3E3</v>
      </c>
      <c r="B997" s="2" t="s">
        <v>887</v>
      </c>
      <c r="C997" s="3"/>
      <c r="D997" s="3"/>
      <c r="E997" s="3"/>
      <c r="F997" s="27" t="str" cm="1">
        <f t="array" ref="F997">INDEX(Sources!A:A, 1 + BIN2DEC(LEFT($B997,5)))</f>
        <v>SIGMA</v>
      </c>
      <c r="G997" s="27" t="str" cm="1">
        <f t="array" ref="G997">INDEX(Dest1!A:A,1+BIN2DEC(MID($B997,6,5)))</f>
        <v>UNK2</v>
      </c>
      <c r="H997" s="27" t="str" cm="1">
        <f t="array" ref="H997">INDEX(Source2!A:A,1+BIN2DEC(MID($B997,11,4)))</f>
        <v>--</v>
      </c>
      <c r="I997" s="23" cm="1">
        <f t="array" ref="I997">INDEX('D2'!A:A,1+BIN2DEC(MID($B997,16,2)))</f>
        <v>0</v>
      </c>
      <c r="J997" s="6">
        <f t="shared" si="101"/>
        <v>0</v>
      </c>
      <c r="K997" s="6">
        <f t="shared" si="97"/>
        <v>0</v>
      </c>
      <c r="L997" s="6">
        <f t="shared" si="98"/>
        <v>0</v>
      </c>
      <c r="M997" s="3" t="str" cm="1">
        <f t="array" ref="M997">INDEX(Types!A:A,1+BIN2DEC(MID($B997,20,2)))</f>
        <v>Control</v>
      </c>
      <c r="N997" s="3" t="str" cm="1">
        <f t="array" ref="N997">IF(M997="ALU",INDEX(ALUOps!A:A,1+BIN2DEC(MID($B997,22,5))),"")</f>
        <v/>
      </c>
      <c r="O997" s="3" t="str" cm="1">
        <f t="array" ref="O997">IF(M997="ALU",INDEX(TMP!A:A,1+BIN2DEC(MID($B997,27,2))),"")</f>
        <v/>
      </c>
      <c r="P997" s="6" t="str">
        <f t="shared" si="99"/>
        <v/>
      </c>
      <c r="Q997" t="str">
        <f t="shared" si="102"/>
        <v/>
      </c>
      <c r="R997" t="str">
        <f t="shared" si="103"/>
        <v/>
      </c>
      <c r="S997" cm="1">
        <f t="array" ref="S997">IF(M997="Control",INDEX(IC!A:A,1+BIN2DEC(MID($B997,21,4))),"")</f>
        <v>0</v>
      </c>
      <c r="T997" cm="1">
        <f t="array" ref="T997">IF(M997="Control",INDEX(EC!A:A,1+BIN2DEC(MID($B997,25,3))),"")</f>
        <v>0</v>
      </c>
      <c r="U997" cm="1">
        <f t="array" ref="U997">IF(M997="Control",INDEX(SR!A:A,1+BIN2DEC(MID($B997,28,2))),"")</f>
        <v>0</v>
      </c>
    </row>
    <row r="998" spans="1:30" x14ac:dyDescent="0.25">
      <c r="A998" s="4" t="str">
        <f t="shared" si="100"/>
        <v>3E4</v>
      </c>
      <c r="B998" s="2" t="s">
        <v>902</v>
      </c>
      <c r="C998" s="2" t="s">
        <v>898</v>
      </c>
      <c r="D998" s="2" t="s">
        <v>937</v>
      </c>
      <c r="E998" s="2" t="s">
        <v>462</v>
      </c>
      <c r="F998" s="27" t="str" cm="1">
        <f t="array" ref="F998">INDEX(Sources!A:A, 1 + BIN2DEC(LEFT($B998,5)))</f>
        <v>UNK2</v>
      </c>
      <c r="G998" s="27" t="str" cm="1">
        <f t="array" ref="G998">INDEX(Dest1!A:A,1+BIN2DEC(MID($B998,6,5)))</f>
        <v>UNK26</v>
      </c>
      <c r="H998" s="27" t="str" cm="1">
        <f t="array" ref="H998">INDEX(Source2!A:A,1+BIN2DEC(MID($B998,11,4)))</f>
        <v>2</v>
      </c>
      <c r="I998" s="23" t="str" cm="1">
        <f t="array" ref="I998">INDEX('D2'!A:A,1+BIN2DEC(MID($B998,16,2)))</f>
        <v>TMPB</v>
      </c>
      <c r="J998" s="6">
        <f t="shared" si="101"/>
        <v>0</v>
      </c>
      <c r="K998" s="6">
        <f t="shared" si="97"/>
        <v>0</v>
      </c>
      <c r="L998" s="6">
        <f t="shared" si="98"/>
        <v>0</v>
      </c>
      <c r="M998" s="3" t="str" cm="1">
        <f t="array" ref="M998">INDEX(Types!A:A,1+BIN2DEC(MID($B998,20,2)))</f>
        <v>Control</v>
      </c>
      <c r="N998" s="3" t="str" cm="1">
        <f t="array" ref="N998">IF(M998="ALU",INDEX(ALUOps!A:A,1+BIN2DEC(MID($B998,22,5))),"")</f>
        <v/>
      </c>
      <c r="O998" s="3" t="str" cm="1">
        <f t="array" ref="O998">IF(M998="ALU",INDEX(TMP!A:A,1+BIN2DEC(MID($B998,27,2))),"")</f>
        <v/>
      </c>
      <c r="P998" s="6" t="str">
        <f t="shared" si="99"/>
        <v/>
      </c>
      <c r="Q998" t="str">
        <f t="shared" si="102"/>
        <v/>
      </c>
      <c r="R998" t="str">
        <f t="shared" si="103"/>
        <v/>
      </c>
      <c r="S998" cm="1">
        <f t="array" ref="S998">IF(M998="Control",INDEX(IC!A:A,1+BIN2DEC(MID($B998,21,4))),"")</f>
        <v>0</v>
      </c>
      <c r="T998" cm="1">
        <f t="array" ref="T998">IF(M998="Control",INDEX(EC!A:A,1+BIN2DEC(MID($B998,25,3))),"")</f>
        <v>6</v>
      </c>
      <c r="U998" cm="1">
        <f t="array" ref="U998">IF(M998="Control",INDEX(SR!A:A,1+BIN2DEC(MID($B998,28,2))),"")</f>
        <v>0</v>
      </c>
      <c r="W998">
        <v>8080</v>
      </c>
      <c r="X998" t="s">
        <v>1094</v>
      </c>
      <c r="AD998" s="1" t="s">
        <v>899</v>
      </c>
    </row>
    <row r="999" spans="1:30" x14ac:dyDescent="0.25">
      <c r="A999" s="4" t="str">
        <f t="shared" si="100"/>
        <v>3E5</v>
      </c>
      <c r="B999" s="2" t="s">
        <v>238</v>
      </c>
      <c r="C999" s="3"/>
      <c r="D999" s="3"/>
      <c r="E999" s="3"/>
      <c r="F999" s="27" t="str" cm="1">
        <f t="array" ref="F999">INDEX(Sources!A:A, 1 + BIN2DEC(LEFT($B999,5)))</f>
        <v>--</v>
      </c>
      <c r="G999" s="27" t="str" cm="1">
        <f t="array" ref="G999">INDEX(Dest1!A:A,1+BIN2DEC(MID($B999,6,5)))</f>
        <v>--</v>
      </c>
      <c r="H999" s="27" t="str" cm="1">
        <f t="array" ref="H999">INDEX(Source2!A:A,1+BIN2DEC(MID($B999,11,4)))</f>
        <v>--</v>
      </c>
      <c r="I999" s="23" cm="1">
        <f t="array" ref="I999">INDEX('D2'!A:A,1+BIN2DEC(MID($B999,16,2)))</f>
        <v>0</v>
      </c>
      <c r="J999" s="6">
        <f t="shared" si="101"/>
        <v>0</v>
      </c>
      <c r="K999" s="6">
        <f t="shared" si="97"/>
        <v>0</v>
      </c>
      <c r="L999" s="6">
        <f t="shared" si="98"/>
        <v>0</v>
      </c>
      <c r="M999" s="3" t="str" cm="1">
        <f t="array" ref="M999">INDEX(Types!A:A,1+BIN2DEC(MID($B999,20,2)))</f>
        <v>ALU</v>
      </c>
      <c r="N999" s="3" cm="1">
        <f t="array" ref="N999">IF(M999="ALU",INDEX(ALUOps!A:A,1+BIN2DEC(MID($B999,22,5))),"")</f>
        <v>3</v>
      </c>
      <c r="O999" s="3" cm="1">
        <f t="array" ref="O999">IF(M999="ALU",INDEX(TMP!A:A,1+BIN2DEC(MID($B999,27,2))),"")</f>
        <v>3</v>
      </c>
      <c r="P999" s="6">
        <f t="shared" si="99"/>
        <v>1</v>
      </c>
      <c r="Q999" t="str">
        <f t="shared" si="102"/>
        <v/>
      </c>
      <c r="R999" t="str">
        <f t="shared" si="103"/>
        <v/>
      </c>
      <c r="S999" t="str" cm="1">
        <f t="array" ref="S999">IF(M999="Control",INDEX(IC!A:A,1+BIN2DEC(MID($B999,21,4))),"")</f>
        <v/>
      </c>
      <c r="T999" t="str" cm="1">
        <f t="array" ref="T999">IF(M999="Control",INDEX(EC!A:A,1+BIN2DEC(MID($B999,25,3))),"")</f>
        <v/>
      </c>
      <c r="U999" t="str" cm="1">
        <f t="array" ref="U999">IF(M999="Control",INDEX(SR!A:A,1+BIN2DEC(MID($B999,28,2))),"")</f>
        <v/>
      </c>
    </row>
    <row r="1000" spans="1:30" x14ac:dyDescent="0.25">
      <c r="A1000" s="4" t="str">
        <f t="shared" si="100"/>
        <v>3E6</v>
      </c>
      <c r="B1000" s="2" t="s">
        <v>887</v>
      </c>
      <c r="C1000" s="3"/>
      <c r="D1000" s="3"/>
      <c r="E1000" s="3"/>
      <c r="F1000" s="27" t="str" cm="1">
        <f t="array" ref="F1000">INDEX(Sources!A:A, 1 + BIN2DEC(LEFT($B1000,5)))</f>
        <v>SIGMA</v>
      </c>
      <c r="G1000" s="27" t="str" cm="1">
        <f t="array" ref="G1000">INDEX(Dest1!A:A,1+BIN2DEC(MID($B1000,6,5)))</f>
        <v>UNK2</v>
      </c>
      <c r="H1000" s="27" t="str" cm="1">
        <f t="array" ref="H1000">INDEX(Source2!A:A,1+BIN2DEC(MID($B1000,11,4)))</f>
        <v>--</v>
      </c>
      <c r="I1000" s="23" cm="1">
        <f t="array" ref="I1000">INDEX('D2'!A:A,1+BIN2DEC(MID($B1000,16,2)))</f>
        <v>0</v>
      </c>
      <c r="J1000" s="6">
        <f t="shared" si="101"/>
        <v>0</v>
      </c>
      <c r="K1000" s="6">
        <f t="shared" si="97"/>
        <v>0</v>
      </c>
      <c r="L1000" s="6">
        <f t="shared" si="98"/>
        <v>0</v>
      </c>
      <c r="M1000" s="3" t="str" cm="1">
        <f t="array" ref="M1000">INDEX(Types!A:A,1+BIN2DEC(MID($B1000,20,2)))</f>
        <v>Control</v>
      </c>
      <c r="N1000" s="3" t="str" cm="1">
        <f t="array" ref="N1000">IF(M1000="ALU",INDEX(ALUOps!A:A,1+BIN2DEC(MID($B1000,22,5))),"")</f>
        <v/>
      </c>
      <c r="O1000" s="3" t="str" cm="1">
        <f t="array" ref="O1000">IF(M1000="ALU",INDEX(TMP!A:A,1+BIN2DEC(MID($B1000,27,2))),"")</f>
        <v/>
      </c>
      <c r="P1000" s="6" t="str">
        <f t="shared" si="99"/>
        <v/>
      </c>
      <c r="Q1000" t="str">
        <f t="shared" si="102"/>
        <v/>
      </c>
      <c r="R1000" t="str">
        <f t="shared" si="103"/>
        <v/>
      </c>
      <c r="S1000" cm="1">
        <f t="array" ref="S1000">IF(M1000="Control",INDEX(IC!A:A,1+BIN2DEC(MID($B1000,21,4))),"")</f>
        <v>0</v>
      </c>
      <c r="T1000" cm="1">
        <f t="array" ref="T1000">IF(M1000="Control",INDEX(EC!A:A,1+BIN2DEC(MID($B1000,25,3))),"")</f>
        <v>0</v>
      </c>
      <c r="U1000" cm="1">
        <f t="array" ref="U1000">IF(M1000="Control",INDEX(SR!A:A,1+BIN2DEC(MID($B1000,28,2))),"")</f>
        <v>0</v>
      </c>
    </row>
    <row r="1001" spans="1:30" x14ac:dyDescent="0.25">
      <c r="A1001" s="4" t="str">
        <f t="shared" si="100"/>
        <v>3E7</v>
      </c>
      <c r="B1001" s="2" t="s">
        <v>16</v>
      </c>
      <c r="C1001" s="3"/>
      <c r="D1001" s="3"/>
      <c r="E1001" s="3"/>
      <c r="F1001" s="27" t="str" cm="1">
        <f t="array" ref="F1001">INDEX(Sources!A:A, 1 + BIN2DEC(LEFT($B1001,5)))</f>
        <v>OUT</v>
      </c>
      <c r="G1001" s="27" t="str" cm="1">
        <f t="array" ref="G1001">INDEX(Dest1!A:A,1+BIN2DEC(MID($B1001,6,5)))</f>
        <v>REG</v>
      </c>
      <c r="H1001" s="27" t="str" cm="1">
        <f t="array" ref="H1001">INDEX(Source2!A:A,1+BIN2DEC(MID($B1001,11,4)))</f>
        <v>--</v>
      </c>
      <c r="I1001" s="23" cm="1">
        <f t="array" ref="I1001">INDEX('D2'!A:A,1+BIN2DEC(MID($B1001,16,2)))</f>
        <v>1</v>
      </c>
      <c r="J1001" s="6">
        <f t="shared" si="101"/>
        <v>1</v>
      </c>
      <c r="K1001" s="6">
        <f t="shared" si="97"/>
        <v>0</v>
      </c>
      <c r="L1001" s="6">
        <f t="shared" si="98"/>
        <v>1</v>
      </c>
      <c r="M1001" s="3" t="str" cm="1">
        <f t="array" ref="M1001">INDEX(Types!A:A,1+BIN2DEC(MID($B1001,20,2)))</f>
        <v>Control</v>
      </c>
      <c r="N1001" s="3" t="str" cm="1">
        <f t="array" ref="N1001">IF(M1001="ALU",INDEX(ALUOps!A:A,1+BIN2DEC(MID($B1001,22,5))),"")</f>
        <v/>
      </c>
      <c r="O1001" s="3" t="str" cm="1">
        <f t="array" ref="O1001">IF(M1001="ALU",INDEX(TMP!A:A,1+BIN2DEC(MID($B1001,27,2))),"")</f>
        <v/>
      </c>
      <c r="P1001" s="6" t="str">
        <f t="shared" si="99"/>
        <v/>
      </c>
      <c r="Q1001" t="str">
        <f t="shared" si="102"/>
        <v/>
      </c>
      <c r="R1001" t="str">
        <f t="shared" si="103"/>
        <v/>
      </c>
      <c r="S1001" cm="1">
        <f t="array" ref="S1001">IF(M1001="Control",INDEX(IC!A:A,1+BIN2DEC(MID($B1001,21,4))),"")</f>
        <v>0</v>
      </c>
      <c r="T1001" cm="1">
        <f t="array" ref="T1001">IF(M1001="Control",INDEX(EC!A:A,1+BIN2DEC(MID($B1001,25,3))),"")</f>
        <v>0</v>
      </c>
      <c r="U1001" cm="1">
        <f t="array" ref="U1001">IF(M1001="Control",INDEX(SR!A:A,1+BIN2DEC(MID($B1001,28,2))),"")</f>
        <v>0</v>
      </c>
    </row>
    <row r="1002" spans="1:30" x14ac:dyDescent="0.25">
      <c r="A1002" s="4" t="str">
        <f t="shared" si="100"/>
        <v>3E8</v>
      </c>
      <c r="B1002" s="2" t="s">
        <v>902</v>
      </c>
      <c r="C1002" s="2" t="s">
        <v>903</v>
      </c>
      <c r="D1002" s="2" t="s">
        <v>937</v>
      </c>
      <c r="E1002" s="2" t="s">
        <v>462</v>
      </c>
      <c r="F1002" s="27" t="str" cm="1">
        <f t="array" ref="F1002">INDEX(Sources!A:A, 1 + BIN2DEC(LEFT($B1002,5)))</f>
        <v>UNK2</v>
      </c>
      <c r="G1002" s="27" t="str" cm="1">
        <f t="array" ref="G1002">INDEX(Dest1!A:A,1+BIN2DEC(MID($B1002,6,5)))</f>
        <v>UNK26</v>
      </c>
      <c r="H1002" s="27" t="str" cm="1">
        <f t="array" ref="H1002">INDEX(Source2!A:A,1+BIN2DEC(MID($B1002,11,4)))</f>
        <v>2</v>
      </c>
      <c r="I1002" s="23" t="str" cm="1">
        <f t="array" ref="I1002">INDEX('D2'!A:A,1+BIN2DEC(MID($B1002,16,2)))</f>
        <v>TMPB</v>
      </c>
      <c r="J1002" s="6">
        <f t="shared" si="101"/>
        <v>0</v>
      </c>
      <c r="K1002" s="6">
        <f t="shared" si="97"/>
        <v>0</v>
      </c>
      <c r="L1002" s="6">
        <f t="shared" si="98"/>
        <v>0</v>
      </c>
      <c r="M1002" s="3" t="str" cm="1">
        <f t="array" ref="M1002">INDEX(Types!A:A,1+BIN2DEC(MID($B1002,20,2)))</f>
        <v>Control</v>
      </c>
      <c r="N1002" s="3" t="str" cm="1">
        <f t="array" ref="N1002">IF(M1002="ALU",INDEX(ALUOps!A:A,1+BIN2DEC(MID($B1002,22,5))),"")</f>
        <v/>
      </c>
      <c r="O1002" s="3" t="str" cm="1">
        <f t="array" ref="O1002">IF(M1002="ALU",INDEX(TMP!A:A,1+BIN2DEC(MID($B1002,27,2))),"")</f>
        <v/>
      </c>
      <c r="P1002" s="6" t="str">
        <f t="shared" si="99"/>
        <v/>
      </c>
      <c r="Q1002" t="str">
        <f t="shared" si="102"/>
        <v/>
      </c>
      <c r="R1002" t="str">
        <f t="shared" si="103"/>
        <v/>
      </c>
      <c r="S1002" cm="1">
        <f t="array" ref="S1002">IF(M1002="Control",INDEX(IC!A:A,1+BIN2DEC(MID($B1002,21,4))),"")</f>
        <v>0</v>
      </c>
      <c r="T1002" cm="1">
        <f t="array" ref="T1002">IF(M1002="Control",INDEX(EC!A:A,1+BIN2DEC(MID($B1002,25,3))),"")</f>
        <v>6</v>
      </c>
      <c r="U1002" cm="1">
        <f t="array" ref="U1002">IF(M1002="Control",INDEX(SR!A:A,1+BIN2DEC(MID($B1002,28,2))),"")</f>
        <v>0</v>
      </c>
      <c r="W1002">
        <v>8080</v>
      </c>
      <c r="X1002" t="s">
        <v>1095</v>
      </c>
      <c r="AD1002" s="1" t="s">
        <v>904</v>
      </c>
    </row>
    <row r="1003" spans="1:30" x14ac:dyDescent="0.25">
      <c r="A1003" s="4" t="str">
        <f t="shared" si="100"/>
        <v>3E9</v>
      </c>
      <c r="B1003" s="2" t="s">
        <v>238</v>
      </c>
      <c r="C1003" s="3"/>
      <c r="D1003" s="3"/>
      <c r="E1003" s="3"/>
      <c r="F1003" s="27" t="str" cm="1">
        <f t="array" ref="F1003">INDEX(Sources!A:A, 1 + BIN2DEC(LEFT($B1003,5)))</f>
        <v>--</v>
      </c>
      <c r="G1003" s="27" t="str" cm="1">
        <f t="array" ref="G1003">INDEX(Dest1!A:A,1+BIN2DEC(MID($B1003,6,5)))</f>
        <v>--</v>
      </c>
      <c r="H1003" s="27" t="str" cm="1">
        <f t="array" ref="H1003">INDEX(Source2!A:A,1+BIN2DEC(MID($B1003,11,4)))</f>
        <v>--</v>
      </c>
      <c r="I1003" s="23" cm="1">
        <f t="array" ref="I1003">INDEX('D2'!A:A,1+BIN2DEC(MID($B1003,16,2)))</f>
        <v>0</v>
      </c>
      <c r="J1003" s="6">
        <f t="shared" si="101"/>
        <v>0</v>
      </c>
      <c r="K1003" s="6">
        <f t="shared" si="97"/>
        <v>0</v>
      </c>
      <c r="L1003" s="6">
        <f t="shared" si="98"/>
        <v>0</v>
      </c>
      <c r="M1003" s="3" t="str" cm="1">
        <f t="array" ref="M1003">INDEX(Types!A:A,1+BIN2DEC(MID($B1003,20,2)))</f>
        <v>ALU</v>
      </c>
      <c r="N1003" s="3" cm="1">
        <f t="array" ref="N1003">IF(M1003="ALU",INDEX(ALUOps!A:A,1+BIN2DEC(MID($B1003,22,5))),"")</f>
        <v>3</v>
      </c>
      <c r="O1003" s="3" cm="1">
        <f t="array" ref="O1003">IF(M1003="ALU",INDEX(TMP!A:A,1+BIN2DEC(MID($B1003,27,2))),"")</f>
        <v>3</v>
      </c>
      <c r="P1003" s="6">
        <f t="shared" si="99"/>
        <v>1</v>
      </c>
      <c r="Q1003" t="str">
        <f t="shared" si="102"/>
        <v/>
      </c>
      <c r="R1003" t="str">
        <f t="shared" si="103"/>
        <v/>
      </c>
      <c r="S1003" t="str" cm="1">
        <f t="array" ref="S1003">IF(M1003="Control",INDEX(IC!A:A,1+BIN2DEC(MID($B1003,21,4))),"")</f>
        <v/>
      </c>
      <c r="T1003" t="str" cm="1">
        <f t="array" ref="T1003">IF(M1003="Control",INDEX(EC!A:A,1+BIN2DEC(MID($B1003,25,3))),"")</f>
        <v/>
      </c>
      <c r="U1003" t="str" cm="1">
        <f t="array" ref="U1003">IF(M1003="Control",INDEX(SR!A:A,1+BIN2DEC(MID($B1003,28,2))),"")</f>
        <v/>
      </c>
    </row>
    <row r="1004" spans="1:30" x14ac:dyDescent="0.25">
      <c r="A1004" s="4" t="str">
        <f t="shared" si="100"/>
        <v>3EA</v>
      </c>
      <c r="B1004" s="2" t="s">
        <v>887</v>
      </c>
      <c r="C1004" s="3"/>
      <c r="D1004" s="3"/>
      <c r="E1004" s="3"/>
      <c r="F1004" s="27" t="str" cm="1">
        <f t="array" ref="F1004">INDEX(Sources!A:A, 1 + BIN2DEC(LEFT($B1004,5)))</f>
        <v>SIGMA</v>
      </c>
      <c r="G1004" s="27" t="str" cm="1">
        <f t="array" ref="G1004">INDEX(Dest1!A:A,1+BIN2DEC(MID($B1004,6,5)))</f>
        <v>UNK2</v>
      </c>
      <c r="H1004" s="27" t="str" cm="1">
        <f t="array" ref="H1004">INDEX(Source2!A:A,1+BIN2DEC(MID($B1004,11,4)))</f>
        <v>--</v>
      </c>
      <c r="I1004" s="23" cm="1">
        <f t="array" ref="I1004">INDEX('D2'!A:A,1+BIN2DEC(MID($B1004,16,2)))</f>
        <v>0</v>
      </c>
      <c r="J1004" s="6">
        <f t="shared" si="101"/>
        <v>0</v>
      </c>
      <c r="K1004" s="6">
        <f t="shared" si="97"/>
        <v>0</v>
      </c>
      <c r="L1004" s="6">
        <f t="shared" si="98"/>
        <v>0</v>
      </c>
      <c r="M1004" s="3" t="str" cm="1">
        <f t="array" ref="M1004">INDEX(Types!A:A,1+BIN2DEC(MID($B1004,20,2)))</f>
        <v>Control</v>
      </c>
      <c r="N1004" s="3" t="str" cm="1">
        <f t="array" ref="N1004">IF(M1004="ALU",INDEX(ALUOps!A:A,1+BIN2DEC(MID($B1004,22,5))),"")</f>
        <v/>
      </c>
      <c r="O1004" s="3" t="str" cm="1">
        <f t="array" ref="O1004">IF(M1004="ALU",INDEX(TMP!A:A,1+BIN2DEC(MID($B1004,27,2))),"")</f>
        <v/>
      </c>
      <c r="P1004" s="6" t="str">
        <f t="shared" si="99"/>
        <v/>
      </c>
      <c r="Q1004" t="str">
        <f t="shared" si="102"/>
        <v/>
      </c>
      <c r="R1004" t="str">
        <f t="shared" si="103"/>
        <v/>
      </c>
      <c r="S1004" cm="1">
        <f t="array" ref="S1004">IF(M1004="Control",INDEX(IC!A:A,1+BIN2DEC(MID($B1004,21,4))),"")</f>
        <v>0</v>
      </c>
      <c r="T1004" cm="1">
        <f t="array" ref="T1004">IF(M1004="Control",INDEX(EC!A:A,1+BIN2DEC(MID($B1004,25,3))),"")</f>
        <v>0</v>
      </c>
      <c r="U1004" cm="1">
        <f t="array" ref="U1004">IF(M1004="Control",INDEX(SR!A:A,1+BIN2DEC(MID($B1004,28,2))),"")</f>
        <v>0</v>
      </c>
    </row>
    <row r="1005" spans="1:30" x14ac:dyDescent="0.25">
      <c r="A1005" s="4" t="str">
        <f t="shared" si="100"/>
        <v>3EB</v>
      </c>
      <c r="B1005" s="2" t="s">
        <v>16</v>
      </c>
      <c r="C1005" s="3"/>
      <c r="D1005" s="3"/>
      <c r="E1005" s="3"/>
      <c r="F1005" s="27" t="str" cm="1">
        <f t="array" ref="F1005">INDEX(Sources!A:A, 1 + BIN2DEC(LEFT($B1005,5)))</f>
        <v>OUT</v>
      </c>
      <c r="G1005" s="27" t="str" cm="1">
        <f t="array" ref="G1005">INDEX(Dest1!A:A,1+BIN2DEC(MID($B1005,6,5)))</f>
        <v>REG</v>
      </c>
      <c r="H1005" s="27" t="str" cm="1">
        <f t="array" ref="H1005">INDEX(Source2!A:A,1+BIN2DEC(MID($B1005,11,4)))</f>
        <v>--</v>
      </c>
      <c r="I1005" s="23" cm="1">
        <f t="array" ref="I1005">INDEX('D2'!A:A,1+BIN2DEC(MID($B1005,16,2)))</f>
        <v>1</v>
      </c>
      <c r="J1005" s="6">
        <f t="shared" si="101"/>
        <v>1</v>
      </c>
      <c r="K1005" s="6">
        <f t="shared" si="97"/>
        <v>0</v>
      </c>
      <c r="L1005" s="6">
        <f t="shared" si="98"/>
        <v>1</v>
      </c>
      <c r="M1005" s="3" t="str" cm="1">
        <f t="array" ref="M1005">INDEX(Types!A:A,1+BIN2DEC(MID($B1005,20,2)))</f>
        <v>Control</v>
      </c>
      <c r="N1005" s="3" t="str" cm="1">
        <f t="array" ref="N1005">IF(M1005="ALU",INDEX(ALUOps!A:A,1+BIN2DEC(MID($B1005,22,5))),"")</f>
        <v/>
      </c>
      <c r="O1005" s="3" t="str" cm="1">
        <f t="array" ref="O1005">IF(M1005="ALU",INDEX(TMP!A:A,1+BIN2DEC(MID($B1005,27,2))),"")</f>
        <v/>
      </c>
      <c r="P1005" s="6" t="str">
        <f t="shared" si="99"/>
        <v/>
      </c>
      <c r="Q1005" t="str">
        <f t="shared" si="102"/>
        <v/>
      </c>
      <c r="R1005" t="str">
        <f t="shared" si="103"/>
        <v/>
      </c>
      <c r="S1005" cm="1">
        <f t="array" ref="S1005">IF(M1005="Control",INDEX(IC!A:A,1+BIN2DEC(MID($B1005,21,4))),"")</f>
        <v>0</v>
      </c>
      <c r="T1005" cm="1">
        <f t="array" ref="T1005">IF(M1005="Control",INDEX(EC!A:A,1+BIN2DEC(MID($B1005,25,3))),"")</f>
        <v>0</v>
      </c>
      <c r="U1005" cm="1">
        <f t="array" ref="U1005">IF(M1005="Control",INDEX(SR!A:A,1+BIN2DEC(MID($B1005,28,2))),"")</f>
        <v>0</v>
      </c>
    </row>
    <row r="1006" spans="1:30" x14ac:dyDescent="0.25">
      <c r="A1006" s="4" t="str">
        <f t="shared" si="100"/>
        <v>3EC</v>
      </c>
      <c r="B1006" s="2" t="s">
        <v>907</v>
      </c>
      <c r="C1006" s="2" t="s">
        <v>905</v>
      </c>
      <c r="D1006" s="2" t="s">
        <v>937</v>
      </c>
      <c r="E1006" s="2" t="s">
        <v>462</v>
      </c>
      <c r="F1006" s="27" t="str" cm="1">
        <f t="array" ref="F1006">INDEX(Sources!A:A, 1 + BIN2DEC(LEFT($B1006,5)))</f>
        <v>UNK2</v>
      </c>
      <c r="G1006" s="27" t="str" cm="1">
        <f t="array" ref="G1006">INDEX(Dest1!A:A,1+BIN2DEC(MID($B1006,6,5)))</f>
        <v>UNK26</v>
      </c>
      <c r="H1006" s="27" t="str" cm="1">
        <f t="array" ref="H1006">INDEX(Source2!A:A,1+BIN2DEC(MID($B1006,11,4)))</f>
        <v>7</v>
      </c>
      <c r="I1006" s="23" cm="1">
        <f t="array" ref="I1006">INDEX('D2'!A:A,1+BIN2DEC(MID($B1006,16,2)))</f>
        <v>0</v>
      </c>
      <c r="J1006" s="6">
        <f t="shared" si="101"/>
        <v>0</v>
      </c>
      <c r="K1006" s="6">
        <f t="shared" si="97"/>
        <v>0</v>
      </c>
      <c r="L1006" s="6">
        <f t="shared" si="98"/>
        <v>0</v>
      </c>
      <c r="M1006" s="3" t="str" cm="1">
        <f t="array" ref="M1006">INDEX(Types!A:A,1+BIN2DEC(MID($B1006,20,2)))</f>
        <v>Control</v>
      </c>
      <c r="N1006" s="3" t="str" cm="1">
        <f t="array" ref="N1006">IF(M1006="ALU",INDEX(ALUOps!A:A,1+BIN2DEC(MID($B1006,22,5))),"")</f>
        <v/>
      </c>
      <c r="O1006" s="3" t="str" cm="1">
        <f t="array" ref="O1006">IF(M1006="ALU",INDEX(TMP!A:A,1+BIN2DEC(MID($B1006,27,2))),"")</f>
        <v/>
      </c>
      <c r="P1006" s="6" t="str">
        <f t="shared" si="99"/>
        <v/>
      </c>
      <c r="Q1006" t="str">
        <f t="shared" si="102"/>
        <v/>
      </c>
      <c r="R1006" t="str">
        <f t="shared" si="103"/>
        <v/>
      </c>
      <c r="S1006" cm="1">
        <f t="array" ref="S1006">IF(M1006="Control",INDEX(IC!A:A,1+BIN2DEC(MID($B1006,21,4))),"")</f>
        <v>0</v>
      </c>
      <c r="T1006" cm="1">
        <f t="array" ref="T1006">IF(M1006="Control",INDEX(EC!A:A,1+BIN2DEC(MID($B1006,25,3))),"")</f>
        <v>6</v>
      </c>
      <c r="U1006" cm="1">
        <f t="array" ref="U1006">IF(M1006="Control",INDEX(SR!A:A,1+BIN2DEC(MID($B1006,28,2))),"")</f>
        <v>0</v>
      </c>
      <c r="W1006">
        <v>8080</v>
      </c>
      <c r="X1006" t="s">
        <v>1096</v>
      </c>
      <c r="AD1006" s="1" t="s">
        <v>906</v>
      </c>
    </row>
    <row r="1007" spans="1:30" x14ac:dyDescent="0.25">
      <c r="A1007" s="4" t="str">
        <f t="shared" si="100"/>
        <v>3ED</v>
      </c>
      <c r="B1007" s="2" t="s">
        <v>467</v>
      </c>
      <c r="C1007" s="3"/>
      <c r="D1007" s="3"/>
      <c r="E1007" s="3"/>
      <c r="F1007" s="27" t="str" cm="1">
        <f t="array" ref="F1007">INDEX(Sources!A:A, 1 + BIN2DEC(LEFT($B1007,5)))</f>
        <v>OUT</v>
      </c>
      <c r="G1007" s="27" t="str" cm="1">
        <f t="array" ref="G1007">INDEX(Dest1!A:A,1+BIN2DEC(MID($B1007,6,5)))</f>
        <v>A</v>
      </c>
      <c r="H1007" s="27" t="str" cm="1">
        <f t="array" ref="H1007">INDEX(Source2!A:A,1+BIN2DEC(MID($B1007,11,4)))</f>
        <v>--</v>
      </c>
      <c r="I1007" s="23" cm="1">
        <f t="array" ref="I1007">INDEX('D2'!A:A,1+BIN2DEC(MID($B1007,16,2)))</f>
        <v>1</v>
      </c>
      <c r="J1007" s="6">
        <f t="shared" si="101"/>
        <v>1</v>
      </c>
      <c r="K1007" s="6">
        <f t="shared" si="97"/>
        <v>0</v>
      </c>
      <c r="L1007" s="6">
        <f t="shared" si="98"/>
        <v>0</v>
      </c>
      <c r="M1007" s="3" t="str" cm="1">
        <f t="array" ref="M1007">INDEX(Types!A:A,1+BIN2DEC(MID($B1007,20,2)))</f>
        <v>Control</v>
      </c>
      <c r="N1007" s="3" t="str" cm="1">
        <f t="array" ref="N1007">IF(M1007="ALU",INDEX(ALUOps!A:A,1+BIN2DEC(MID($B1007,22,5))),"")</f>
        <v/>
      </c>
      <c r="O1007" s="3" t="str" cm="1">
        <f t="array" ref="O1007">IF(M1007="ALU",INDEX(TMP!A:A,1+BIN2DEC(MID($B1007,27,2))),"")</f>
        <v/>
      </c>
      <c r="P1007" s="6" t="str">
        <f t="shared" si="99"/>
        <v/>
      </c>
      <c r="Q1007" t="str">
        <f t="shared" si="102"/>
        <v/>
      </c>
      <c r="R1007" t="str">
        <f t="shared" si="103"/>
        <v/>
      </c>
      <c r="S1007" cm="1">
        <f t="array" ref="S1007">IF(M1007="Control",INDEX(IC!A:A,1+BIN2DEC(MID($B1007,21,4))),"")</f>
        <v>0</v>
      </c>
      <c r="T1007" cm="1">
        <f t="array" ref="T1007">IF(M1007="Control",INDEX(EC!A:A,1+BIN2DEC(MID($B1007,25,3))),"")</f>
        <v>0</v>
      </c>
      <c r="U1007" cm="1">
        <f t="array" ref="U1007">IF(M1007="Control",INDEX(SR!A:A,1+BIN2DEC(MID($B1007,28,2))),"")</f>
        <v>0</v>
      </c>
    </row>
    <row r="1008" spans="1:30" x14ac:dyDescent="0.25">
      <c r="A1008" s="4" t="str">
        <f t="shared" si="100"/>
        <v>3EE</v>
      </c>
      <c r="B1008" s="2" t="s">
        <v>909</v>
      </c>
      <c r="C1008" s="3"/>
      <c r="D1008" s="3"/>
      <c r="E1008" s="3"/>
      <c r="F1008" s="27" t="str" cm="1">
        <f t="array" ref="F1008">INDEX(Sources!A:A, 1 + BIN2DEC(LEFT($B1008,5)))</f>
        <v>AH</v>
      </c>
      <c r="G1008" s="27" t="str" cm="1">
        <f t="array" ref="G1008">INDEX(Dest1!A:A,1+BIN2DEC(MID($B1008,6,5)))</f>
        <v>TMPB</v>
      </c>
      <c r="H1008" s="27" t="str" cm="1">
        <f t="array" ref="H1008">INDEX(Source2!A:A,1+BIN2DEC(MID($B1008,11,4)))</f>
        <v>--</v>
      </c>
      <c r="I1008" s="23" cm="1">
        <f t="array" ref="I1008">INDEX('D2'!A:A,1+BIN2DEC(MID($B1008,16,2)))</f>
        <v>0</v>
      </c>
      <c r="J1008" s="6">
        <f t="shared" si="101"/>
        <v>0</v>
      </c>
      <c r="K1008" s="6">
        <f t="shared" si="97"/>
        <v>0</v>
      </c>
      <c r="L1008" s="6">
        <f t="shared" si="98"/>
        <v>0</v>
      </c>
      <c r="M1008" s="3" t="str" cm="1">
        <f t="array" ref="M1008">INDEX(Types!A:A,1+BIN2DEC(MID($B1008,20,2)))</f>
        <v>Control</v>
      </c>
      <c r="N1008" s="3" t="str" cm="1">
        <f t="array" ref="N1008">IF(M1008="ALU",INDEX(ALUOps!A:A,1+BIN2DEC(MID($B1008,22,5))),"")</f>
        <v/>
      </c>
      <c r="O1008" s="3" t="str" cm="1">
        <f t="array" ref="O1008">IF(M1008="ALU",INDEX(TMP!A:A,1+BIN2DEC(MID($B1008,27,2))),"")</f>
        <v/>
      </c>
      <c r="P1008" s="6" t="str">
        <f t="shared" si="99"/>
        <v/>
      </c>
      <c r="Q1008" t="str">
        <f t="shared" si="102"/>
        <v/>
      </c>
      <c r="R1008" t="str">
        <f t="shared" si="103"/>
        <v/>
      </c>
      <c r="S1008" cm="1">
        <f t="array" ref="S1008">IF(M1008="Control",INDEX(IC!A:A,1+BIN2DEC(MID($B1008,21,4))),"")</f>
        <v>0</v>
      </c>
      <c r="T1008" cm="1">
        <f t="array" ref="T1008">IF(M1008="Control",INDEX(EC!A:A,1+BIN2DEC(MID($B1008,25,3))),"")</f>
        <v>0</v>
      </c>
      <c r="U1008" cm="1">
        <f t="array" ref="U1008">IF(M1008="Control",INDEX(SR!A:A,1+BIN2DEC(MID($B1008,28,2))),"")</f>
        <v>0</v>
      </c>
    </row>
    <row r="1009" spans="1:30" x14ac:dyDescent="0.25">
      <c r="A1009" s="4" t="str">
        <f t="shared" si="100"/>
        <v>3EF</v>
      </c>
      <c r="B1009" s="2" t="s">
        <v>910</v>
      </c>
      <c r="C1009" s="3"/>
      <c r="D1009" s="3"/>
      <c r="E1009" s="3"/>
      <c r="F1009" s="27" t="str" cm="1">
        <f t="array" ref="F1009">INDEX(Sources!A:A, 1 + BIN2DEC(LEFT($B1009,5)))</f>
        <v>TMPA</v>
      </c>
      <c r="G1009" s="27" t="str" cm="1">
        <f t="array" ref="G1009">INDEX(Dest1!A:A,1+BIN2DEC(MID($B1009,6,5)))</f>
        <v>UNK9</v>
      </c>
      <c r="H1009" s="27" t="str" cm="1">
        <f t="array" ref="H1009">INDEX(Source2!A:A,1+BIN2DEC(MID($B1009,11,4)))</f>
        <v>7</v>
      </c>
      <c r="I1009" s="23" cm="1">
        <f t="array" ref="I1009">INDEX('D2'!A:A,1+BIN2DEC(MID($B1009,16,2)))</f>
        <v>0</v>
      </c>
      <c r="J1009" s="6">
        <f t="shared" si="101"/>
        <v>0</v>
      </c>
      <c r="K1009" s="6">
        <f t="shared" si="97"/>
        <v>0</v>
      </c>
      <c r="L1009" s="6">
        <f t="shared" si="98"/>
        <v>0</v>
      </c>
      <c r="M1009" s="3" t="str" cm="1">
        <f t="array" ref="M1009">INDEX(Types!A:A,1+BIN2DEC(MID($B1009,20,2)))</f>
        <v>ALU</v>
      </c>
      <c r="N1009" s="3" cm="1">
        <f t="array" ref="N1009">IF(M1009="ALU",INDEX(ALUOps!A:A,1+BIN2DEC(MID($B1009,22,5))),"")</f>
        <v>0</v>
      </c>
      <c r="O1009" s="3" cm="1">
        <f t="array" ref="O1009">IF(M1009="ALU",INDEX(TMP!A:A,1+BIN2DEC(MID($B1009,27,2))),"")</f>
        <v>2</v>
      </c>
      <c r="P1009" s="6">
        <f t="shared" si="99"/>
        <v>1</v>
      </c>
      <c r="Q1009" t="str">
        <f t="shared" si="102"/>
        <v/>
      </c>
      <c r="R1009" t="str">
        <f t="shared" si="103"/>
        <v/>
      </c>
      <c r="S1009" t="str" cm="1">
        <f t="array" ref="S1009">IF(M1009="Control",INDEX(IC!A:A,1+BIN2DEC(MID($B1009,21,4))),"")</f>
        <v/>
      </c>
      <c r="T1009" t="str" cm="1">
        <f t="array" ref="T1009">IF(M1009="Control",INDEX(EC!A:A,1+BIN2DEC(MID($B1009,25,3))),"")</f>
        <v/>
      </c>
      <c r="U1009" t="str" cm="1">
        <f t="array" ref="U1009">IF(M1009="Control",INDEX(SR!A:A,1+BIN2DEC(MID($B1009,28,2))),"")</f>
        <v/>
      </c>
    </row>
    <row r="1010" spans="1:30" x14ac:dyDescent="0.25">
      <c r="A1010" s="4" t="str">
        <f t="shared" si="100"/>
        <v>3F0</v>
      </c>
      <c r="B1010" s="2" t="s">
        <v>911</v>
      </c>
      <c r="C1010" s="2" t="s">
        <v>908</v>
      </c>
      <c r="D1010" s="2" t="s">
        <v>937</v>
      </c>
      <c r="E1010" s="2" t="s">
        <v>929</v>
      </c>
      <c r="F1010" s="27" t="str" cm="1">
        <f t="array" ref="F1010">INDEX(Sources!A:A, 1 + BIN2DEC(LEFT($B1010,5)))</f>
        <v>TMPB</v>
      </c>
      <c r="G1010" s="27" t="str" cm="1">
        <f t="array" ref="G1010">INDEX(Dest1!A:A,1+BIN2DEC(MID($B1010,6,5)))</f>
        <v>A</v>
      </c>
      <c r="H1010" s="27" t="str" cm="1">
        <f t="array" ref="H1010">INDEX(Source2!A:A,1+BIN2DEC(MID($B1010,11,4)))</f>
        <v>11</v>
      </c>
      <c r="I1010" s="23" t="str" cm="1">
        <f t="array" ref="I1010">INDEX('D2'!A:A,1+BIN2DEC(MID($B1010,16,2)))</f>
        <v>TMPB</v>
      </c>
      <c r="J1010" s="6">
        <f t="shared" si="101"/>
        <v>0</v>
      </c>
      <c r="K1010" s="6">
        <f t="shared" si="97"/>
        <v>0</v>
      </c>
      <c r="L1010" s="6">
        <f t="shared" si="98"/>
        <v>0</v>
      </c>
      <c r="M1010" s="3" t="str" cm="1">
        <f t="array" ref="M1010">INDEX(Types!A:A,1+BIN2DEC(MID($B1010,20,2)))</f>
        <v>Control</v>
      </c>
      <c r="N1010" s="3" t="str" cm="1">
        <f t="array" ref="N1010">IF(M1010="ALU",INDEX(ALUOps!A:A,1+BIN2DEC(MID($B1010,22,5))),"")</f>
        <v/>
      </c>
      <c r="O1010" s="3" t="str" cm="1">
        <f t="array" ref="O1010">IF(M1010="ALU",INDEX(TMP!A:A,1+BIN2DEC(MID($B1010,27,2))),"")</f>
        <v/>
      </c>
      <c r="P1010" s="6" t="str">
        <f t="shared" si="99"/>
        <v/>
      </c>
      <c r="Q1010" t="str">
        <f t="shared" si="102"/>
        <v/>
      </c>
      <c r="R1010" t="str">
        <f t="shared" si="103"/>
        <v/>
      </c>
      <c r="S1010" cm="1">
        <f t="array" ref="S1010">IF(M1010="Control",INDEX(IC!A:A,1+BIN2DEC(MID($B1010,21,4))),"")</f>
        <v>0</v>
      </c>
      <c r="T1010" cm="1">
        <f t="array" ref="T1010">IF(M1010="Control",INDEX(EC!A:A,1+BIN2DEC(MID($B1010,25,3))),"")</f>
        <v>0</v>
      </c>
      <c r="U1010" cm="1">
        <f t="array" ref="U1010">IF(M1010="Control",INDEX(SR!A:A,1+BIN2DEC(MID($B1010,28,2))),"")</f>
        <v>0</v>
      </c>
      <c r="AD1010" s="1" t="s">
        <v>906</v>
      </c>
    </row>
    <row r="1011" spans="1:30" x14ac:dyDescent="0.25">
      <c r="A1011" s="4" t="str">
        <f t="shared" si="100"/>
        <v>3F1</v>
      </c>
      <c r="B1011" s="2" t="s">
        <v>914</v>
      </c>
      <c r="C1011" s="3"/>
      <c r="D1011" s="3"/>
      <c r="E1011" s="3"/>
      <c r="F1011" s="27" t="str" cm="1">
        <f t="array" ref="F1011">INDEX(Sources!A:A, 1 + BIN2DEC(LEFT($B1011,5)))</f>
        <v>FLAGS</v>
      </c>
      <c r="G1011" s="27" t="str" cm="1">
        <f t="array" ref="G1011">INDEX(Dest1!A:A,1+BIN2DEC(MID($B1011,6,5)))</f>
        <v>UNK9</v>
      </c>
      <c r="H1011" s="27" t="str" cm="1">
        <f t="array" ref="H1011">INDEX(Source2!A:A,1+BIN2DEC(MID($B1011,11,4)))</f>
        <v>2</v>
      </c>
      <c r="I1011" s="23" cm="1">
        <f t="array" ref="I1011">INDEX('D2'!A:A,1+BIN2DEC(MID($B1011,16,2)))</f>
        <v>0</v>
      </c>
      <c r="J1011" s="6">
        <f t="shared" si="101"/>
        <v>0</v>
      </c>
      <c r="K1011" s="6">
        <f t="shared" si="97"/>
        <v>0</v>
      </c>
      <c r="L1011" s="6">
        <f t="shared" si="98"/>
        <v>0</v>
      </c>
      <c r="M1011" s="3" t="str" cm="1">
        <f t="array" ref="M1011">INDEX(Types!A:A,1+BIN2DEC(MID($B1011,20,2)))</f>
        <v>ALU</v>
      </c>
      <c r="N1011" s="3" cm="1">
        <f t="array" ref="N1011">IF(M1011="ALU",INDEX(ALUOps!A:A,1+BIN2DEC(MID($B1011,22,5))),"")</f>
        <v>3</v>
      </c>
      <c r="O1011" s="3" cm="1">
        <f t="array" ref="O1011">IF(M1011="ALU",INDEX(TMP!A:A,1+BIN2DEC(MID($B1011,27,2))),"")</f>
        <v>2</v>
      </c>
      <c r="P1011" s="6">
        <f t="shared" si="99"/>
        <v>1</v>
      </c>
      <c r="Q1011" t="str">
        <f t="shared" si="102"/>
        <v/>
      </c>
      <c r="R1011" t="str">
        <f t="shared" si="103"/>
        <v/>
      </c>
      <c r="S1011" t="str" cm="1">
        <f t="array" ref="S1011">IF(M1011="Control",INDEX(IC!A:A,1+BIN2DEC(MID($B1011,21,4))),"")</f>
        <v/>
      </c>
      <c r="T1011" t="str" cm="1">
        <f t="array" ref="T1011">IF(M1011="Control",INDEX(EC!A:A,1+BIN2DEC(MID($B1011,25,3))),"")</f>
        <v/>
      </c>
      <c r="U1011" t="str" cm="1">
        <f t="array" ref="U1011">IF(M1011="Control",INDEX(SR!A:A,1+BIN2DEC(MID($B1011,28,2))),"")</f>
        <v/>
      </c>
    </row>
    <row r="1012" spans="1:30" x14ac:dyDescent="0.25">
      <c r="A1012" s="4" t="str">
        <f t="shared" si="100"/>
        <v>3F2</v>
      </c>
      <c r="B1012" s="2" t="s">
        <v>915</v>
      </c>
      <c r="C1012" s="3"/>
      <c r="D1012" s="3"/>
      <c r="E1012" s="3"/>
      <c r="F1012" s="27" t="str" cm="1">
        <f t="array" ref="F1012">INDEX(Sources!A:A, 1 + BIN2DEC(LEFT($B1012,5)))</f>
        <v>TMPB</v>
      </c>
      <c r="G1012" s="27" t="str" cm="1">
        <f t="array" ref="G1012">INDEX(Dest1!A:A,1+BIN2DEC(MID($B1012,6,5)))</f>
        <v>FLAGS</v>
      </c>
      <c r="H1012" s="27" t="str" cm="1">
        <f t="array" ref="H1012">INDEX(Source2!A:A,1+BIN2DEC(MID($B1012,11,4)))</f>
        <v>--</v>
      </c>
      <c r="I1012" s="23" cm="1">
        <f t="array" ref="I1012">INDEX('D2'!A:A,1+BIN2DEC(MID($B1012,16,2)))</f>
        <v>0</v>
      </c>
      <c r="J1012" s="6">
        <f t="shared" si="101"/>
        <v>0</v>
      </c>
      <c r="K1012" s="6">
        <f t="shared" si="97"/>
        <v>0</v>
      </c>
      <c r="L1012" s="6">
        <f t="shared" si="98"/>
        <v>1</v>
      </c>
      <c r="M1012" s="3" t="str" cm="1">
        <f t="array" ref="M1012">INDEX(Types!A:A,1+BIN2DEC(MID($B1012,20,2)))</f>
        <v>Control</v>
      </c>
      <c r="N1012" s="3" t="str" cm="1">
        <f t="array" ref="N1012">IF(M1012="ALU",INDEX(ALUOps!A:A,1+BIN2DEC(MID($B1012,22,5))),"")</f>
        <v/>
      </c>
      <c r="O1012" s="3" t="str" cm="1">
        <f t="array" ref="O1012">IF(M1012="ALU",INDEX(TMP!A:A,1+BIN2DEC(MID($B1012,27,2))),"")</f>
        <v/>
      </c>
      <c r="P1012" s="6" t="str">
        <f t="shared" si="99"/>
        <v/>
      </c>
      <c r="Q1012" t="str">
        <f t="shared" si="102"/>
        <v/>
      </c>
      <c r="R1012" t="str">
        <f t="shared" si="103"/>
        <v/>
      </c>
      <c r="S1012" cm="1">
        <f t="array" ref="S1012">IF(M1012="Control",INDEX(IC!A:A,1+BIN2DEC(MID($B1012,21,4))),"")</f>
        <v>0</v>
      </c>
      <c r="T1012" cm="1">
        <f t="array" ref="T1012">IF(M1012="Control",INDEX(EC!A:A,1+BIN2DEC(MID($B1012,25,3))),"")</f>
        <v>0</v>
      </c>
      <c r="U1012" cm="1">
        <f t="array" ref="U1012">IF(M1012="Control",INDEX(SR!A:A,1+BIN2DEC(MID($B1012,28,2))),"")</f>
        <v>0</v>
      </c>
    </row>
    <row r="1013" spans="1:30" x14ac:dyDescent="0.25">
      <c r="A1013" s="4" t="str">
        <f t="shared" si="100"/>
        <v>3F3</v>
      </c>
      <c r="B1013" s="2" t="s">
        <v>887</v>
      </c>
      <c r="C1013" s="3"/>
      <c r="D1013" s="3"/>
      <c r="E1013" s="3"/>
      <c r="F1013" s="27" t="str" cm="1">
        <f t="array" ref="F1013">INDEX(Sources!A:A, 1 + BIN2DEC(LEFT($B1013,5)))</f>
        <v>SIGMA</v>
      </c>
      <c r="G1013" s="27" t="str" cm="1">
        <f t="array" ref="G1013">INDEX(Dest1!A:A,1+BIN2DEC(MID($B1013,6,5)))</f>
        <v>UNK2</v>
      </c>
      <c r="H1013" s="27" t="str" cm="1">
        <f t="array" ref="H1013">INDEX(Source2!A:A,1+BIN2DEC(MID($B1013,11,4)))</f>
        <v>--</v>
      </c>
      <c r="I1013" s="23" cm="1">
        <f t="array" ref="I1013">INDEX('D2'!A:A,1+BIN2DEC(MID($B1013,16,2)))</f>
        <v>0</v>
      </c>
      <c r="J1013" s="6">
        <f t="shared" si="101"/>
        <v>0</v>
      </c>
      <c r="K1013" s="6">
        <f t="shared" si="97"/>
        <v>0</v>
      </c>
      <c r="L1013" s="6">
        <f t="shared" si="98"/>
        <v>0</v>
      </c>
      <c r="M1013" s="3" t="str" cm="1">
        <f t="array" ref="M1013">INDEX(Types!A:A,1+BIN2DEC(MID($B1013,20,2)))</f>
        <v>Control</v>
      </c>
      <c r="N1013" s="3" t="str" cm="1">
        <f t="array" ref="N1013">IF(M1013="ALU",INDEX(ALUOps!A:A,1+BIN2DEC(MID($B1013,22,5))),"")</f>
        <v/>
      </c>
      <c r="O1013" s="3" t="str" cm="1">
        <f t="array" ref="O1013">IF(M1013="ALU",INDEX(TMP!A:A,1+BIN2DEC(MID($B1013,27,2))),"")</f>
        <v/>
      </c>
      <c r="P1013" s="6" t="str">
        <f t="shared" si="99"/>
        <v/>
      </c>
      <c r="Q1013" t="str">
        <f t="shared" si="102"/>
        <v/>
      </c>
      <c r="R1013" t="str">
        <f t="shared" si="103"/>
        <v/>
      </c>
      <c r="S1013" cm="1">
        <f t="array" ref="S1013">IF(M1013="Control",INDEX(IC!A:A,1+BIN2DEC(MID($B1013,21,4))),"")</f>
        <v>0</v>
      </c>
      <c r="T1013" cm="1">
        <f t="array" ref="T1013">IF(M1013="Control",INDEX(EC!A:A,1+BIN2DEC(MID($B1013,25,3))),"")</f>
        <v>0</v>
      </c>
      <c r="U1013" cm="1">
        <f t="array" ref="U1013">IF(M1013="Control",INDEX(SR!A:A,1+BIN2DEC(MID($B1013,28,2))),"")</f>
        <v>0</v>
      </c>
    </row>
    <row r="1014" spans="1:30" x14ac:dyDescent="0.25">
      <c r="A1014" s="4" t="str">
        <f t="shared" si="100"/>
        <v>3F4</v>
      </c>
      <c r="B1014" s="2" t="s">
        <v>326</v>
      </c>
      <c r="C1014" s="2" t="s">
        <v>912</v>
      </c>
      <c r="D1014" s="2" t="s">
        <v>937</v>
      </c>
      <c r="E1014" s="2" t="s">
        <v>462</v>
      </c>
      <c r="F1014" s="27" t="str" cm="1">
        <f t="array" ref="F1014">INDEX(Sources!A:A, 1 + BIN2DEC(LEFT($B1014,5)))</f>
        <v>Q</v>
      </c>
      <c r="G1014" s="27" t="str" cm="1">
        <f t="array" ref="G1014">INDEX(Dest1!A:A,1+BIN2DEC(MID($B1014,6,5)))</f>
        <v>UNK11</v>
      </c>
      <c r="H1014" s="27" t="str" cm="1">
        <f t="array" ref="H1014">INDEX(Source2!A:A,1+BIN2DEC(MID($B1014,11,4)))</f>
        <v>--</v>
      </c>
      <c r="I1014" s="23" cm="1">
        <f t="array" ref="I1014">INDEX('D2'!A:A,1+BIN2DEC(MID($B1014,16,2)))</f>
        <v>0</v>
      </c>
      <c r="J1014" s="6">
        <f t="shared" si="101"/>
        <v>0</v>
      </c>
      <c r="K1014" s="6">
        <f t="shared" si="97"/>
        <v>0</v>
      </c>
      <c r="L1014" s="6">
        <f t="shared" si="98"/>
        <v>0</v>
      </c>
      <c r="M1014" s="3" t="str" cm="1">
        <f t="array" ref="M1014">INDEX(Types!A:A,1+BIN2DEC(MID($B1014,20,2)))</f>
        <v>ALU</v>
      </c>
      <c r="N1014" s="3" cm="1">
        <f t="array" ref="N1014">IF(M1014="ALU",INDEX(ALUOps!A:A,1+BIN2DEC(MID($B1014,22,5))),"")</f>
        <v>0</v>
      </c>
      <c r="O1014" s="3" cm="1">
        <f t="array" ref="O1014">IF(M1014="ALU",INDEX(TMP!A:A,1+BIN2DEC(MID($B1014,27,2))),"")</f>
        <v>3</v>
      </c>
      <c r="P1014" s="6">
        <f t="shared" si="99"/>
        <v>1</v>
      </c>
      <c r="Q1014" t="str">
        <f t="shared" si="102"/>
        <v/>
      </c>
      <c r="R1014" t="str">
        <f t="shared" si="103"/>
        <v/>
      </c>
      <c r="S1014" t="str" cm="1">
        <f t="array" ref="S1014">IF(M1014="Control",INDEX(IC!A:A,1+BIN2DEC(MID($B1014,21,4))),"")</f>
        <v/>
      </c>
      <c r="T1014" t="str" cm="1">
        <f t="array" ref="T1014">IF(M1014="Control",INDEX(EC!A:A,1+BIN2DEC(MID($B1014,25,3))),"")</f>
        <v/>
      </c>
      <c r="U1014" t="str" cm="1">
        <f t="array" ref="U1014">IF(M1014="Control",INDEX(SR!A:A,1+BIN2DEC(MID($B1014,28,2))),"")</f>
        <v/>
      </c>
      <c r="W1014">
        <v>8080</v>
      </c>
      <c r="X1014" t="s">
        <v>1041</v>
      </c>
      <c r="AD1014" s="1" t="s">
        <v>913</v>
      </c>
    </row>
    <row r="1015" spans="1:30" x14ac:dyDescent="0.25">
      <c r="A1015" s="4" t="str">
        <f t="shared" si="100"/>
        <v>3F5</v>
      </c>
      <c r="B1015" s="2" t="s">
        <v>918</v>
      </c>
      <c r="C1015" s="3"/>
      <c r="D1015" s="3"/>
      <c r="E1015" s="3"/>
      <c r="F1015" s="27" t="str" cm="1">
        <f t="array" ref="F1015">INDEX(Sources!A:A, 1 + BIN2DEC(LEFT($B1015,5)))</f>
        <v>A</v>
      </c>
      <c r="G1015" s="27" t="str" cm="1">
        <f t="array" ref="G1015">INDEX(Dest1!A:A,1+BIN2DEC(MID($B1015,6,5)))</f>
        <v>OUT</v>
      </c>
      <c r="H1015" s="27" t="str" cm="1">
        <f t="array" ref="H1015">INDEX(Source2!A:A,1+BIN2DEC(MID($B1015,11,4)))</f>
        <v>11</v>
      </c>
      <c r="I1015" s="23" t="str" cm="1">
        <f t="array" ref="I1015">INDEX('D2'!A:A,1+BIN2DEC(MID($B1015,16,2)))</f>
        <v>TMPB</v>
      </c>
      <c r="J1015" s="6">
        <f t="shared" si="101"/>
        <v>0</v>
      </c>
      <c r="K1015" s="6">
        <f t="shared" si="97"/>
        <v>0</v>
      </c>
      <c r="L1015" s="6">
        <f t="shared" si="98"/>
        <v>1</v>
      </c>
      <c r="M1015" s="3" t="str" cm="1">
        <f t="array" ref="M1015">INDEX(Types!A:A,1+BIN2DEC(MID($B1015,20,2)))</f>
        <v>Control</v>
      </c>
      <c r="N1015" s="3" t="str" cm="1">
        <f t="array" ref="N1015">IF(M1015="ALU",INDEX(ALUOps!A:A,1+BIN2DEC(MID($B1015,22,5))),"")</f>
        <v/>
      </c>
      <c r="O1015" s="3" t="str" cm="1">
        <f t="array" ref="O1015">IF(M1015="ALU",INDEX(TMP!A:A,1+BIN2DEC(MID($B1015,27,2))),"")</f>
        <v/>
      </c>
      <c r="P1015" s="6" t="str">
        <f t="shared" si="99"/>
        <v/>
      </c>
      <c r="Q1015" t="str">
        <f t="shared" si="102"/>
        <v/>
      </c>
      <c r="R1015" t="str">
        <f t="shared" si="103"/>
        <v/>
      </c>
      <c r="S1015" cm="1">
        <f t="array" ref="S1015">IF(M1015="Control",INDEX(IC!A:A,1+BIN2DEC(MID($B1015,21,4))),"")</f>
        <v>0</v>
      </c>
      <c r="T1015" cm="1">
        <f t="array" ref="T1015">IF(M1015="Control",INDEX(EC!A:A,1+BIN2DEC(MID($B1015,25,3))),"")</f>
        <v>5</v>
      </c>
      <c r="U1015" cm="1">
        <f t="array" ref="U1015">IF(M1015="Control",INDEX(SR!A:A,1+BIN2DEC(MID($B1015,28,2))),"")</f>
        <v>2</v>
      </c>
    </row>
    <row r="1016" spans="1:30" x14ac:dyDescent="0.25">
      <c r="A1016" s="4" t="str">
        <f t="shared" si="100"/>
        <v>3F6</v>
      </c>
      <c r="B1016" s="2" t="s">
        <v>799</v>
      </c>
      <c r="C1016" s="3"/>
      <c r="D1016" s="3"/>
      <c r="E1016" s="3"/>
      <c r="F1016" s="27" t="str" cm="1">
        <f t="array" ref="F1016">INDEX(Sources!A:A, 1 + BIN2DEC(LEFT($B1016,5)))</f>
        <v>UNK27</v>
      </c>
      <c r="G1016" s="27" t="str" cm="1">
        <f t="array" ref="G1016">INDEX(Dest1!A:A,1+BIN2DEC(MID($B1016,6,5)))</f>
        <v>UNK24</v>
      </c>
      <c r="H1016" s="27" t="str" cm="1">
        <f t="array" ref="H1016">INDEX(Source2!A:A,1+BIN2DEC(MID($B1016,11,4)))</f>
        <v>--</v>
      </c>
      <c r="I1016" s="23" cm="1">
        <f t="array" ref="I1016">INDEX('D2'!A:A,1+BIN2DEC(MID($B1016,16,2)))</f>
        <v>0</v>
      </c>
      <c r="J1016" s="6">
        <f t="shared" si="101"/>
        <v>0</v>
      </c>
      <c r="K1016" s="6">
        <f t="shared" si="97"/>
        <v>0</v>
      </c>
      <c r="L1016" s="6">
        <f t="shared" si="98"/>
        <v>0</v>
      </c>
      <c r="M1016" s="3" t="str" cm="1">
        <f t="array" ref="M1016">INDEX(Types!A:A,1+BIN2DEC(MID($B1016,20,2)))</f>
        <v>Control</v>
      </c>
      <c r="N1016" s="3" t="str" cm="1">
        <f t="array" ref="N1016">IF(M1016="ALU",INDEX(ALUOps!A:A,1+BIN2DEC(MID($B1016,22,5))),"")</f>
        <v/>
      </c>
      <c r="O1016" s="3" t="str" cm="1">
        <f t="array" ref="O1016">IF(M1016="ALU",INDEX(TMP!A:A,1+BIN2DEC(MID($B1016,27,2))),"")</f>
        <v/>
      </c>
      <c r="P1016" s="6" t="str">
        <f t="shared" si="99"/>
        <v/>
      </c>
      <c r="Q1016" t="str">
        <f t="shared" si="102"/>
        <v/>
      </c>
      <c r="R1016" t="str">
        <f t="shared" si="103"/>
        <v/>
      </c>
      <c r="S1016" cm="1">
        <f t="array" ref="S1016">IF(M1016="Control",INDEX(IC!A:A,1+BIN2DEC(MID($B1016,21,4))),"")</f>
        <v>0</v>
      </c>
      <c r="T1016" cm="1">
        <f t="array" ref="T1016">IF(M1016="Control",INDEX(EC!A:A,1+BIN2DEC(MID($B1016,25,3))),"")</f>
        <v>0</v>
      </c>
      <c r="U1016" cm="1">
        <f t="array" ref="U1016">IF(M1016="Control",INDEX(SR!A:A,1+BIN2DEC(MID($B1016,28,2))),"")</f>
        <v>0</v>
      </c>
    </row>
    <row r="1017" spans="1:30" x14ac:dyDescent="0.25">
      <c r="A1017" s="4" t="str">
        <f t="shared" si="100"/>
        <v>3F7</v>
      </c>
      <c r="B1017" s="2" t="s">
        <v>799</v>
      </c>
      <c r="C1017" s="3"/>
      <c r="D1017" s="3"/>
      <c r="E1017" s="3"/>
      <c r="F1017" s="27" t="str" cm="1">
        <f t="array" ref="F1017">INDEX(Sources!A:A, 1 + BIN2DEC(LEFT($B1017,5)))</f>
        <v>UNK27</v>
      </c>
      <c r="G1017" s="27" t="str" cm="1">
        <f t="array" ref="G1017">INDEX(Dest1!A:A,1+BIN2DEC(MID($B1017,6,5)))</f>
        <v>UNK24</v>
      </c>
      <c r="H1017" s="27" t="str" cm="1">
        <f t="array" ref="H1017">INDEX(Source2!A:A,1+BIN2DEC(MID($B1017,11,4)))</f>
        <v>--</v>
      </c>
      <c r="I1017" s="23" cm="1">
        <f t="array" ref="I1017">INDEX('D2'!A:A,1+BIN2DEC(MID($B1017,16,2)))</f>
        <v>0</v>
      </c>
      <c r="J1017" s="6">
        <f t="shared" si="101"/>
        <v>0</v>
      </c>
      <c r="K1017" s="6">
        <f t="shared" si="97"/>
        <v>0</v>
      </c>
      <c r="L1017" s="6">
        <f t="shared" si="98"/>
        <v>0</v>
      </c>
      <c r="M1017" s="3" t="str" cm="1">
        <f t="array" ref="M1017">INDEX(Types!A:A,1+BIN2DEC(MID($B1017,20,2)))</f>
        <v>Control</v>
      </c>
      <c r="N1017" s="3" t="str" cm="1">
        <f t="array" ref="N1017">IF(M1017="ALU",INDEX(ALUOps!A:A,1+BIN2DEC(MID($B1017,22,5))),"")</f>
        <v/>
      </c>
      <c r="O1017" s="3" t="str" cm="1">
        <f t="array" ref="O1017">IF(M1017="ALU",INDEX(TMP!A:A,1+BIN2DEC(MID($B1017,27,2))),"")</f>
        <v/>
      </c>
      <c r="P1017" s="6" t="str">
        <f t="shared" si="99"/>
        <v/>
      </c>
      <c r="Q1017" t="str">
        <f t="shared" si="102"/>
        <v/>
      </c>
      <c r="R1017" t="str">
        <f t="shared" si="103"/>
        <v/>
      </c>
      <c r="S1017" cm="1">
        <f t="array" ref="S1017">IF(M1017="Control",INDEX(IC!A:A,1+BIN2DEC(MID($B1017,21,4))),"")</f>
        <v>0</v>
      </c>
      <c r="T1017" cm="1">
        <f t="array" ref="T1017">IF(M1017="Control",INDEX(EC!A:A,1+BIN2DEC(MID($B1017,25,3))),"")</f>
        <v>0</v>
      </c>
      <c r="U1017" cm="1">
        <f t="array" ref="U1017">IF(M1017="Control",INDEX(SR!A:A,1+BIN2DEC(MID($B1017,28,2))),"")</f>
        <v>0</v>
      </c>
    </row>
    <row r="1018" spans="1:30" x14ac:dyDescent="0.25">
      <c r="A1018" s="4" t="str">
        <f t="shared" si="100"/>
        <v>3F8</v>
      </c>
      <c r="B1018" s="2" t="s">
        <v>108</v>
      </c>
      <c r="C1018" s="2" t="s">
        <v>916</v>
      </c>
      <c r="D1018" s="2" t="s">
        <v>937</v>
      </c>
      <c r="E1018" s="2" t="s">
        <v>462</v>
      </c>
      <c r="F1018" s="27" t="str" cm="1">
        <f t="array" ref="F1018">INDEX(Sources!A:A, 1 + BIN2DEC(LEFT($B1018,5)))</f>
        <v>Q</v>
      </c>
      <c r="G1018" s="27" t="str" cm="1">
        <f t="array" ref="G1018">INDEX(Dest1!A:A,1+BIN2DEC(MID($B1018,6,5)))</f>
        <v>UNK11</v>
      </c>
      <c r="H1018" s="27" t="str" cm="1">
        <f t="array" ref="H1018">INDEX(Source2!A:A,1+BIN2DEC(MID($B1018,11,4)))</f>
        <v>--</v>
      </c>
      <c r="I1018" s="23" cm="1">
        <f t="array" ref="I1018">INDEX('D2'!A:A,1+BIN2DEC(MID($B1018,16,2)))</f>
        <v>0</v>
      </c>
      <c r="J1018" s="6">
        <f t="shared" si="101"/>
        <v>0</v>
      </c>
      <c r="K1018" s="6">
        <f t="shared" si="97"/>
        <v>0</v>
      </c>
      <c r="L1018" s="6">
        <f t="shared" si="98"/>
        <v>0</v>
      </c>
      <c r="M1018" s="3" t="str" cm="1">
        <f t="array" ref="M1018">INDEX(Types!A:A,1+BIN2DEC(MID($B1018,20,2)))</f>
        <v>Control</v>
      </c>
      <c r="N1018" s="3" t="str" cm="1">
        <f t="array" ref="N1018">IF(M1018="ALU",INDEX(ALUOps!A:A,1+BIN2DEC(MID($B1018,22,5))),"")</f>
        <v/>
      </c>
      <c r="O1018" s="3" t="str" cm="1">
        <f t="array" ref="O1018">IF(M1018="ALU",INDEX(TMP!A:A,1+BIN2DEC(MID($B1018,27,2))),"")</f>
        <v/>
      </c>
      <c r="P1018" s="6" t="str">
        <f t="shared" si="99"/>
        <v/>
      </c>
      <c r="Q1018" t="str">
        <f t="shared" si="102"/>
        <v/>
      </c>
      <c r="R1018" t="str">
        <f t="shared" si="103"/>
        <v/>
      </c>
      <c r="S1018" cm="1">
        <f t="array" ref="S1018">IF(M1018="Control",INDEX(IC!A:A,1+BIN2DEC(MID($B1018,21,4))),"")</f>
        <v>0</v>
      </c>
      <c r="T1018" cm="1">
        <f t="array" ref="T1018">IF(M1018="Control",INDEX(EC!A:A,1+BIN2DEC(MID($B1018,25,3))),"")</f>
        <v>0</v>
      </c>
      <c r="U1018" cm="1">
        <f t="array" ref="U1018">IF(M1018="Control",INDEX(SR!A:A,1+BIN2DEC(MID($B1018,28,2))),"")</f>
        <v>0</v>
      </c>
      <c r="W1018">
        <v>8080</v>
      </c>
      <c r="X1018" t="s">
        <v>1097</v>
      </c>
      <c r="AD1018" s="1" t="s">
        <v>917</v>
      </c>
    </row>
    <row r="1019" spans="1:30" x14ac:dyDescent="0.25">
      <c r="A1019" s="4" t="str">
        <f t="shared" si="100"/>
        <v>3F9</v>
      </c>
      <c r="B1019" s="2" t="s">
        <v>325</v>
      </c>
      <c r="C1019" s="3"/>
      <c r="D1019" s="3"/>
      <c r="E1019" s="3"/>
      <c r="F1019" s="27" t="str" cm="1">
        <f t="array" ref="F1019">INDEX(Sources!A:A, 1 + BIN2DEC(LEFT($B1019,5)))</f>
        <v>TMPB</v>
      </c>
      <c r="G1019" s="27" t="str" cm="1">
        <f t="array" ref="G1019">INDEX(Dest1!A:A,1+BIN2DEC(MID($B1019,6,5)))</f>
        <v>UNK26</v>
      </c>
      <c r="H1019" s="27" t="str" cm="1">
        <f t="array" ref="H1019">INDEX(Source2!A:A,1+BIN2DEC(MID($B1019,11,4)))</f>
        <v>--</v>
      </c>
      <c r="I1019" s="23" cm="1">
        <f t="array" ref="I1019">INDEX('D2'!A:A,1+BIN2DEC(MID($B1019,16,2)))</f>
        <v>0</v>
      </c>
      <c r="J1019" s="6">
        <f t="shared" si="101"/>
        <v>0</v>
      </c>
      <c r="K1019" s="6">
        <f t="shared" si="97"/>
        <v>0</v>
      </c>
      <c r="L1019" s="6">
        <f t="shared" si="98"/>
        <v>0</v>
      </c>
      <c r="M1019" s="3" t="str" cm="1">
        <f t="array" ref="M1019">INDEX(Types!A:A,1+BIN2DEC(MID($B1019,20,2)))</f>
        <v>Control</v>
      </c>
      <c r="N1019" s="3" t="str" cm="1">
        <f t="array" ref="N1019">IF(M1019="ALU",INDEX(ALUOps!A:A,1+BIN2DEC(MID($B1019,22,5))),"")</f>
        <v/>
      </c>
      <c r="O1019" s="3" t="str" cm="1">
        <f t="array" ref="O1019">IF(M1019="ALU",INDEX(TMP!A:A,1+BIN2DEC(MID($B1019,27,2))),"")</f>
        <v/>
      </c>
      <c r="P1019" s="6" t="str">
        <f t="shared" si="99"/>
        <v/>
      </c>
      <c r="Q1019" t="str">
        <f t="shared" si="102"/>
        <v/>
      </c>
      <c r="R1019" t="str">
        <f t="shared" si="103"/>
        <v/>
      </c>
      <c r="S1019" cm="1">
        <f t="array" ref="S1019">IF(M1019="Control",INDEX(IC!A:A,1+BIN2DEC(MID($B1019,21,4))),"")</f>
        <v>0</v>
      </c>
      <c r="T1019" cm="1">
        <f t="array" ref="T1019">IF(M1019="Control",INDEX(EC!A:A,1+BIN2DEC(MID($B1019,25,3))),"")</f>
        <v>6</v>
      </c>
      <c r="U1019" cm="1">
        <f t="array" ref="U1019">IF(M1019="Control",INDEX(SR!A:A,1+BIN2DEC(MID($B1019,28,2))),"")</f>
        <v>2</v>
      </c>
    </row>
    <row r="1020" spans="1:30" x14ac:dyDescent="0.25">
      <c r="A1020" s="4" t="str">
        <f t="shared" si="100"/>
        <v>3FA</v>
      </c>
      <c r="B1020" s="2" t="s">
        <v>300</v>
      </c>
      <c r="C1020" s="3"/>
      <c r="D1020" s="3"/>
      <c r="E1020" s="3"/>
      <c r="F1020" s="27" t="str" cm="1">
        <f t="array" ref="F1020">INDEX(Sources!A:A, 1 + BIN2DEC(LEFT($B1020,5)))</f>
        <v>OUT</v>
      </c>
      <c r="G1020" s="27" t="str" cm="1">
        <f t="array" ref="G1020">INDEX(Dest1!A:A,1+BIN2DEC(MID($B1020,6,5)))</f>
        <v>UNK23</v>
      </c>
      <c r="H1020" s="27" t="str" cm="1">
        <f t="array" ref="H1020">INDEX(Source2!A:A,1+BIN2DEC(MID($B1020,11,4)))</f>
        <v>--</v>
      </c>
      <c r="I1020" s="23" cm="1">
        <f t="array" ref="I1020">INDEX('D2'!A:A,1+BIN2DEC(MID($B1020,16,2)))</f>
        <v>1</v>
      </c>
      <c r="J1020" s="6">
        <f t="shared" si="101"/>
        <v>1</v>
      </c>
      <c r="K1020" s="6">
        <f t="shared" si="97"/>
        <v>0</v>
      </c>
      <c r="L1020" s="6">
        <f t="shared" si="98"/>
        <v>1</v>
      </c>
      <c r="M1020" s="3" t="str" cm="1">
        <f t="array" ref="M1020">INDEX(Types!A:A,1+BIN2DEC(MID($B1020,20,2)))</f>
        <v>Control</v>
      </c>
      <c r="N1020" s="3" t="str" cm="1">
        <f t="array" ref="N1020">IF(M1020="ALU",INDEX(ALUOps!A:A,1+BIN2DEC(MID($B1020,22,5))),"")</f>
        <v/>
      </c>
      <c r="O1020" s="3" t="str" cm="1">
        <f t="array" ref="O1020">IF(M1020="ALU",INDEX(TMP!A:A,1+BIN2DEC(MID($B1020,27,2))),"")</f>
        <v/>
      </c>
      <c r="P1020" s="6" t="str">
        <f t="shared" si="99"/>
        <v/>
      </c>
      <c r="Q1020" t="str">
        <f t="shared" si="102"/>
        <v/>
      </c>
      <c r="R1020" t="str">
        <f t="shared" si="103"/>
        <v/>
      </c>
      <c r="S1020" cm="1">
        <f t="array" ref="S1020">IF(M1020="Control",INDEX(IC!A:A,1+BIN2DEC(MID($B1020,21,4))),"")</f>
        <v>0</v>
      </c>
      <c r="T1020" cm="1">
        <f t="array" ref="T1020">IF(M1020="Control",INDEX(EC!A:A,1+BIN2DEC(MID($B1020,25,3))),"")</f>
        <v>0</v>
      </c>
      <c r="U1020" cm="1">
        <f t="array" ref="U1020">IF(M1020="Control",INDEX(SR!A:A,1+BIN2DEC(MID($B1020,28,2))),"")</f>
        <v>0</v>
      </c>
    </row>
    <row r="1021" spans="1:30" x14ac:dyDescent="0.25">
      <c r="A1021" s="4" t="str">
        <f t="shared" si="100"/>
        <v>3FB</v>
      </c>
      <c r="B1021" s="2" t="s">
        <v>4</v>
      </c>
      <c r="C1021" s="3"/>
      <c r="D1021" s="3"/>
      <c r="E1021" s="3"/>
      <c r="F1021" s="27" t="str" cm="1">
        <f t="array" ref="F1021">INDEX(Sources!A:A, 1 + BIN2DEC(LEFT($B1021,5)))</f>
        <v>--</v>
      </c>
      <c r="G1021" s="27" t="str" cm="1">
        <f t="array" ref="G1021">INDEX(Dest1!A:A,1+BIN2DEC(MID($B1021,6,5)))</f>
        <v>--</v>
      </c>
      <c r="H1021" s="27" t="str" cm="1">
        <f t="array" ref="H1021">INDEX(Source2!A:A,1+BIN2DEC(MID($B1021,11,4)))</f>
        <v>--</v>
      </c>
      <c r="I1021" s="23" cm="1">
        <f t="array" ref="I1021">INDEX('D2'!A:A,1+BIN2DEC(MID($B1021,16,2)))</f>
        <v>0</v>
      </c>
      <c r="J1021" s="6">
        <f t="shared" si="101"/>
        <v>0</v>
      </c>
      <c r="K1021" s="6">
        <f t="shared" si="97"/>
        <v>0</v>
      </c>
      <c r="L1021" s="6">
        <f t="shared" si="98"/>
        <v>0</v>
      </c>
      <c r="M1021" s="3" t="str" cm="1">
        <f t="array" ref="M1021">INDEX(Types!A:A,1+BIN2DEC(MID($B1021,20,2)))</f>
        <v>Control</v>
      </c>
      <c r="N1021" s="3" t="str" cm="1">
        <f t="array" ref="N1021">IF(M1021="ALU",INDEX(ALUOps!A:A,1+BIN2DEC(MID($B1021,22,5))),"")</f>
        <v/>
      </c>
      <c r="O1021" s="3" t="str" cm="1">
        <f t="array" ref="O1021">IF(M1021="ALU",INDEX(TMP!A:A,1+BIN2DEC(MID($B1021,27,2))),"")</f>
        <v/>
      </c>
      <c r="P1021" s="6" t="str">
        <f t="shared" si="99"/>
        <v/>
      </c>
      <c r="Q1021" t="str">
        <f t="shared" si="102"/>
        <v/>
      </c>
      <c r="R1021" t="str">
        <f t="shared" si="103"/>
        <v/>
      </c>
      <c r="S1021" cm="1">
        <f t="array" ref="S1021">IF(M1021="Control",INDEX(IC!A:A,1+BIN2DEC(MID($B1021,21,4))),"")</f>
        <v>0</v>
      </c>
      <c r="T1021" cm="1">
        <f t="array" ref="T1021">IF(M1021="Control",INDEX(EC!A:A,1+BIN2DEC(MID($B1021,25,3))),"")</f>
        <v>0</v>
      </c>
      <c r="U1021" cm="1">
        <f t="array" ref="U1021">IF(M1021="Control",INDEX(SR!A:A,1+BIN2DEC(MID($B1021,28,2))),"")</f>
        <v>0</v>
      </c>
    </row>
    <row r="1022" spans="1:30" x14ac:dyDescent="0.25">
      <c r="A1022" s="4" t="str">
        <f t="shared" si="100"/>
        <v>3FC</v>
      </c>
      <c r="B1022" s="2" t="s">
        <v>227</v>
      </c>
      <c r="C1022" s="2" t="s">
        <v>919</v>
      </c>
      <c r="D1022" s="2" t="s">
        <v>938</v>
      </c>
      <c r="E1022" s="2" t="s">
        <v>462</v>
      </c>
      <c r="F1022" s="27" t="str" cm="1">
        <f t="array" ref="F1022">INDEX(Sources!A:A, 1 + BIN2DEC(LEFT($B1022,5)))</f>
        <v>SP</v>
      </c>
      <c r="G1022" s="27" t="str" cm="1">
        <f t="array" ref="G1022">INDEX(Dest1!A:A,1+BIN2DEC(MID($B1022,6,5)))</f>
        <v>UNK26</v>
      </c>
      <c r="H1022" s="27" t="str" cm="1">
        <f t="array" ref="H1022">INDEX(Source2!A:A,1+BIN2DEC(MID($B1022,11,4)))</f>
        <v>3</v>
      </c>
      <c r="I1022" s="23" t="str" cm="1">
        <f t="array" ref="I1022">INDEX('D2'!A:A,1+BIN2DEC(MID($B1022,16,2)))</f>
        <v>TMPB</v>
      </c>
      <c r="J1022" s="6">
        <f t="shared" si="101"/>
        <v>0</v>
      </c>
      <c r="K1022" s="6">
        <f t="shared" si="97"/>
        <v>0</v>
      </c>
      <c r="L1022" s="6">
        <f t="shared" si="98"/>
        <v>0</v>
      </c>
      <c r="M1022" s="3" t="str" cm="1">
        <f t="array" ref="M1022">INDEX(Types!A:A,1+BIN2DEC(MID($B1022,20,2)))</f>
        <v>Control</v>
      </c>
      <c r="N1022" s="3" t="str" cm="1">
        <f t="array" ref="N1022">IF(M1022="ALU",INDEX(ALUOps!A:A,1+BIN2DEC(MID($B1022,22,5))),"")</f>
        <v/>
      </c>
      <c r="O1022" s="3" t="str" cm="1">
        <f t="array" ref="O1022">IF(M1022="ALU",INDEX(TMP!A:A,1+BIN2DEC(MID($B1022,27,2))),"")</f>
        <v/>
      </c>
      <c r="P1022" s="6" t="str">
        <f t="shared" si="99"/>
        <v/>
      </c>
      <c r="Q1022" t="str">
        <f t="shared" si="102"/>
        <v/>
      </c>
      <c r="R1022" t="str">
        <f t="shared" si="103"/>
        <v/>
      </c>
      <c r="S1022" cm="1">
        <f t="array" ref="S1022">IF(M1022="Control",INDEX(IC!A:A,1+BIN2DEC(MID($B1022,21,4))),"")</f>
        <v>7</v>
      </c>
      <c r="T1022" cm="1">
        <f t="array" ref="T1022">IF(M1022="Control",INDEX(EC!A:A,1+BIN2DEC(MID($B1022,25,3))),"")</f>
        <v>6</v>
      </c>
      <c r="U1022" cm="1">
        <f t="array" ref="U1022">IF(M1022="Control",INDEX(SR!A:A,1+BIN2DEC(MID($B1022,28,2))),"")</f>
        <v>1</v>
      </c>
      <c r="W1022">
        <v>8080</v>
      </c>
      <c r="X1022" t="s">
        <v>1099</v>
      </c>
      <c r="AD1022" s="1" t="s">
        <v>920</v>
      </c>
    </row>
    <row r="1023" spans="1:30" x14ac:dyDescent="0.25">
      <c r="A1023" s="4" t="str">
        <f t="shared" si="100"/>
        <v>3FD</v>
      </c>
      <c r="B1023" s="2" t="s">
        <v>923</v>
      </c>
      <c r="C1023" s="3"/>
      <c r="D1023" s="3"/>
      <c r="E1023" s="3"/>
      <c r="F1023" s="27" t="str" cm="1">
        <f t="array" ref="F1023">INDEX(Sources!A:A, 1 + BIN2DEC(LEFT($B1023,5)))</f>
        <v>--</v>
      </c>
      <c r="G1023" s="27" t="str" cm="1">
        <f t="array" ref="G1023">INDEX(Dest1!A:A,1+BIN2DEC(MID($B1023,6,5)))</f>
        <v>--</v>
      </c>
      <c r="H1023" s="27" t="str" cm="1">
        <f t="array" ref="H1023">INDEX(Source2!A:A,1+BIN2DEC(MID($B1023,11,4)))</f>
        <v>--</v>
      </c>
      <c r="I1023" s="23" cm="1">
        <f t="array" ref="I1023">INDEX('D2'!A:A,1+BIN2DEC(MID($B1023,16,2)))</f>
        <v>0</v>
      </c>
      <c r="J1023" s="6">
        <f t="shared" si="101"/>
        <v>0</v>
      </c>
      <c r="K1023" s="6">
        <f t="shared" si="97"/>
        <v>0</v>
      </c>
      <c r="L1023" s="6">
        <f t="shared" si="98"/>
        <v>0</v>
      </c>
      <c r="M1023" s="3" t="str" cm="1">
        <f t="array" ref="M1023">INDEX(Types!A:A,1+BIN2DEC(MID($B1023,20,2)))</f>
        <v>Control</v>
      </c>
      <c r="N1023" s="3" t="str" cm="1">
        <f t="array" ref="N1023">IF(M1023="ALU",INDEX(ALUOps!A:A,1+BIN2DEC(MID($B1023,22,5))),"")</f>
        <v/>
      </c>
      <c r="O1023" s="3" t="str" cm="1">
        <f t="array" ref="O1023">IF(M1023="ALU",INDEX(TMP!A:A,1+BIN2DEC(MID($B1023,27,2))),"")</f>
        <v/>
      </c>
      <c r="P1023" s="6" t="str">
        <f t="shared" si="99"/>
        <v/>
      </c>
      <c r="Q1023" t="str">
        <f t="shared" si="102"/>
        <v/>
      </c>
      <c r="R1023" t="str">
        <f t="shared" si="103"/>
        <v/>
      </c>
      <c r="S1023" cm="1">
        <f t="array" ref="S1023">IF(M1023="Control",INDEX(IC!A:A,1+BIN2DEC(MID($B1023,21,4))),"")</f>
        <v>15</v>
      </c>
      <c r="T1023" cm="1">
        <f t="array" ref="T1023">IF(M1023="Control",INDEX(EC!A:A,1+BIN2DEC(MID($B1023,25,3))),"")</f>
        <v>0</v>
      </c>
      <c r="U1023" cm="1">
        <f t="array" ref="U1023">IF(M1023="Control",INDEX(SR!A:A,1+BIN2DEC(MID($B1023,28,2))),"")</f>
        <v>0</v>
      </c>
    </row>
    <row r="1024" spans="1:30" x14ac:dyDescent="0.25">
      <c r="A1024" s="4" t="str">
        <f t="shared" si="100"/>
        <v>3FE</v>
      </c>
      <c r="B1024" s="2" t="s">
        <v>265</v>
      </c>
      <c r="C1024" s="3"/>
      <c r="D1024" s="3"/>
      <c r="E1024" s="3"/>
      <c r="F1024" s="27" t="str" cm="1">
        <f t="array" ref="F1024">INDEX(Sources!A:A, 1 + BIN2DEC(LEFT($B1024,5)))</f>
        <v>--</v>
      </c>
      <c r="G1024" s="27" t="str" cm="1">
        <f t="array" ref="G1024">INDEX(Dest1!A:A,1+BIN2DEC(MID($B1024,6,5)))</f>
        <v>--</v>
      </c>
      <c r="H1024" s="27" t="str" cm="1">
        <f t="array" ref="H1024">INDEX(Source2!A:A,1+BIN2DEC(MID($B1024,11,4)))</f>
        <v>--</v>
      </c>
      <c r="I1024" s="23" cm="1">
        <f t="array" ref="I1024">INDEX('D2'!A:A,1+BIN2DEC(MID($B1024,16,2)))</f>
        <v>0</v>
      </c>
      <c r="J1024" s="6">
        <f t="shared" si="101"/>
        <v>0</v>
      </c>
      <c r="K1024" s="6">
        <f t="shared" si="97"/>
        <v>0</v>
      </c>
      <c r="L1024" s="6">
        <f t="shared" si="98"/>
        <v>0</v>
      </c>
      <c r="M1024" s="3" t="str" cm="1">
        <f t="array" ref="M1024">INDEX(Types!A:A,1+BIN2DEC(MID($B1024,20,2)))</f>
        <v>Control</v>
      </c>
      <c r="N1024" s="3" t="str" cm="1">
        <f t="array" ref="N1024">IF(M1024="ALU",INDEX(ALUOps!A:A,1+BIN2DEC(MID($B1024,22,5))),"")</f>
        <v/>
      </c>
      <c r="O1024" s="3" t="str" cm="1">
        <f t="array" ref="O1024">IF(M1024="ALU",INDEX(TMP!A:A,1+BIN2DEC(MID($B1024,27,2))),"")</f>
        <v/>
      </c>
      <c r="P1024" s="6" t="str">
        <f t="shared" si="99"/>
        <v/>
      </c>
      <c r="Q1024" t="str">
        <f t="shared" si="102"/>
        <v/>
      </c>
      <c r="R1024" t="str">
        <f t="shared" si="103"/>
        <v/>
      </c>
      <c r="S1024" cm="1">
        <f t="array" ref="S1024">IF(M1024="Control",INDEX(IC!A:A,1+BIN2DEC(MID($B1024,21,4))),"")</f>
        <v>1</v>
      </c>
      <c r="T1024" cm="1">
        <f t="array" ref="T1024">IF(M1024="Control",INDEX(EC!A:A,1+BIN2DEC(MID($B1024,25,3))),"")</f>
        <v>7</v>
      </c>
      <c r="U1024" cm="1">
        <f t="array" ref="U1024">IF(M1024="Control",INDEX(SR!A:A,1+BIN2DEC(MID($B1024,28,2))),"")</f>
        <v>2</v>
      </c>
    </row>
    <row r="1025" spans="1:30" x14ac:dyDescent="0.25">
      <c r="A1025" s="4" t="str">
        <f t="shared" si="100"/>
        <v>3FF</v>
      </c>
      <c r="B1025" s="2" t="s">
        <v>4</v>
      </c>
      <c r="C1025" s="3"/>
      <c r="D1025" s="3"/>
      <c r="E1025" s="3"/>
      <c r="F1025" s="27" t="str" cm="1">
        <f t="array" ref="F1025">INDEX(Sources!A:A, 1 + BIN2DEC(LEFT($B1025,5)))</f>
        <v>--</v>
      </c>
      <c r="G1025" s="27" t="str" cm="1">
        <f t="array" ref="G1025">INDEX(Dest1!A:A,1+BIN2DEC(MID($B1025,6,5)))</f>
        <v>--</v>
      </c>
      <c r="H1025" s="27" t="str" cm="1">
        <f t="array" ref="H1025">INDEX(Source2!A:A,1+BIN2DEC(MID($B1025,11,4)))</f>
        <v>--</v>
      </c>
      <c r="I1025" s="23" cm="1">
        <f t="array" ref="I1025">INDEX('D2'!A:A,1+BIN2DEC(MID($B1025,16,2)))</f>
        <v>0</v>
      </c>
      <c r="J1025" s="6">
        <f t="shared" si="101"/>
        <v>0</v>
      </c>
      <c r="K1025" s="6">
        <f t="shared" si="97"/>
        <v>0</v>
      </c>
      <c r="L1025" s="6">
        <f t="shared" si="98"/>
        <v>0</v>
      </c>
      <c r="M1025" s="3" t="str" cm="1">
        <f t="array" ref="M1025">INDEX(Types!A:A,1+BIN2DEC(MID($B1025,20,2)))</f>
        <v>Control</v>
      </c>
      <c r="N1025" s="3" t="str" cm="1">
        <f t="array" ref="N1025">IF(M1025="ALU",INDEX(ALUOps!A:A,1+BIN2DEC(MID($B1025,22,5))),"")</f>
        <v/>
      </c>
      <c r="O1025" s="3" t="str" cm="1">
        <f t="array" ref="O1025">IF(M1025="ALU",INDEX(TMP!A:A,1+BIN2DEC(MID($B1025,27,2))),"")</f>
        <v/>
      </c>
      <c r="P1025" s="6" t="str">
        <f t="shared" si="99"/>
        <v/>
      </c>
      <c r="Q1025" t="str">
        <f t="shared" si="102"/>
        <v/>
      </c>
      <c r="R1025" t="str">
        <f t="shared" si="103"/>
        <v/>
      </c>
      <c r="S1025" cm="1">
        <f t="array" ref="S1025">IF(M1025="Control",INDEX(IC!A:A,1+BIN2DEC(MID($B1025,21,4))),"")</f>
        <v>0</v>
      </c>
      <c r="T1025" cm="1">
        <f t="array" ref="T1025">IF(M1025="Control",INDEX(EC!A:A,1+BIN2DEC(MID($B1025,25,3))),"")</f>
        <v>0</v>
      </c>
      <c r="U1025" cm="1">
        <f t="array" ref="U1025">IF(M1025="Control",INDEX(SR!A:A,1+BIN2DEC(MID($B1025,28,2))),"")</f>
        <v>0</v>
      </c>
    </row>
    <row r="1026" spans="1:30" x14ac:dyDescent="0.25">
      <c r="A1026" s="4" t="str">
        <f t="shared" si="100"/>
        <v>400</v>
      </c>
      <c r="B1026" s="2" t="s">
        <v>111</v>
      </c>
      <c r="C1026" s="2" t="s">
        <v>921</v>
      </c>
      <c r="D1026" s="2" t="s">
        <v>938</v>
      </c>
      <c r="E1026" s="2" t="s">
        <v>462</v>
      </c>
      <c r="F1026" s="27" t="str" cm="1">
        <f t="array" ref="F1026">INDEX(Sources!A:A, 1 + BIN2DEC(LEFT($B1026,5)))</f>
        <v>Q</v>
      </c>
      <c r="G1026" s="27" t="str" cm="1">
        <f t="array" ref="G1026">INDEX(Dest1!A:A,1+BIN2DEC(MID($B1026,6,5)))</f>
        <v>UNK10</v>
      </c>
      <c r="H1026" s="27" t="str" cm="1">
        <f t="array" ref="H1026">INDEX(Source2!A:A,1+BIN2DEC(MID($B1026,11,4)))</f>
        <v>--</v>
      </c>
      <c r="I1026" s="23" cm="1">
        <f t="array" ref="I1026">INDEX('D2'!A:A,1+BIN2DEC(MID($B1026,16,2)))</f>
        <v>0</v>
      </c>
      <c r="J1026" s="6">
        <f t="shared" si="101"/>
        <v>0</v>
      </c>
      <c r="K1026" s="6">
        <f t="shared" ref="K1026:K1029" si="104">BIN2DEC(MID($B1026,18,1))</f>
        <v>0</v>
      </c>
      <c r="L1026" s="6">
        <f t="shared" ref="L1026:L1029" si="105">BIN2DEC(MID($B1026,19,1))</f>
        <v>0</v>
      </c>
      <c r="M1026" s="3" t="str" cm="1">
        <f t="array" ref="M1026">INDEX(Types!A:A,1+BIN2DEC(MID($B1026,20,2)))</f>
        <v>Control</v>
      </c>
      <c r="N1026" s="3" t="str" cm="1">
        <f t="array" ref="N1026">IF(M1026="ALU",INDEX(ALUOps!A:A,1+BIN2DEC(MID($B1026,22,5))),"")</f>
        <v/>
      </c>
      <c r="O1026" s="3" t="str" cm="1">
        <f t="array" ref="O1026">IF(M1026="ALU",INDEX(TMP!A:A,1+BIN2DEC(MID($B1026,27,2))),"")</f>
        <v/>
      </c>
      <c r="P1026" s="6" t="str">
        <f t="shared" ref="P1026:P1029" si="106">IF(M1026="ALU",BIN2DEC(MID($B1026,29,1)),"")</f>
        <v/>
      </c>
      <c r="Q1026" t="str">
        <f t="shared" si="102"/>
        <v/>
      </c>
      <c r="R1026" t="str">
        <f t="shared" si="103"/>
        <v/>
      </c>
      <c r="S1026" cm="1">
        <f t="array" ref="S1026">IF(M1026="Control",INDEX(IC!A:A,1+BIN2DEC(MID($B1026,21,4))),"")</f>
        <v>0</v>
      </c>
      <c r="T1026" cm="1">
        <f t="array" ref="T1026">IF(M1026="Control",INDEX(EC!A:A,1+BIN2DEC(MID($B1026,25,3))),"")</f>
        <v>0</v>
      </c>
      <c r="U1026" cm="1">
        <f t="array" ref="U1026">IF(M1026="Control",INDEX(SR!A:A,1+BIN2DEC(MID($B1026,28,2))),"")</f>
        <v>0</v>
      </c>
      <c r="W1026">
        <v>8080</v>
      </c>
      <c r="X1026" t="s">
        <v>1100</v>
      </c>
      <c r="AD1026" s="1" t="s">
        <v>922</v>
      </c>
    </row>
    <row r="1027" spans="1:30" x14ac:dyDescent="0.25">
      <c r="A1027" s="4" t="str">
        <f t="shared" ref="A1027:A1029" si="107">DEC2HEX(ROW(A1026)-ROW($A$1),3)</f>
        <v>401</v>
      </c>
      <c r="B1027" s="2" t="s">
        <v>924</v>
      </c>
      <c r="C1027" s="3"/>
      <c r="D1027" s="3"/>
      <c r="E1027" s="3"/>
      <c r="F1027" s="27" t="str" cm="1">
        <f t="array" ref="F1027">INDEX(Sources!A:A, 1 + BIN2DEC(LEFT($B1027,5)))</f>
        <v>UNK22</v>
      </c>
      <c r="G1027" s="27" t="str" cm="1">
        <f t="array" ref="G1027">INDEX(Dest1!A:A,1+BIN2DEC(MID($B1027,6,5)))</f>
        <v>LC</v>
      </c>
      <c r="H1027" s="27" t="str" cm="1">
        <f t="array" ref="H1027">INDEX(Source2!A:A,1+BIN2DEC(MID($B1027,11,4)))</f>
        <v>--</v>
      </c>
      <c r="I1027" s="23" cm="1">
        <f t="array" ref="I1027">INDEX('D2'!A:A,1+BIN2DEC(MID($B1027,16,2)))</f>
        <v>0</v>
      </c>
      <c r="J1027" s="6">
        <f t="shared" ref="J1027:J1029" si="108">BIN2DEC(MID($B1027,17,1))</f>
        <v>0</v>
      </c>
      <c r="K1027" s="6">
        <f t="shared" si="104"/>
        <v>0</v>
      </c>
      <c r="L1027" s="6">
        <f t="shared" si="105"/>
        <v>0</v>
      </c>
      <c r="M1027" s="3" t="str" cm="1">
        <f t="array" ref="M1027">INDEX(Types!A:A,1+BIN2DEC(MID($B1027,20,2)))</f>
        <v>Control</v>
      </c>
      <c r="N1027" s="3" t="str" cm="1">
        <f t="array" ref="N1027">IF(M1027="ALU",INDEX(ALUOps!A:A,1+BIN2DEC(MID($B1027,22,5))),"")</f>
        <v/>
      </c>
      <c r="O1027" s="3" t="str" cm="1">
        <f t="array" ref="O1027">IF(M1027="ALU",INDEX(TMP!A:A,1+BIN2DEC(MID($B1027,27,2))),"")</f>
        <v/>
      </c>
      <c r="P1027" s="6" t="str">
        <f t="shared" si="106"/>
        <v/>
      </c>
      <c r="Q1027" t="str">
        <f t="shared" ref="Q1027:Q1029" si="109">IF(M1027="Jump",BIN2DEC(MID($B1027,22,4)),"")</f>
        <v/>
      </c>
      <c r="R1027" t="str">
        <f t="shared" si="103"/>
        <v/>
      </c>
      <c r="S1027" cm="1">
        <f t="array" ref="S1027">IF(M1027="Control",INDEX(IC!A:A,1+BIN2DEC(MID($B1027,21,4))),"")</f>
        <v>1</v>
      </c>
      <c r="T1027" cm="1">
        <f t="array" ref="T1027">IF(M1027="Control",INDEX(EC!A:A,1+BIN2DEC(MID($B1027,25,3))),"")</f>
        <v>7</v>
      </c>
      <c r="U1027" cm="1">
        <f t="array" ref="U1027">IF(M1027="Control",INDEX(SR!A:A,1+BIN2DEC(MID($B1027,28,2))),"")</f>
        <v>0</v>
      </c>
    </row>
    <row r="1028" spans="1:30" x14ac:dyDescent="0.25">
      <c r="A1028" s="4" t="str">
        <f t="shared" si="107"/>
        <v>402</v>
      </c>
      <c r="B1028" s="2" t="s">
        <v>4</v>
      </c>
      <c r="C1028" s="3"/>
      <c r="D1028" s="3"/>
      <c r="E1028" s="3"/>
      <c r="F1028" s="27" t="str" cm="1">
        <f t="array" ref="F1028">INDEX(Sources!A:A, 1 + BIN2DEC(LEFT($B1028,5)))</f>
        <v>--</v>
      </c>
      <c r="G1028" s="27" t="str" cm="1">
        <f t="array" ref="G1028">INDEX(Dest1!A:A,1+BIN2DEC(MID($B1028,6,5)))</f>
        <v>--</v>
      </c>
      <c r="H1028" s="27" t="str" cm="1">
        <f t="array" ref="H1028">INDEX(Source2!A:A,1+BIN2DEC(MID($B1028,11,4)))</f>
        <v>--</v>
      </c>
      <c r="I1028" s="23" cm="1">
        <f t="array" ref="I1028">INDEX('D2'!A:A,1+BIN2DEC(MID($B1028,16,2)))</f>
        <v>0</v>
      </c>
      <c r="J1028" s="6">
        <f t="shared" si="108"/>
        <v>0</v>
      </c>
      <c r="K1028" s="6">
        <f t="shared" si="104"/>
        <v>0</v>
      </c>
      <c r="L1028" s="6">
        <f t="shared" si="105"/>
        <v>0</v>
      </c>
      <c r="M1028" s="3" t="str" cm="1">
        <f t="array" ref="M1028">INDEX(Types!A:A,1+BIN2DEC(MID($B1028,20,2)))</f>
        <v>Control</v>
      </c>
      <c r="N1028" s="3" t="str" cm="1">
        <f t="array" ref="N1028">IF(M1028="ALU",INDEX(ALUOps!A:A,1+BIN2DEC(MID($B1028,22,5))),"")</f>
        <v/>
      </c>
      <c r="O1028" s="3" t="str" cm="1">
        <f t="array" ref="O1028">IF(M1028="ALU",INDEX(TMP!A:A,1+BIN2DEC(MID($B1028,27,2))),"")</f>
        <v/>
      </c>
      <c r="P1028" s="6" t="str">
        <f t="shared" si="106"/>
        <v/>
      </c>
      <c r="Q1028" t="str">
        <f t="shared" si="109"/>
        <v/>
      </c>
      <c r="R1028" t="str">
        <f t="shared" si="103"/>
        <v/>
      </c>
      <c r="S1028" cm="1">
        <f t="array" ref="S1028">IF(M1028="Control",INDEX(IC!A:A,1+BIN2DEC(MID($B1028,21,4))),"")</f>
        <v>0</v>
      </c>
      <c r="T1028" cm="1">
        <f t="array" ref="T1028">IF(M1028="Control",INDEX(EC!A:A,1+BIN2DEC(MID($B1028,25,3))),"")</f>
        <v>0</v>
      </c>
      <c r="U1028" cm="1">
        <f t="array" ref="U1028">IF(M1028="Control",INDEX(SR!A:A,1+BIN2DEC(MID($B1028,28,2))),"")</f>
        <v>0</v>
      </c>
    </row>
    <row r="1029" spans="1:30" x14ac:dyDescent="0.25">
      <c r="A1029" s="4" t="str">
        <f t="shared" si="107"/>
        <v>403</v>
      </c>
      <c r="B1029" s="2" t="s">
        <v>4</v>
      </c>
      <c r="C1029" s="3"/>
      <c r="D1029" s="3"/>
      <c r="E1029" s="3"/>
      <c r="F1029" s="27" t="str" cm="1">
        <f t="array" ref="F1029">INDEX(Sources!A:A, 1 + BIN2DEC(LEFT($B1029,5)))</f>
        <v>--</v>
      </c>
      <c r="G1029" s="27" t="str" cm="1">
        <f t="array" ref="G1029">INDEX(Dest1!A:A,1+BIN2DEC(MID($B1029,6,5)))</f>
        <v>--</v>
      </c>
      <c r="H1029" s="27" t="str" cm="1">
        <f t="array" ref="H1029">INDEX(Source2!A:A,1+BIN2DEC(MID($B1029,11,4)))</f>
        <v>--</v>
      </c>
      <c r="I1029" s="23" cm="1">
        <f t="array" ref="I1029">INDEX('D2'!A:A,1+BIN2DEC(MID($B1029,16,2)))</f>
        <v>0</v>
      </c>
      <c r="J1029" s="6">
        <f t="shared" si="108"/>
        <v>0</v>
      </c>
      <c r="K1029" s="6">
        <f t="shared" si="104"/>
        <v>0</v>
      </c>
      <c r="L1029" s="6">
        <f t="shared" si="105"/>
        <v>0</v>
      </c>
      <c r="M1029" s="3" t="str" cm="1">
        <f t="array" ref="M1029">INDEX(Types!A:A,1+BIN2DEC(MID($B1029,20,2)))</f>
        <v>Control</v>
      </c>
      <c r="N1029" s="3" t="str" cm="1">
        <f t="array" ref="N1029">IF(M1029="ALU",INDEX(ALUOps!A:A,1+BIN2DEC(MID($B1029,22,5))),"")</f>
        <v/>
      </c>
      <c r="O1029" s="3" t="str" cm="1">
        <f t="array" ref="O1029">IF(M1029="ALU",INDEX(TMP!A:A,1+BIN2DEC(MID($B1029,27,2))),"")</f>
        <v/>
      </c>
      <c r="P1029" s="6" t="str">
        <f t="shared" si="106"/>
        <v/>
      </c>
      <c r="Q1029" t="str">
        <f t="shared" si="109"/>
        <v/>
      </c>
      <c r="R1029" t="str">
        <f t="shared" si="103"/>
        <v/>
      </c>
      <c r="S1029" cm="1">
        <f t="array" ref="S1029">IF(M1029="Control",INDEX(IC!A:A,1+BIN2DEC(MID($B1029,21,4))),"")</f>
        <v>0</v>
      </c>
      <c r="T1029" cm="1">
        <f t="array" ref="T1029">IF(M1029="Control",INDEX(EC!A:A,1+BIN2DEC(MID($B1029,25,3))),"")</f>
        <v>0</v>
      </c>
      <c r="U1029" cm="1">
        <f t="array" ref="U1029">IF(M1029="Control",INDEX(SR!A:A,1+BIN2DEC(MID($B1029,28,2))),"")</f>
        <v>0</v>
      </c>
    </row>
  </sheetData>
  <conditionalFormatting sqref="B1:B1048576">
    <cfRule type="containsText" dxfId="3" priority="4" operator="containsText" text="00000000000000000000000000000">
      <formula>NOT(ISERROR(SEARCH("00000000000000000000000000000",B1)))</formula>
    </cfRule>
  </conditionalFormatting>
  <conditionalFormatting sqref="F1:G1048576">
    <cfRule type="beginsWith" dxfId="2" priority="2" operator="beginsWith" text="UNK">
      <formula>LEFT(F1,LEN("UNK"))="UNK"</formula>
    </cfRule>
  </conditionalFormatting>
  <conditionalFormatting sqref="H1:H1048576">
    <cfRule type="containsText" dxfId="1" priority="1" operator="containsText" text="UNK7">
      <formula>NOT(ISERROR(SEARCH("UNK7",H1)))</formula>
    </cfRule>
  </conditionalFormatting>
  <conditionalFormatting sqref="O1 Q1:U1 W1 J1:L1048576 P1:P1048576">
    <cfRule type="containsText" dxfId="0" priority="3" operator="containsText" text="1">
      <formula>NOT(ISERROR(SEARCH("1",J1)))</formula>
    </cfRule>
  </conditionalFormatting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0702D-54D4-42BD-BE91-698C5F6FA681}">
  <dimension ref="A1:A4"/>
  <sheetViews>
    <sheetView workbookViewId="0">
      <selection activeCell="A6" sqref="A6"/>
    </sheetView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</v>
      </c>
    </row>
    <row r="3" spans="1:1" x14ac:dyDescent="0.25">
      <c r="A3">
        <v>2</v>
      </c>
    </row>
    <row r="4" spans="1:1" x14ac:dyDescent="0.25">
      <c r="A4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76A0E-3702-42CD-94AF-F39131808778}">
  <dimension ref="A1:A4"/>
  <sheetViews>
    <sheetView workbookViewId="0">
      <selection activeCell="E28" sqref="E28"/>
    </sheetView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</v>
      </c>
    </row>
    <row r="3" spans="1:1" x14ac:dyDescent="0.25">
      <c r="A3">
        <v>2</v>
      </c>
    </row>
    <row r="4" spans="1:1" x14ac:dyDescent="0.25">
      <c r="A4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128BF-A522-4995-A8CE-BAD9349B7022}">
  <dimension ref="A1:A8"/>
  <sheetViews>
    <sheetView workbookViewId="0">
      <selection activeCell="A9" sqref="A9"/>
    </sheetView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</v>
      </c>
    </row>
    <row r="3" spans="1:1" x14ac:dyDescent="0.25">
      <c r="A3">
        <v>2</v>
      </c>
    </row>
    <row r="4" spans="1:1" x14ac:dyDescent="0.25">
      <c r="A4">
        <v>3</v>
      </c>
    </row>
    <row r="5" spans="1:1" x14ac:dyDescent="0.25">
      <c r="A5">
        <v>4</v>
      </c>
    </row>
    <row r="6" spans="1:1" x14ac:dyDescent="0.25">
      <c r="A6">
        <v>5</v>
      </c>
    </row>
    <row r="7" spans="1:1" x14ac:dyDescent="0.25">
      <c r="A7">
        <v>6</v>
      </c>
    </row>
    <row r="8" spans="1:1" x14ac:dyDescent="0.25">
      <c r="A8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D5095-84EF-4FF1-9742-F42490DBD4F6}">
  <dimension ref="A1:A16"/>
  <sheetViews>
    <sheetView workbookViewId="0">
      <selection activeCell="A18" sqref="A18"/>
    </sheetView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</v>
      </c>
    </row>
    <row r="3" spans="1:1" x14ac:dyDescent="0.25">
      <c r="A3">
        <v>2</v>
      </c>
    </row>
    <row r="4" spans="1:1" x14ac:dyDescent="0.25">
      <c r="A4">
        <v>3</v>
      </c>
    </row>
    <row r="5" spans="1:1" x14ac:dyDescent="0.25">
      <c r="A5">
        <v>4</v>
      </c>
    </row>
    <row r="6" spans="1:1" x14ac:dyDescent="0.25">
      <c r="A6">
        <v>5</v>
      </c>
    </row>
    <row r="7" spans="1:1" x14ac:dyDescent="0.25">
      <c r="A7">
        <v>6</v>
      </c>
    </row>
    <row r="8" spans="1:1" x14ac:dyDescent="0.25">
      <c r="A8">
        <v>7</v>
      </c>
    </row>
    <row r="9" spans="1:1" x14ac:dyDescent="0.25">
      <c r="A9">
        <v>8</v>
      </c>
    </row>
    <row r="10" spans="1:1" x14ac:dyDescent="0.25">
      <c r="A10">
        <v>9</v>
      </c>
    </row>
    <row r="11" spans="1:1" x14ac:dyDescent="0.25">
      <c r="A11">
        <v>10</v>
      </c>
    </row>
    <row r="12" spans="1:1" x14ac:dyDescent="0.25">
      <c r="A12">
        <v>11</v>
      </c>
    </row>
    <row r="13" spans="1:1" x14ac:dyDescent="0.25">
      <c r="A13">
        <v>12</v>
      </c>
    </row>
    <row r="14" spans="1:1" x14ac:dyDescent="0.25">
      <c r="A14">
        <v>13</v>
      </c>
    </row>
    <row r="15" spans="1:1" x14ac:dyDescent="0.25">
      <c r="A15">
        <v>14</v>
      </c>
    </row>
    <row r="16" spans="1:1" x14ac:dyDescent="0.25">
      <c r="A16">
        <v>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B5C03-5AC6-4DC0-8FE6-C24F3901DBB7}">
  <dimension ref="A1:A32"/>
  <sheetViews>
    <sheetView workbookViewId="0">
      <selection activeCell="A33" sqref="A33"/>
    </sheetView>
  </sheetViews>
  <sheetFormatPr defaultRowHeight="15" x14ac:dyDescent="0.25"/>
  <sheetData>
    <row r="1" spans="1:1" x14ac:dyDescent="0.25">
      <c r="A1">
        <v>0</v>
      </c>
    </row>
    <row r="2" spans="1:1" x14ac:dyDescent="0.25">
      <c r="A2" t="s">
        <v>1129</v>
      </c>
    </row>
    <row r="3" spans="1:1" x14ac:dyDescent="0.25">
      <c r="A3">
        <v>2</v>
      </c>
    </row>
    <row r="4" spans="1:1" x14ac:dyDescent="0.25">
      <c r="A4">
        <v>3</v>
      </c>
    </row>
    <row r="5" spans="1:1" x14ac:dyDescent="0.25">
      <c r="A5">
        <v>4</v>
      </c>
    </row>
    <row r="6" spans="1:1" x14ac:dyDescent="0.25">
      <c r="A6">
        <v>5</v>
      </c>
    </row>
    <row r="7" spans="1:1" x14ac:dyDescent="0.25">
      <c r="A7">
        <v>6</v>
      </c>
    </row>
    <row r="8" spans="1:1" x14ac:dyDescent="0.25">
      <c r="A8">
        <v>7</v>
      </c>
    </row>
    <row r="9" spans="1:1" x14ac:dyDescent="0.25">
      <c r="A9">
        <v>8</v>
      </c>
    </row>
    <row r="10" spans="1:1" x14ac:dyDescent="0.25">
      <c r="A10">
        <v>9</v>
      </c>
    </row>
    <row r="11" spans="1:1" x14ac:dyDescent="0.25">
      <c r="A11">
        <v>10</v>
      </c>
    </row>
    <row r="12" spans="1:1" x14ac:dyDescent="0.25">
      <c r="A12">
        <v>11</v>
      </c>
    </row>
    <row r="13" spans="1:1" x14ac:dyDescent="0.25">
      <c r="A13">
        <v>12</v>
      </c>
    </row>
    <row r="14" spans="1:1" x14ac:dyDescent="0.25">
      <c r="A14">
        <v>13</v>
      </c>
    </row>
    <row r="15" spans="1:1" x14ac:dyDescent="0.25">
      <c r="A15">
        <v>14</v>
      </c>
    </row>
    <row r="16" spans="1:1" x14ac:dyDescent="0.25">
      <c r="A16">
        <v>15</v>
      </c>
    </row>
    <row r="17" spans="1:1" x14ac:dyDescent="0.25">
      <c r="A17">
        <v>16</v>
      </c>
    </row>
    <row r="18" spans="1:1" x14ac:dyDescent="0.25">
      <c r="A18">
        <v>17</v>
      </c>
    </row>
    <row r="19" spans="1:1" x14ac:dyDescent="0.25">
      <c r="A19">
        <v>18</v>
      </c>
    </row>
    <row r="20" spans="1:1" x14ac:dyDescent="0.25">
      <c r="A20">
        <v>19</v>
      </c>
    </row>
    <row r="21" spans="1:1" x14ac:dyDescent="0.25">
      <c r="A21">
        <v>20</v>
      </c>
    </row>
    <row r="22" spans="1:1" x14ac:dyDescent="0.25">
      <c r="A22">
        <v>21</v>
      </c>
    </row>
    <row r="23" spans="1:1" x14ac:dyDescent="0.25">
      <c r="A23">
        <v>22</v>
      </c>
    </row>
    <row r="24" spans="1:1" x14ac:dyDescent="0.25">
      <c r="A24">
        <v>23</v>
      </c>
    </row>
    <row r="25" spans="1:1" x14ac:dyDescent="0.25">
      <c r="A25">
        <v>24</v>
      </c>
    </row>
    <row r="26" spans="1:1" x14ac:dyDescent="0.25">
      <c r="A26">
        <v>25</v>
      </c>
    </row>
    <row r="27" spans="1:1" x14ac:dyDescent="0.25">
      <c r="A27">
        <v>26</v>
      </c>
    </row>
    <row r="28" spans="1:1" x14ac:dyDescent="0.25">
      <c r="A28">
        <v>27</v>
      </c>
    </row>
    <row r="29" spans="1:1" x14ac:dyDescent="0.25">
      <c r="A29">
        <v>28</v>
      </c>
    </row>
    <row r="30" spans="1:1" x14ac:dyDescent="0.25">
      <c r="A30">
        <v>29</v>
      </c>
    </row>
    <row r="31" spans="1:1" x14ac:dyDescent="0.25">
      <c r="A31">
        <v>30</v>
      </c>
    </row>
    <row r="32" spans="1:1" x14ac:dyDescent="0.25">
      <c r="A32">
        <v>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CB0CA-CCE1-4915-AB9F-8F88F196008D}">
  <dimension ref="A1:A4"/>
  <sheetViews>
    <sheetView workbookViewId="0">
      <selection activeCell="F32" sqref="F32"/>
    </sheetView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</v>
      </c>
    </row>
    <row r="3" spans="1:1" x14ac:dyDescent="0.25">
      <c r="A3" t="s">
        <v>1062</v>
      </c>
    </row>
    <row r="4" spans="1:1" x14ac:dyDescent="0.25">
      <c r="A4">
        <v>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0EBE2-64D2-4499-93F2-5803DF83C7B3}">
  <dimension ref="A1:A32"/>
  <sheetViews>
    <sheetView workbookViewId="0">
      <selection activeCell="I33" sqref="I33"/>
    </sheetView>
  </sheetViews>
  <sheetFormatPr defaultRowHeight="15" x14ac:dyDescent="0.25"/>
  <cols>
    <col min="1" max="1" width="9.140625" style="1"/>
  </cols>
  <sheetData>
    <row r="1" spans="1:1" x14ac:dyDescent="0.25">
      <c r="A1" s="1" t="s">
        <v>1044</v>
      </c>
    </row>
    <row r="2" spans="1:1" x14ac:dyDescent="0.25">
      <c r="A2" s="1" t="s">
        <v>942</v>
      </c>
    </row>
    <row r="3" spans="1:1" x14ac:dyDescent="0.25">
      <c r="A3" s="1" t="s">
        <v>943</v>
      </c>
    </row>
    <row r="4" spans="1:1" x14ac:dyDescent="0.25">
      <c r="A4" s="1" t="s">
        <v>1119</v>
      </c>
    </row>
    <row r="5" spans="1:1" x14ac:dyDescent="0.25">
      <c r="A5" s="1" t="s">
        <v>944</v>
      </c>
    </row>
    <row r="6" spans="1:1" x14ac:dyDescent="0.25">
      <c r="A6" s="1" t="s">
        <v>945</v>
      </c>
    </row>
    <row r="7" spans="1:1" x14ac:dyDescent="0.25">
      <c r="A7" s="1" t="s">
        <v>1124</v>
      </c>
    </row>
    <row r="8" spans="1:1" x14ac:dyDescent="0.25">
      <c r="A8" s="1" t="s">
        <v>1038</v>
      </c>
    </row>
    <row r="9" spans="1:1" x14ac:dyDescent="0.25">
      <c r="A9" s="1" t="s">
        <v>1120</v>
      </c>
    </row>
    <row r="10" spans="1:1" x14ac:dyDescent="0.25">
      <c r="A10" s="1" t="s">
        <v>947</v>
      </c>
    </row>
    <row r="11" spans="1:1" x14ac:dyDescent="0.25">
      <c r="A11" s="1" t="s">
        <v>948</v>
      </c>
    </row>
    <row r="12" spans="1:1" x14ac:dyDescent="0.25">
      <c r="A12" s="1" t="s">
        <v>1063</v>
      </c>
    </row>
    <row r="13" spans="1:1" x14ac:dyDescent="0.25">
      <c r="A13" s="1" t="s">
        <v>1039</v>
      </c>
    </row>
    <row r="14" spans="1:1" x14ac:dyDescent="0.25">
      <c r="A14" s="1" t="s">
        <v>1120</v>
      </c>
    </row>
    <row r="15" spans="1:1" x14ac:dyDescent="0.25">
      <c r="A15" s="1" t="s">
        <v>1125</v>
      </c>
    </row>
    <row r="16" spans="1:1" x14ac:dyDescent="0.25">
      <c r="A16" s="1" t="s">
        <v>1005</v>
      </c>
    </row>
    <row r="17" spans="1:1" x14ac:dyDescent="0.25">
      <c r="A17" s="1" t="s">
        <v>1130</v>
      </c>
    </row>
    <row r="18" spans="1:1" x14ac:dyDescent="0.25">
      <c r="A18" s="1" t="s">
        <v>950</v>
      </c>
    </row>
    <row r="19" spans="1:1" x14ac:dyDescent="0.25">
      <c r="A19" s="1" t="s">
        <v>1061</v>
      </c>
    </row>
    <row r="20" spans="1:1" x14ac:dyDescent="0.25">
      <c r="A20" s="1" t="s">
        <v>1062</v>
      </c>
    </row>
    <row r="21" spans="1:1" x14ac:dyDescent="0.25">
      <c r="A21" s="1" t="s">
        <v>951</v>
      </c>
    </row>
    <row r="22" spans="1:1" x14ac:dyDescent="0.25">
      <c r="A22" s="1" t="s">
        <v>952</v>
      </c>
    </row>
    <row r="23" spans="1:1" x14ac:dyDescent="0.25">
      <c r="A23" s="1" t="s">
        <v>953</v>
      </c>
    </row>
    <row r="24" spans="1:1" x14ac:dyDescent="0.25">
      <c r="A24" s="1" t="s">
        <v>954</v>
      </c>
    </row>
    <row r="25" spans="1:1" x14ac:dyDescent="0.25">
      <c r="A25" s="1" t="s">
        <v>1121</v>
      </c>
    </row>
    <row r="26" spans="1:1" x14ac:dyDescent="0.25">
      <c r="A26" s="1" t="s">
        <v>1041</v>
      </c>
    </row>
    <row r="27" spans="1:1" x14ac:dyDescent="0.25">
      <c r="A27" s="1" t="s">
        <v>956</v>
      </c>
    </row>
    <row r="28" spans="1:1" x14ac:dyDescent="0.25">
      <c r="A28" s="1" t="s">
        <v>957</v>
      </c>
    </row>
    <row r="29" spans="1:1" x14ac:dyDescent="0.25">
      <c r="A29" s="1" t="s">
        <v>1022</v>
      </c>
    </row>
    <row r="30" spans="1:1" x14ac:dyDescent="0.25">
      <c r="A30" s="1" t="s">
        <v>958</v>
      </c>
    </row>
    <row r="31" spans="1:1" x14ac:dyDescent="0.25">
      <c r="A31" s="1" t="s">
        <v>959</v>
      </c>
    </row>
    <row r="32" spans="1:1" x14ac:dyDescent="0.25">
      <c r="A32" s="1" t="s">
        <v>1023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78DA7-9BA6-4254-BDE1-FDB59620DB43}">
  <dimension ref="A1:A16"/>
  <sheetViews>
    <sheetView workbookViewId="0">
      <selection activeCell="H32" sqref="H32"/>
    </sheetView>
  </sheetViews>
  <sheetFormatPr defaultRowHeight="15" x14ac:dyDescent="0.25"/>
  <sheetData>
    <row r="1" spans="1:1" x14ac:dyDescent="0.25">
      <c r="A1" s="1" t="s">
        <v>1044</v>
      </c>
    </row>
    <row r="2" spans="1:1" x14ac:dyDescent="0.25">
      <c r="A2" s="1" t="s">
        <v>1131</v>
      </c>
    </row>
    <row r="3" spans="1:1" x14ac:dyDescent="0.25">
      <c r="A3" s="1" t="s">
        <v>1132</v>
      </c>
    </row>
    <row r="4" spans="1:1" x14ac:dyDescent="0.25">
      <c r="A4" s="1" t="s">
        <v>1133</v>
      </c>
    </row>
    <row r="5" spans="1:1" x14ac:dyDescent="0.25">
      <c r="A5" s="1" t="s">
        <v>1134</v>
      </c>
    </row>
    <row r="6" spans="1:1" x14ac:dyDescent="0.25">
      <c r="A6" s="1" t="s">
        <v>1135</v>
      </c>
    </row>
    <row r="7" spans="1:1" x14ac:dyDescent="0.25">
      <c r="A7" s="1" t="s">
        <v>1136</v>
      </c>
    </row>
    <row r="8" spans="1:1" x14ac:dyDescent="0.25">
      <c r="A8" s="1" t="s">
        <v>1137</v>
      </c>
    </row>
    <row r="9" spans="1:1" x14ac:dyDescent="0.25">
      <c r="A9" s="1" t="s">
        <v>1138</v>
      </c>
    </row>
    <row r="10" spans="1:1" x14ac:dyDescent="0.25">
      <c r="A10" s="1" t="s">
        <v>1139</v>
      </c>
    </row>
    <row r="11" spans="1:1" x14ac:dyDescent="0.25">
      <c r="A11" s="1" t="s">
        <v>1121</v>
      </c>
    </row>
    <row r="12" spans="1:1" x14ac:dyDescent="0.25">
      <c r="A12" s="1" t="s">
        <v>933</v>
      </c>
    </row>
    <row r="13" spans="1:1" x14ac:dyDescent="0.25">
      <c r="A13" s="1" t="s">
        <v>1140</v>
      </c>
    </row>
    <row r="14" spans="1:1" x14ac:dyDescent="0.25">
      <c r="A14" s="1" t="s">
        <v>1141</v>
      </c>
    </row>
    <row r="15" spans="1:1" x14ac:dyDescent="0.25">
      <c r="A15" s="1" t="s">
        <v>1142</v>
      </c>
    </row>
    <row r="16" spans="1:1" x14ac:dyDescent="0.25">
      <c r="A16" s="1" t="s">
        <v>1143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2B33A-5588-4A8A-B70E-AF1606CECB86}">
  <dimension ref="A1:A32"/>
  <sheetViews>
    <sheetView workbookViewId="0">
      <selection activeCell="A18" sqref="A18"/>
    </sheetView>
  </sheetViews>
  <sheetFormatPr defaultRowHeight="15" x14ac:dyDescent="0.25"/>
  <cols>
    <col min="1" max="1" width="9.140625" style="1"/>
  </cols>
  <sheetData>
    <row r="1" spans="1:1" x14ac:dyDescent="0.25">
      <c r="A1" s="1" t="s">
        <v>1044</v>
      </c>
    </row>
    <row r="2" spans="1:1" x14ac:dyDescent="0.25">
      <c r="A2" s="1" t="s">
        <v>942</v>
      </c>
    </row>
    <row r="3" spans="1:1" x14ac:dyDescent="0.25">
      <c r="A3" s="1" t="s">
        <v>943</v>
      </c>
    </row>
    <row r="4" spans="1:1" x14ac:dyDescent="0.25">
      <c r="A4" s="1" t="s">
        <v>1119</v>
      </c>
    </row>
    <row r="5" spans="1:1" x14ac:dyDescent="0.25">
      <c r="A5" s="1" t="s">
        <v>944</v>
      </c>
    </row>
    <row r="6" spans="1:1" x14ac:dyDescent="0.25">
      <c r="A6" s="1" t="s">
        <v>945</v>
      </c>
    </row>
    <row r="7" spans="1:1" x14ac:dyDescent="0.25">
      <c r="A7" s="1" t="s">
        <v>1124</v>
      </c>
    </row>
    <row r="8" spans="1:1" x14ac:dyDescent="0.25">
      <c r="A8" s="1" t="s">
        <v>1038</v>
      </c>
    </row>
    <row r="9" spans="1:1" x14ac:dyDescent="0.25">
      <c r="A9" s="1" t="s">
        <v>946</v>
      </c>
    </row>
    <row r="10" spans="1:1" x14ac:dyDescent="0.25">
      <c r="A10" s="1" t="s">
        <v>947</v>
      </c>
    </row>
    <row r="11" spans="1:1" x14ac:dyDescent="0.25">
      <c r="A11" s="1" t="s">
        <v>948</v>
      </c>
    </row>
    <row r="12" spans="1:1" x14ac:dyDescent="0.25">
      <c r="A12" s="1" t="s">
        <v>949</v>
      </c>
    </row>
    <row r="13" spans="1:1" x14ac:dyDescent="0.25">
      <c r="A13" s="1" t="s">
        <v>1039</v>
      </c>
    </row>
    <row r="14" spans="1:1" x14ac:dyDescent="0.25">
      <c r="A14" s="1" t="s">
        <v>1120</v>
      </c>
    </row>
    <row r="15" spans="1:1" x14ac:dyDescent="0.25">
      <c r="A15" s="1" t="s">
        <v>1125</v>
      </c>
    </row>
    <row r="16" spans="1:1" x14ac:dyDescent="0.25">
      <c r="A16" s="1" t="s">
        <v>1005</v>
      </c>
    </row>
    <row r="17" spans="1:1" x14ac:dyDescent="0.25">
      <c r="A17" s="1" t="s">
        <v>1130</v>
      </c>
    </row>
    <row r="18" spans="1:1" x14ac:dyDescent="0.25">
      <c r="A18" s="1" t="s">
        <v>950</v>
      </c>
    </row>
    <row r="19" spans="1:1" x14ac:dyDescent="0.25">
      <c r="A19" s="1" t="s">
        <v>1061</v>
      </c>
    </row>
    <row r="20" spans="1:1" x14ac:dyDescent="0.25">
      <c r="A20" s="1" t="s">
        <v>1062</v>
      </c>
    </row>
    <row r="21" spans="1:1" x14ac:dyDescent="0.25">
      <c r="A21" s="1" t="s">
        <v>951</v>
      </c>
    </row>
    <row r="22" spans="1:1" x14ac:dyDescent="0.25">
      <c r="A22" s="1" t="s">
        <v>952</v>
      </c>
    </row>
    <row r="23" spans="1:1" x14ac:dyDescent="0.25">
      <c r="A23" s="1" t="s">
        <v>953</v>
      </c>
    </row>
    <row r="24" spans="1:1" x14ac:dyDescent="0.25">
      <c r="A24" s="1" t="s">
        <v>954</v>
      </c>
    </row>
    <row r="25" spans="1:1" x14ac:dyDescent="0.25">
      <c r="A25" s="1" t="s">
        <v>955</v>
      </c>
    </row>
    <row r="26" spans="1:1" x14ac:dyDescent="0.25">
      <c r="A26" s="1" t="s">
        <v>1041</v>
      </c>
    </row>
    <row r="27" spans="1:1" x14ac:dyDescent="0.25">
      <c r="A27" s="1" t="s">
        <v>956</v>
      </c>
    </row>
    <row r="28" spans="1:1" x14ac:dyDescent="0.25">
      <c r="A28" s="1" t="s">
        <v>1128</v>
      </c>
    </row>
    <row r="29" spans="1:1" x14ac:dyDescent="0.25">
      <c r="A29" s="1" t="s">
        <v>1022</v>
      </c>
    </row>
    <row r="30" spans="1:1" x14ac:dyDescent="0.25">
      <c r="A30" s="1" t="s">
        <v>958</v>
      </c>
    </row>
    <row r="31" spans="1:1" x14ac:dyDescent="0.25">
      <c r="A31" s="1" t="s">
        <v>1127</v>
      </c>
    </row>
    <row r="32" spans="1:1" x14ac:dyDescent="0.25">
      <c r="A32" s="1" t="s">
        <v>1023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D22C0-5873-4291-9A43-3716EB259415}">
  <dimension ref="A1:C4"/>
  <sheetViews>
    <sheetView workbookViewId="0">
      <selection activeCell="A4" sqref="A4:XFD4"/>
    </sheetView>
  </sheetViews>
  <sheetFormatPr defaultRowHeight="15" x14ac:dyDescent="0.25"/>
  <cols>
    <col min="1" max="1" width="7.85546875" customWidth="1"/>
  </cols>
  <sheetData>
    <row r="1" spans="1:3" x14ac:dyDescent="0.25">
      <c r="A1" t="s">
        <v>967</v>
      </c>
      <c r="B1" t="s">
        <v>965</v>
      </c>
      <c r="C1" t="s">
        <v>967</v>
      </c>
    </row>
    <row r="2" spans="1:3" x14ac:dyDescent="0.25">
      <c r="A2" t="s">
        <v>967</v>
      </c>
      <c r="B2" t="s">
        <v>966</v>
      </c>
      <c r="C2" t="s">
        <v>967</v>
      </c>
    </row>
    <row r="3" spans="1:3" x14ac:dyDescent="0.25">
      <c r="A3" t="s">
        <v>966</v>
      </c>
      <c r="B3" t="s">
        <v>967</v>
      </c>
      <c r="C3" t="s">
        <v>966</v>
      </c>
    </row>
    <row r="4" spans="1:3" x14ac:dyDescent="0.25">
      <c r="A4" t="s">
        <v>965</v>
      </c>
      <c r="B4" t="s">
        <v>967</v>
      </c>
      <c r="C4" t="s">
        <v>965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Microcode</vt:lpstr>
      <vt:lpstr>TMP</vt:lpstr>
      <vt:lpstr>SR</vt:lpstr>
      <vt:lpstr>EC</vt:lpstr>
      <vt:lpstr>IC</vt:lpstr>
      <vt:lpstr>ALUOps</vt:lpstr>
      <vt:lpstr>D2</vt:lpstr>
      <vt:lpstr>Sources</vt:lpstr>
      <vt:lpstr>Source2</vt:lpstr>
      <vt:lpstr>Dest1</vt:lpstr>
      <vt:lpstr>Types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Balsom</dc:creator>
  <cp:lastModifiedBy>Daniel Balsom</cp:lastModifiedBy>
  <dcterms:created xsi:type="dcterms:W3CDTF">2025-10-07T14:03:35Z</dcterms:created>
  <dcterms:modified xsi:type="dcterms:W3CDTF">2025-10-08T01:29:59Z</dcterms:modified>
</cp:coreProperties>
</file>